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Social Media Analytics for Strategic Branding\"/>
    </mc:Choice>
  </mc:AlternateContent>
  <xr:revisionPtr revIDLastSave="0" documentId="13_ncr:1_{956CA75A-0B8F-4AE4-ACA0-186014C962D0}" xr6:coauthVersionLast="47" xr6:coauthVersionMax="47" xr10:uidLastSave="{00000000-0000-0000-0000-000000000000}"/>
  <bookViews>
    <workbookView xWindow="-108" yWindow="-108" windowWidth="23256" windowHeight="12456" tabRatio="832" xr2:uid="{00000000-000D-0000-FFFF-FFFF00000000}"/>
  </bookViews>
  <sheets>
    <sheet name="Cleaned_post_Data " sheetId="46" r:id="rId1"/>
    <sheet name="Calculate Engagement Rate (%)" sheetId="53" r:id="rId2"/>
    <sheet name="Identify Top 10 Posts " sheetId="48" r:id="rId3"/>
    <sheet name="Create Pivot Table showing " sheetId="49" r:id="rId4"/>
    <sheet name="Average Clicks per Post " sheetId="50" r:id="rId5"/>
    <sheet name="Highlight Top-performing " sheetId="43" r:id="rId6"/>
  </sheets>
  <definedNames>
    <definedName name="_xlnm._FilterDatabase" localSheetId="0" hidden="1">'Cleaned_post_Data '!$A$1:$M$301</definedName>
    <definedName name="_xlnm._FilterDatabase" localSheetId="2" hidden="1">'Identify Top 10 Posts '!$C$7:$J$307</definedName>
    <definedName name="ExternalData_1" localSheetId="4" hidden="1">'Average Clicks per Post '!$A$1:$C$484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8" l="1"/>
  <c r="K15" i="48"/>
  <c r="K10" i="48"/>
  <c r="K14" i="48"/>
  <c r="K16" i="48"/>
  <c r="K9" i="48"/>
  <c r="K17" i="48"/>
  <c r="K12" i="48"/>
  <c r="K13" i="48"/>
  <c r="K8" i="48"/>
  <c r="N3" i="46"/>
  <c r="N4" i="46"/>
  <c r="N5" i="46"/>
  <c r="N6" i="46"/>
  <c r="N7" i="46"/>
  <c r="N8" i="46"/>
  <c r="N9" i="46"/>
  <c r="N10" i="46"/>
  <c r="N11" i="46"/>
  <c r="N12" i="46"/>
  <c r="N13" i="46"/>
  <c r="N14" i="46"/>
  <c r="N15" i="46"/>
  <c r="N16" i="46"/>
  <c r="N17" i="46"/>
  <c r="N18" i="46"/>
  <c r="N19" i="46"/>
  <c r="N20" i="46"/>
  <c r="N21" i="46"/>
  <c r="N22" i="46"/>
  <c r="N23" i="46"/>
  <c r="N24" i="46"/>
  <c r="N25" i="46"/>
  <c r="N26" i="46"/>
  <c r="N27" i="46"/>
  <c r="N28" i="46"/>
  <c r="N29" i="46"/>
  <c r="N30" i="46"/>
  <c r="N31" i="46"/>
  <c r="N32" i="46"/>
  <c r="N33" i="46"/>
  <c r="N34" i="46"/>
  <c r="N35" i="46"/>
  <c r="N36" i="46"/>
  <c r="N37" i="46"/>
  <c r="N38" i="46"/>
  <c r="N39" i="46"/>
  <c r="N40" i="46"/>
  <c r="N41" i="46"/>
  <c r="N42" i="46"/>
  <c r="N43" i="46"/>
  <c r="N44" i="46"/>
  <c r="N45" i="46"/>
  <c r="N46" i="46"/>
  <c r="N47" i="46"/>
  <c r="N48" i="46"/>
  <c r="N49" i="46"/>
  <c r="N50" i="46"/>
  <c r="N51" i="46"/>
  <c r="N52" i="46"/>
  <c r="N53" i="46"/>
  <c r="N54" i="46"/>
  <c r="N55" i="46"/>
  <c r="N56" i="46"/>
  <c r="N57" i="46"/>
  <c r="N58" i="46"/>
  <c r="N59" i="46"/>
  <c r="N60" i="46"/>
  <c r="N61" i="46"/>
  <c r="N62" i="46"/>
  <c r="N63" i="46"/>
  <c r="N64" i="46"/>
  <c r="N65" i="46"/>
  <c r="N66" i="46"/>
  <c r="N67" i="46"/>
  <c r="N68" i="46"/>
  <c r="N69" i="46"/>
  <c r="N70" i="46"/>
  <c r="N71" i="46"/>
  <c r="N72" i="46"/>
  <c r="N73" i="46"/>
  <c r="N74" i="46"/>
  <c r="N75" i="46"/>
  <c r="N76" i="46"/>
  <c r="N77" i="46"/>
  <c r="N78" i="46"/>
  <c r="N79" i="46"/>
  <c r="N80" i="46"/>
  <c r="N81" i="46"/>
  <c r="N82" i="46"/>
  <c r="N83" i="46"/>
  <c r="N84" i="46"/>
  <c r="N85" i="46"/>
  <c r="N86" i="46"/>
  <c r="N87" i="46"/>
  <c r="N88" i="46"/>
  <c r="N89" i="46"/>
  <c r="N90" i="46"/>
  <c r="N91" i="46"/>
  <c r="N92" i="46"/>
  <c r="N93" i="46"/>
  <c r="N94" i="46"/>
  <c r="N95" i="46"/>
  <c r="N96" i="46"/>
  <c r="N97" i="46"/>
  <c r="N98" i="46"/>
  <c r="N99" i="46"/>
  <c r="N100" i="46"/>
  <c r="N101" i="46"/>
  <c r="N102" i="46"/>
  <c r="N103" i="46"/>
  <c r="N104" i="46"/>
  <c r="N105" i="46"/>
  <c r="N106" i="46"/>
  <c r="N107" i="46"/>
  <c r="N108" i="46"/>
  <c r="N109" i="46"/>
  <c r="N110" i="46"/>
  <c r="N111" i="46"/>
  <c r="N112" i="46"/>
  <c r="N113" i="46"/>
  <c r="N114" i="46"/>
  <c r="N115" i="46"/>
  <c r="N116" i="46"/>
  <c r="N117" i="46"/>
  <c r="N118" i="46"/>
  <c r="N119" i="46"/>
  <c r="N120" i="46"/>
  <c r="N121" i="46"/>
  <c r="N122" i="46"/>
  <c r="N123" i="46"/>
  <c r="N124" i="46"/>
  <c r="N125" i="46"/>
  <c r="N126" i="46"/>
  <c r="N127" i="46"/>
  <c r="N128" i="46"/>
  <c r="N129" i="46"/>
  <c r="N130" i="46"/>
  <c r="N131" i="46"/>
  <c r="N132" i="46"/>
  <c r="N133" i="46"/>
  <c r="N134" i="46"/>
  <c r="N135" i="46"/>
  <c r="N136" i="46"/>
  <c r="N137" i="46"/>
  <c r="N138" i="46"/>
  <c r="N139" i="46"/>
  <c r="N140" i="46"/>
  <c r="N141" i="46"/>
  <c r="N142" i="46"/>
  <c r="N143" i="46"/>
  <c r="N144" i="46"/>
  <c r="N145" i="46"/>
  <c r="N146" i="46"/>
  <c r="N147" i="46"/>
  <c r="N148" i="46"/>
  <c r="N149" i="46"/>
  <c r="N150" i="46"/>
  <c r="N151" i="46"/>
  <c r="N152" i="46"/>
  <c r="N153" i="46"/>
  <c r="N154" i="46"/>
  <c r="N155" i="46"/>
  <c r="N156" i="46"/>
  <c r="N157" i="46"/>
  <c r="N158" i="46"/>
  <c r="N159" i="46"/>
  <c r="N160" i="46"/>
  <c r="N161" i="46"/>
  <c r="N162" i="46"/>
  <c r="N163" i="46"/>
  <c r="N164" i="46"/>
  <c r="N165" i="46"/>
  <c r="N166" i="46"/>
  <c r="N167" i="46"/>
  <c r="N168" i="46"/>
  <c r="N169" i="46"/>
  <c r="N170" i="46"/>
  <c r="N171" i="46"/>
  <c r="N172" i="46"/>
  <c r="N173" i="46"/>
  <c r="N174" i="46"/>
  <c r="N175" i="46"/>
  <c r="N176" i="46"/>
  <c r="N177" i="46"/>
  <c r="N178" i="46"/>
  <c r="N179" i="46"/>
  <c r="N180" i="46"/>
  <c r="N181" i="46"/>
  <c r="N182" i="46"/>
  <c r="N183" i="46"/>
  <c r="N184" i="46"/>
  <c r="N185" i="46"/>
  <c r="N186" i="46"/>
  <c r="N187" i="46"/>
  <c r="N188" i="46"/>
  <c r="N189" i="46"/>
  <c r="N190" i="46"/>
  <c r="N191" i="46"/>
  <c r="N192" i="46"/>
  <c r="N193" i="46"/>
  <c r="N194" i="46"/>
  <c r="N195" i="46"/>
  <c r="N196" i="46"/>
  <c r="N197" i="46"/>
  <c r="N198" i="46"/>
  <c r="N199" i="46"/>
  <c r="N200" i="46"/>
  <c r="N201" i="46"/>
  <c r="N202" i="46"/>
  <c r="N203" i="46"/>
  <c r="N204" i="46"/>
  <c r="N205" i="46"/>
  <c r="N206" i="46"/>
  <c r="N207" i="46"/>
  <c r="N208" i="46"/>
  <c r="N209" i="46"/>
  <c r="N210" i="46"/>
  <c r="N211" i="46"/>
  <c r="N212" i="46"/>
  <c r="N213" i="46"/>
  <c r="N214" i="46"/>
  <c r="N215" i="46"/>
  <c r="N216" i="46"/>
  <c r="N217" i="46"/>
  <c r="N218" i="46"/>
  <c r="N219" i="46"/>
  <c r="N220" i="46"/>
  <c r="N221" i="46"/>
  <c r="N222" i="46"/>
  <c r="N223" i="46"/>
  <c r="N224" i="46"/>
  <c r="N225" i="46"/>
  <c r="N226" i="46"/>
  <c r="N227" i="46"/>
  <c r="N228" i="46"/>
  <c r="N229" i="46"/>
  <c r="N230" i="46"/>
  <c r="N231" i="46"/>
  <c r="N232" i="46"/>
  <c r="N233" i="46"/>
  <c r="N234" i="46"/>
  <c r="N235" i="46"/>
  <c r="N236" i="46"/>
  <c r="N237" i="46"/>
  <c r="N238" i="46"/>
  <c r="N239" i="46"/>
  <c r="N240" i="46"/>
  <c r="N241" i="46"/>
  <c r="N242" i="46"/>
  <c r="N243" i="46"/>
  <c r="N244" i="46"/>
  <c r="N245" i="46"/>
  <c r="N246" i="46"/>
  <c r="N247" i="46"/>
  <c r="N248" i="46"/>
  <c r="N249" i="46"/>
  <c r="N250" i="46"/>
  <c r="N251" i="46"/>
  <c r="N252" i="46"/>
  <c r="N253" i="46"/>
  <c r="N254" i="46"/>
  <c r="N255" i="46"/>
  <c r="N256" i="46"/>
  <c r="N257" i="46"/>
  <c r="N258" i="46"/>
  <c r="N259" i="46"/>
  <c r="N260" i="46"/>
  <c r="N261" i="46"/>
  <c r="N262" i="46"/>
  <c r="N263" i="46"/>
  <c r="N264" i="46"/>
  <c r="N265" i="46"/>
  <c r="N266" i="46"/>
  <c r="N267" i="46"/>
  <c r="N268" i="46"/>
  <c r="N269" i="46"/>
  <c r="N270" i="46"/>
  <c r="N271" i="46"/>
  <c r="N272" i="46"/>
  <c r="N273" i="46"/>
  <c r="N274" i="46"/>
  <c r="N275" i="46"/>
  <c r="N276" i="46"/>
  <c r="N277" i="46"/>
  <c r="N278" i="46"/>
  <c r="N279" i="46"/>
  <c r="N280" i="46"/>
  <c r="N281" i="46"/>
  <c r="N282" i="46"/>
  <c r="N283" i="46"/>
  <c r="N284" i="46"/>
  <c r="N285" i="46"/>
  <c r="N286" i="46"/>
  <c r="N287" i="46"/>
  <c r="N288" i="46"/>
  <c r="N289" i="46"/>
  <c r="N290" i="46"/>
  <c r="N291" i="46"/>
  <c r="N292" i="46"/>
  <c r="N293" i="46"/>
  <c r="N294" i="46"/>
  <c r="N295" i="46"/>
  <c r="N296" i="46"/>
  <c r="N297" i="46"/>
  <c r="N298" i="46"/>
  <c r="N299" i="46"/>
  <c r="N300" i="46"/>
  <c r="N301" i="46"/>
  <c r="N2" i="46"/>
  <c r="G9" i="43" l="1"/>
  <c r="G10" i="43"/>
  <c r="G11" i="43"/>
  <c r="G12" i="43"/>
  <c r="G8" i="4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EBC5FD-4348-466B-9368-01F06CB52524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<sst xmlns="http://schemas.openxmlformats.org/spreadsheetml/2006/main" count="2892" uniqueCount="375">
  <si>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</si>
  <si>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</si>
  <si>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</si>
  <si>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</si>
  <si>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</si>
  <si>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</si>
  <si>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</si>
  <si>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</si>
  <si>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</si>
  <si>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</si>
  <si>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</si>
  <si>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</si>
  <si>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</si>
  <si>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</si>
  <si>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</si>
  <si>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</si>
  <si>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</si>
  <si>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</si>
  <si>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</si>
  <si>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</si>
  <si>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</si>
  <si>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</si>
  <si>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</si>
  <si>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</si>
  <si>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</si>
  <si>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</si>
  <si>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</si>
  <si>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</si>
  <si>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</si>
  <si>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</si>
  <si>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</si>
  <si>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</si>
  <si>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</si>
  <si>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</si>
  <si>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</si>
  <si>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</si>
  <si>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</si>
  <si>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</si>
  <si>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</si>
  <si>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</si>
  <si>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</si>
  <si>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</si>
  <si>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</si>
  <si>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</si>
  <si>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</si>
  <si>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</si>
  <si>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</si>
  <si>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</si>
  <si>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</si>
  <si>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</si>
  <si>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</si>
  <si>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</si>
  <si>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</si>
  <si>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</si>
  <si>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</si>
  <si>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</si>
  <si>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</si>
  <si>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</si>
  <si>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</si>
  <si>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</si>
  <si>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</si>
  <si>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</si>
  <si>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</si>
  <si>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</si>
  <si>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</si>
  <si>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</si>
  <si>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</si>
  <si>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</si>
  <si>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</si>
  <si>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</si>
  <si>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</si>
  <si>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</si>
  <si>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</si>
  <si>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</si>
  <si>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</si>
  <si>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</si>
  <si>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</si>
  <si>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</si>
  <si>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</si>
  <si>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</si>
  <si>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</si>
  <si>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</si>
  <si>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</si>
  <si>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</si>
  <si>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</si>
  <si>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</si>
  <si>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</si>
  <si>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</si>
  <si>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</si>
  <si>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</si>
  <si>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</si>
  <si>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</si>
  <si>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</si>
  <si>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</si>
  <si>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</si>
  <si>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</si>
  <si>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</si>
  <si>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</si>
  <si>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</si>
  <si>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</si>
  <si>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</si>
  <si>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</si>
  <si>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</si>
  <si>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</si>
  <si>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</si>
  <si>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</si>
  <si>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</si>
  <si>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</si>
  <si>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</si>
  <si>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</si>
  <si>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</si>
  <si>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</si>
  <si>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</si>
  <si>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</si>
  <si>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</si>
  <si>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</si>
  <si>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</si>
  <si>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</si>
  <si>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</si>
  <si>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</si>
  <si>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</si>
  <si>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</si>
  <si>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</si>
  <si>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</si>
  <si>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</si>
  <si>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</si>
  <si>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</si>
  <si>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</si>
  <si>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</si>
  <si>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</si>
  <si>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</si>
  <si>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</si>
  <si>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</si>
  <si>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</si>
  <si>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</si>
  <si>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</si>
  <si>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</si>
  <si>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</si>
  <si>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</si>
  <si>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</si>
  <si>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</si>
  <si>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</si>
  <si>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</si>
  <si>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</si>
  <si>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</si>
  <si>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</si>
  <si>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</si>
  <si>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</si>
  <si>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</si>
  <si>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</si>
  <si>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</si>
  <si>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</si>
  <si>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</si>
  <si>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</si>
  <si>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</si>
  <si>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</si>
  <si>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</si>
  <si>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</si>
  <si>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</si>
  <si>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</si>
  <si>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</si>
  <si>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</si>
  <si>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</si>
  <si>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</si>
  <si>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</si>
  <si>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</si>
  <si>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</si>
  <si>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</si>
  <si>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</si>
  <si>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</si>
  <si>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</si>
  <si>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</si>
  <si>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</si>
  <si>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</si>
  <si>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</si>
  <si>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</si>
  <si>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</si>
  <si>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</si>
  <si>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</si>
  <si>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</si>
  <si>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</si>
  <si>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</si>
  <si>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</si>
  <si>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</si>
  <si>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</si>
  <si>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</si>
  <si>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</si>
  <si>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</si>
  <si>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</si>
  <si>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</si>
  <si>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</si>
  <si>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</si>
  <si>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</si>
  <si>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</si>
  <si>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</si>
  <si>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</si>
  <si>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</si>
  <si>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</si>
  <si>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</si>
  <si>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</si>
  <si>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</si>
  <si>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</si>
  <si>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</si>
  <si>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</si>
  <si>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</si>
  <si>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</si>
  <si>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</si>
  <si>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</si>
  <si>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</si>
  <si>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</si>
  <si>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</si>
  <si>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</si>
  <si>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</si>
  <si>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</si>
  <si>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</si>
  <si>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</si>
  <si>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</si>
  <si>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</si>
  <si>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</si>
  <si>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</si>
  <si>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</si>
  <si>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</si>
  <si>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</si>
  <si>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</si>
  <si>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</si>
  <si>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</si>
  <si>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</si>
  <si>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</si>
  <si>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</si>
  <si>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</si>
  <si>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</si>
  <si>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</si>
  <si>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</si>
  <si>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</si>
  <si>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</si>
  <si>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</si>
  <si>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</si>
  <si>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</si>
  <si>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</si>
  <si>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</si>
  <si>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</si>
  <si>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</si>
  <si>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</si>
  <si>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</si>
  <si>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</si>
  <si>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</si>
  <si>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</si>
  <si>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</si>
  <si>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</si>
  <si>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</si>
  <si>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</si>
  <si>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</si>
  <si>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</si>
  <si>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</si>
  <si>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</si>
  <si>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</si>
  <si>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</si>
  <si>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</si>
  <si>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</si>
  <si>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</si>
  <si>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</si>
  <si>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</si>
  <si>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</si>
  <si>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</si>
  <si>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</si>
  <si>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</si>
  <si>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</si>
  <si>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</si>
  <si>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</si>
  <si>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</si>
  <si>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</si>
  <si>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</si>
  <si>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</si>
  <si>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</si>
  <si>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</si>
  <si>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</si>
  <si>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</si>
  <si>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</si>
  <si>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</si>
  <si>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</si>
  <si>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</si>
  <si>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</si>
  <si>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</si>
  <si>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</si>
  <si>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</si>
  <si>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</si>
  <si>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</si>
  <si>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</si>
  <si>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</si>
  <si>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</si>
  <si>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</si>
  <si>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</si>
  <si>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</si>
  <si>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</si>
  <si>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</si>
  <si>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</si>
  <si>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</si>
  <si>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</si>
  <si>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</si>
  <si>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</si>
  <si>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</si>
  <si>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</si>
  <si>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</si>
  <si>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</si>
  <si>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</si>
  <si>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</si>
  <si>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</si>
  <si>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</si>
  <si>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</si>
  <si>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</si>
  <si>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</si>
  <si>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</si>
  <si>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</si>
  <si>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</si>
  <si>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</si>
  <si>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</si>
  <si>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</si>
  <si>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</si>
  <si>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</si>
  <si>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</si>
  <si>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</si>
  <si>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</si>
  <si>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</si>
  <si>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</si>
  <si>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</si>
  <si>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</si>
  <si>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</si>
  <si>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</si>
  <si>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</si>
  <si>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</si>
  <si>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</si>
  <si>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</si>
  <si>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</si>
  <si>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</si>
  <si>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</si>
  <si>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</si>
  <si>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 (%)</t>
  </si>
  <si>
    <t>Grand Total</t>
  </si>
  <si>
    <t>Average of Engagement Rate (%)</t>
  </si>
  <si>
    <t>Identify Top 10 Posts by Engagement rate</t>
  </si>
  <si>
    <t>#MusicForEveryone</t>
  </si>
  <si>
    <t>#SpotifyWrapped</t>
  </si>
  <si>
    <t>Average of Clicks</t>
  </si>
  <si>
    <t>Hashtags</t>
  </si>
  <si>
    <t>Average Clicks per post by Hashtag</t>
  </si>
  <si>
    <t>Ranking</t>
  </si>
  <si>
    <t>Highlight Top-Performing Hashtags using Ranking formulas</t>
  </si>
  <si>
    <t>Task 2</t>
  </si>
  <si>
    <t>Total Likes, Shares, Comments by Content Type and Platform</t>
  </si>
  <si>
    <t>Platform/Content</t>
  </si>
  <si>
    <t>Toatl of Likes</t>
  </si>
  <si>
    <t>Total of Shares</t>
  </si>
  <si>
    <t>Total of Comments</t>
  </si>
  <si>
    <t>#SoundtrackOfLife,#NowPlaying</t>
  </si>
  <si>
    <t>#MusicForEveryone,#NowPlaying</t>
  </si>
  <si>
    <t>#DiscoverWeekly,#SpotifyWrapped</t>
  </si>
  <si>
    <t>#DiscoverWeekly,#MusicForEveryone</t>
  </si>
  <si>
    <t>#DiscoverWeekly,#SoundtrackOfLife</t>
  </si>
  <si>
    <t>Platforms</t>
  </si>
  <si>
    <t>Task 2: Engagement Analysis</t>
  </si>
  <si>
    <t>2. Identify Top 10 posts by Engagement rate</t>
  </si>
  <si>
    <t>3. Total Likes, Shares, Comments by Content Type (e.g., Text, Story) and Platform</t>
  </si>
  <si>
    <t xml:space="preserve"> 3. Average Clicks per post by Hashtag</t>
  </si>
  <si>
    <t>4 . Highlight Top-Performing Hashtags using Ranking formulas</t>
  </si>
  <si>
    <t>Calculate Engagement rate per Platform:</t>
  </si>
  <si>
    <t>1. Calculate Engagement rate per Platform:</t>
  </si>
  <si>
    <t>Function used</t>
  </si>
  <si>
    <t>=RANK</t>
  </si>
  <si>
    <t>For Top Hashtags</t>
  </si>
  <si>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shows the highest total engagement across </t>
    </r>
    <r>
      <rPr>
        <b/>
        <sz val="11"/>
        <color theme="1"/>
        <rFont val="Calibri"/>
        <family val="2"/>
        <scheme val="minor"/>
      </rPr>
      <t>(likes, shares, and comments,)</t>
    </r>
    <r>
      <rPr>
        <sz val="11"/>
        <color theme="1"/>
        <rFont val="Calibri"/>
        <family val="2"/>
        <scheme val="minor"/>
      </rPr>
      <t xml:space="preserve"> with</t>
    </r>
    <r>
      <rPr>
        <b/>
        <sz val="11"/>
        <color theme="1"/>
        <rFont val="Calibri"/>
        <family val="2"/>
        <scheme val="minor"/>
      </rPr>
      <t xml:space="preserve"> Stories</t>
    </r>
    <r>
      <rPr>
        <sz val="11"/>
        <color theme="1"/>
        <rFont val="Calibri"/>
        <family val="2"/>
        <scheme val="minor"/>
      </rPr>
      <t xml:space="preserve"> performing best on this platform. Therefore, focusing more </t>
    </r>
    <r>
      <rPr>
        <b/>
        <sz val="11"/>
        <color theme="1"/>
        <rFont val="Calibri"/>
        <family val="2"/>
        <scheme val="minor"/>
      </rPr>
      <t xml:space="preserve">content strategy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campaign investment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Stories</t>
    </r>
    <r>
      <rPr>
        <sz val="11"/>
        <color theme="1"/>
        <rFont val="Calibri"/>
        <family val="2"/>
        <scheme val="minor"/>
      </rPr>
      <t xml:space="preserve"> can help maximize overall engagement and audience interaction.
</t>
    </r>
  </si>
  <si>
    <t xml:space="preserve"> </t>
  </si>
  <si>
    <r>
      <rPr>
        <b/>
        <sz val="10"/>
        <color theme="1"/>
        <rFont val="Calibri"/>
        <family val="2"/>
        <scheme val="minor"/>
      </rPr>
      <t>#SpotifyWrapped</t>
    </r>
    <r>
      <rPr>
        <sz val="10"/>
        <color theme="1"/>
        <rFont val="Calibri"/>
        <family val="2"/>
        <scheme val="minor"/>
      </rPr>
      <t xml:space="preserve"> gets the highest </t>
    </r>
    <r>
      <rPr>
        <b/>
        <sz val="10"/>
        <color theme="1"/>
        <rFont val="Calibri"/>
        <family val="2"/>
        <scheme val="minor"/>
      </rPr>
      <t>average clicks</t>
    </r>
    <r>
      <rPr>
        <sz val="10"/>
        <color theme="1"/>
        <rFont val="Calibri"/>
        <family val="2"/>
        <scheme val="minor"/>
      </rPr>
      <t xml:space="preserve">, so it attracts the most audience attention.Use </t>
    </r>
    <r>
      <rPr>
        <b/>
        <sz val="10"/>
        <color theme="1"/>
        <rFont val="Calibri"/>
        <family val="2"/>
        <scheme val="minor"/>
      </rPr>
      <t>#SpotifyWrappe</t>
    </r>
    <r>
      <rPr>
        <sz val="10"/>
        <color theme="1"/>
        <rFont val="Calibri"/>
        <family val="2"/>
        <scheme val="minor"/>
      </rPr>
      <t>d more frequently in</t>
    </r>
    <r>
      <rPr>
        <b/>
        <sz val="10"/>
        <color theme="1"/>
        <rFont val="Calibri"/>
        <family val="2"/>
        <scheme val="minor"/>
      </rPr>
      <t xml:space="preserve"> campaigns</t>
    </r>
    <r>
      <rPr>
        <sz val="10"/>
        <color theme="1"/>
        <rFont val="Calibri"/>
        <family val="2"/>
        <scheme val="minor"/>
      </rPr>
      <t xml:space="preserve"> to increase clicks and reach.</t>
    </r>
  </si>
  <si>
    <r>
      <t xml:space="preserve">Top ranked hashtags </t>
    </r>
    <r>
      <rPr>
        <b/>
        <sz val="10"/>
        <color theme="1"/>
        <rFont val="Calibri"/>
        <family val="2"/>
        <scheme val="minor"/>
      </rPr>
      <t>(#SpotifyWrapped, #DiscoverWeekly)</t>
    </r>
    <r>
      <rPr>
        <sz val="10"/>
        <color theme="1"/>
        <rFont val="Calibri"/>
        <family val="2"/>
        <scheme val="minor"/>
      </rPr>
      <t xml:space="preserve"> perform much better than lower ranked ones.
Prioritize top-ranked hashtags in posts and avoid low-ranking hashtags for better performance.</t>
    </r>
  </si>
  <si>
    <r>
      <rPr>
        <b/>
        <sz val="11.5"/>
        <color theme="1"/>
        <rFont val="Calibri"/>
        <family val="2"/>
        <scheme val="minor"/>
      </rPr>
      <t>Twitter</t>
    </r>
    <r>
      <rPr>
        <sz val="11.5"/>
        <color theme="1"/>
        <rFont val="Calibri"/>
        <family val="2"/>
        <scheme val="minor"/>
      </rPr>
      <t xml:space="preserve"> has the highest average engagement rate at </t>
    </r>
    <r>
      <rPr>
        <b/>
        <sz val="11.5"/>
        <color theme="1"/>
        <rFont val="Calibri"/>
        <family val="2"/>
        <scheme val="minor"/>
      </rPr>
      <t>(9.60%)</t>
    </r>
    <r>
      <rPr>
        <sz val="11.5"/>
        <color theme="1"/>
        <rFont val="Calibri"/>
        <family val="2"/>
        <scheme val="minor"/>
      </rPr>
      <t>, compared to</t>
    </r>
    <r>
      <rPr>
        <b/>
        <sz val="11.5"/>
        <color theme="1"/>
        <rFont val="Calibri"/>
        <family val="2"/>
        <scheme val="minor"/>
      </rPr>
      <t xml:space="preserve"> Instagram (9.08%)</t>
    </r>
    <r>
      <rPr>
        <sz val="11.5"/>
        <color theme="1"/>
        <rFont val="Calibri"/>
        <family val="2"/>
        <scheme val="minor"/>
      </rPr>
      <t xml:space="preserve"> and </t>
    </r>
    <r>
      <rPr>
        <b/>
        <sz val="11.5"/>
        <color theme="1"/>
        <rFont val="Calibri"/>
        <family val="2"/>
        <scheme val="minor"/>
      </rPr>
      <t>YouTube (8.81%)</t>
    </r>
    <r>
      <rPr>
        <sz val="11.5"/>
        <color theme="1"/>
        <rFont val="Calibri"/>
        <family val="2"/>
        <scheme val="minor"/>
      </rPr>
      <t xml:space="preserve">. This shows that </t>
    </r>
    <r>
      <rPr>
        <b/>
        <sz val="11.5"/>
        <color theme="1"/>
        <rFont val="Calibri"/>
        <family val="2"/>
        <scheme val="minor"/>
      </rPr>
      <t>Twitter</t>
    </r>
    <r>
      <rPr>
        <sz val="11.5"/>
        <color theme="1"/>
        <rFont val="Calibri"/>
        <family val="2"/>
        <scheme val="minor"/>
      </rPr>
      <t xml:space="preserve"> is the most effective platform for audience interaction and should be given more focus for future</t>
    </r>
    <r>
      <rPr>
        <b/>
        <sz val="11.5"/>
        <color theme="1"/>
        <rFont val="Calibri"/>
        <family val="2"/>
        <scheme val="minor"/>
      </rPr>
      <t xml:space="preserve"> content</t>
    </r>
    <r>
      <rPr>
        <sz val="11.5"/>
        <color theme="1"/>
        <rFont val="Calibri"/>
        <family val="2"/>
        <scheme val="minor"/>
      </rPr>
      <t xml:space="preserve"> and </t>
    </r>
    <r>
      <rPr>
        <b/>
        <sz val="11.5"/>
        <color theme="1"/>
        <rFont val="Calibri"/>
        <family val="2"/>
        <scheme val="minor"/>
      </rPr>
      <t>campaign investments.</t>
    </r>
  </si>
  <si>
    <r>
      <rPr>
        <b/>
        <sz val="14"/>
        <color theme="1"/>
        <rFont val="Calibri"/>
        <family val="2"/>
        <scheme val="minor"/>
      </rPr>
      <t>Analysis</t>
    </r>
    <r>
      <rPr>
        <sz val="14"/>
        <color theme="1"/>
        <rFont val="Calibri"/>
        <family val="2"/>
        <scheme val="minor"/>
      </rPr>
      <t xml:space="preserve"> of the </t>
    </r>
    <r>
      <rPr>
        <b/>
        <sz val="14"/>
        <color theme="1"/>
        <rFont val="Calibri"/>
        <family val="2"/>
        <scheme val="minor"/>
      </rPr>
      <t>top 10 posts</t>
    </r>
    <r>
      <rPr>
        <sz val="14"/>
        <color theme="1"/>
        <rFont val="Calibri"/>
        <family val="2"/>
        <scheme val="minor"/>
      </rPr>
      <t xml:space="preserve"> shows that </t>
    </r>
    <r>
      <rPr>
        <b/>
        <sz val="14"/>
        <color theme="1"/>
        <rFont val="Calibri"/>
        <family val="2"/>
        <scheme val="minor"/>
      </rPr>
      <t xml:space="preserve">Twitter </t>
    </r>
    <r>
      <rPr>
        <sz val="14"/>
        <color theme="1"/>
        <rFont val="Calibri"/>
        <family val="2"/>
        <scheme val="minor"/>
      </rPr>
      <t xml:space="preserve">with </t>
    </r>
    <r>
      <rPr>
        <b/>
        <sz val="14"/>
        <color theme="1"/>
        <rFont val="Calibri"/>
        <family val="2"/>
        <scheme val="minor"/>
      </rPr>
      <t xml:space="preserve"> Story</t>
    </r>
    <r>
      <rPr>
        <sz val="14"/>
        <color theme="1"/>
        <rFont val="Calibri"/>
        <family val="2"/>
        <scheme val="minor"/>
      </rPr>
      <t xml:space="preserve"> content delivers the highest engagement rate </t>
    </r>
    <r>
      <rPr>
        <b/>
        <sz val="14"/>
        <color theme="1"/>
        <rFont val="Calibri"/>
        <family val="2"/>
        <scheme val="minor"/>
      </rPr>
      <t>(26.06%)</t>
    </r>
    <r>
      <rPr>
        <sz val="14"/>
        <color theme="1"/>
        <rFont val="Calibri"/>
        <family val="2"/>
        <scheme val="minor"/>
      </rPr>
      <t xml:space="preserve">, indicating it is the most effective platform–content combination. This insight helps enhance </t>
    </r>
    <r>
      <rPr>
        <b/>
        <sz val="14"/>
        <color theme="1"/>
        <rFont val="Calibri"/>
        <family val="2"/>
        <scheme val="minor"/>
      </rPr>
      <t>content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strategy,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optimize platform investment</t>
    </r>
    <r>
      <rPr>
        <sz val="14"/>
        <color theme="1"/>
        <rFont val="Calibri"/>
        <family val="2"/>
        <scheme val="minor"/>
      </rPr>
      <t xml:space="preserve"> by focusing more on high-performing formats.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</si>
</sst>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&quot;Aptos Narrow&quot;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2"/>
      </top>
      <bottom/>
      <diagonal/>
    </border>
    <border>
      <left style="thin">
        <color theme="4" tint="0.79998168889431442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0" fontId="8" fillId="0" borderId="0"/>
  </cellStyleXfs>
  <cellXfs count="115">
    <xf numFmtId="0" fontId="0" fillId="0" borderId="0" xfId="0"/>
    <xf numFmtId="0" fontId="15" fillId="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1" xfId="0" applyBorder="1"/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1" fontId="0" fillId="0" borderId="7" xfId="0" applyNumberFormat="1" applyBorder="1"/>
    <xf numFmtId="1" fontId="0" fillId="0" borderId="2" xfId="0" applyNumberFormat="1" applyBorder="1"/>
    <xf numFmtId="1" fontId="0" fillId="0" borderId="4" xfId="0" applyNumberFormat="1" applyBorder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1" fontId="0" fillId="0" borderId="9" xfId="0" applyNumberFormat="1" applyBorder="1"/>
    <xf numFmtId="1" fontId="0" fillId="0" borderId="5" xfId="0" applyNumberFormat="1" applyBorder="1"/>
    <xf numFmtId="0" fontId="11" fillId="2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1" xfId="0" pivotButton="1" applyBorder="1"/>
    <xf numFmtId="1" fontId="0" fillId="0" borderId="0" xfId="0" applyNumberFormat="1"/>
    <xf numFmtId="0" fontId="0" fillId="0" borderId="8" xfId="0" applyBorder="1" applyAlignment="1">
      <alignment horizontal="left" indent="1"/>
    </xf>
    <xf numFmtId="10" fontId="11" fillId="2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5" fillId="0" borderId="0" xfId="0" applyFont="1"/>
    <xf numFmtId="0" fontId="18" fillId="0" borderId="0" xfId="0" applyFont="1" applyAlignment="1">
      <alignment horizontal="left" vertical="center" indent="30"/>
    </xf>
    <xf numFmtId="10" fontId="20" fillId="0" borderId="1" xfId="0" applyNumberFormat="1" applyFont="1" applyBorder="1" applyAlignment="1">
      <alignment horizontal="center"/>
    </xf>
    <xf numFmtId="0" fontId="6" fillId="0" borderId="0" xfId="0" applyFont="1"/>
    <xf numFmtId="1" fontId="0" fillId="4" borderId="1" xfId="0" applyNumberFormat="1" applyFill="1" applyBorder="1"/>
    <xf numFmtId="0" fontId="0" fillId="0" borderId="10" xfId="0" applyBorder="1"/>
    <xf numFmtId="0" fontId="0" fillId="0" borderId="11" xfId="0" applyBorder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7" fillId="0" borderId="1" xfId="0" pivotButton="1" applyFont="1" applyBorder="1"/>
    <xf numFmtId="0" fontId="27" fillId="0" borderId="1" xfId="0" applyFont="1" applyBorder="1" applyAlignment="1">
      <alignment horizontal="right"/>
    </xf>
    <xf numFmtId="0" fontId="22" fillId="0" borderId="9" xfId="0" applyFont="1" applyBorder="1" applyAlignment="1">
      <alignment horizontal="left"/>
    </xf>
    <xf numFmtId="10" fontId="22" fillId="0" borderId="9" xfId="0" applyNumberFormat="1" applyFont="1" applyBorder="1"/>
    <xf numFmtId="0" fontId="22" fillId="0" borderId="5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10" fontId="22" fillId="0" borderId="5" xfId="0" applyNumberFormat="1" applyFont="1" applyBorder="1"/>
    <xf numFmtId="0" fontId="17" fillId="0" borderId="0" xfId="0" applyFont="1" applyAlignment="1">
      <alignment horizontal="left" vertical="center" indent="39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Continuous"/>
    </xf>
    <xf numFmtId="0" fontId="3" fillId="7" borderId="1" xfId="0" quotePrefix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" fontId="16" fillId="3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Continuous"/>
    </xf>
    <xf numFmtId="0" fontId="22" fillId="8" borderId="6" xfId="0" applyFont="1" applyFill="1" applyBorder="1" applyAlignment="1">
      <alignment horizontal="left"/>
    </xf>
    <xf numFmtId="10" fontId="22" fillId="9" borderId="6" xfId="0" applyNumberFormat="1" applyFont="1" applyFill="1" applyBorder="1"/>
    <xf numFmtId="0" fontId="22" fillId="0" borderId="0" xfId="0" applyFont="1"/>
    <xf numFmtId="0" fontId="0" fillId="8" borderId="8" xfId="0" applyFill="1" applyBorder="1" applyAlignment="1">
      <alignment horizontal="left"/>
    </xf>
    <xf numFmtId="1" fontId="0" fillId="8" borderId="0" xfId="0" applyNumberFormat="1" applyFill="1"/>
    <xf numFmtId="1" fontId="0" fillId="8" borderId="7" xfId="0" applyNumberFormat="1" applyFill="1" applyBorder="1"/>
    <xf numFmtId="0" fontId="0" fillId="4" borderId="8" xfId="0" applyFill="1" applyBorder="1" applyAlignment="1">
      <alignment horizontal="left" indent="1"/>
    </xf>
    <xf numFmtId="1" fontId="0" fillId="4" borderId="0" xfId="0" applyNumberFormat="1" applyFill="1"/>
    <xf numFmtId="1" fontId="0" fillId="4" borderId="7" xfId="0" applyNumberFormat="1" applyFill="1" applyBorder="1"/>
    <xf numFmtId="0" fontId="2" fillId="0" borderId="0" xfId="0" applyFont="1"/>
    <xf numFmtId="0" fontId="7" fillId="4" borderId="1" xfId="0" applyFont="1" applyFill="1" applyBorder="1" applyAlignment="1">
      <alignment horizontal="left"/>
    </xf>
    <xf numFmtId="0" fontId="0" fillId="4" borderId="1" xfId="0" applyFill="1" applyBorder="1"/>
    <xf numFmtId="0" fontId="0" fillId="8" borderId="6" xfId="0" applyFill="1" applyBorder="1" applyAlignment="1">
      <alignment horizontal="left"/>
    </xf>
    <xf numFmtId="1" fontId="0" fillId="8" borderId="6" xfId="0" applyNumberFormat="1" applyFill="1" applyBorder="1"/>
    <xf numFmtId="0" fontId="23" fillId="6" borderId="14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23" fillId="6" borderId="16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19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31" fillId="6" borderId="14" xfId="0" applyFont="1" applyFill="1" applyBorder="1" applyAlignment="1">
      <alignment horizontal="center" vertical="center" wrapText="1"/>
    </xf>
    <xf numFmtId="0" fontId="31" fillId="6" borderId="15" xfId="0" applyFont="1" applyFill="1" applyBorder="1" applyAlignment="1">
      <alignment horizontal="center" vertical="center" wrapText="1"/>
    </xf>
    <xf numFmtId="0" fontId="31" fillId="6" borderId="17" xfId="0" applyFont="1" applyFill="1" applyBorder="1" applyAlignment="1">
      <alignment horizontal="center" vertical="center" wrapText="1"/>
    </xf>
    <xf numFmtId="0" fontId="31" fillId="6" borderId="13" xfId="0" applyFont="1" applyFill="1" applyBorder="1" applyAlignment="1">
      <alignment horizontal="center" vertical="center" wrapText="1"/>
    </xf>
    <xf numFmtId="0" fontId="31" fillId="6" borderId="0" xfId="0" applyFont="1" applyFill="1" applyAlignment="1">
      <alignment horizontal="center" vertical="center" wrapText="1"/>
    </xf>
    <xf numFmtId="0" fontId="31" fillId="6" borderId="18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 wrapText="1"/>
    </xf>
    <xf numFmtId="0" fontId="31" fillId="6" borderId="19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1" fontId="16" fillId="3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8" fillId="5" borderId="20" xfId="0" applyFont="1" applyFill="1" applyBorder="1" applyAlignment="1">
      <alignment horizontal="center" vertical="center" wrapText="1"/>
    </xf>
    <xf numFmtId="0" fontId="28" fillId="5" borderId="21" xfId="0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8" fillId="5" borderId="7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indent="32"/>
    </xf>
    <xf numFmtId="0" fontId="15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EEA20FA-2C26-4F28-97F9-AEF6D251DFA2}"/>
    <cellStyle name="Normal 3" xfId="2" xr:uid="{521266F2-16FB-418B-958C-B83347127FB2}"/>
  </cellStyles>
  <dxfs count="75">
    <dxf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right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65" formatCode="0.0"/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rgb="FF00B050"/>
        </patternFill>
      </fill>
    </dxf>
    <dxf>
      <fill>
        <patternFill patternType="solid">
          <bgColor rgb="FF92D05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3"/>
      </font>
    </dxf>
    <dxf>
      <font>
        <sz val="13"/>
      </font>
    </dxf>
    <dxf>
      <alignment horizontal="right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C6EFCE"/>
      <color rgb="FFF2F2F2"/>
      <color rgb="FF867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56111</xdr:colOff>
      <xdr:row>6</xdr:row>
      <xdr:rowOff>151708</xdr:rowOff>
    </xdr:from>
    <xdr:to>
      <xdr:col>10</xdr:col>
      <xdr:colOff>492529</xdr:colOff>
      <xdr:row>10</xdr:row>
      <xdr:rowOff>172489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92C49655-432A-DA8A-17B8-4C609A309DC3}"/>
            </a:ext>
          </a:extLst>
        </xdr:cNvPr>
        <xdr:cNvCxnSpPr/>
      </xdr:nvCxnSpPr>
      <xdr:spPr>
        <a:xfrm>
          <a:off x="7881851" y="1332808"/>
          <a:ext cx="1046018" cy="958041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48491</xdr:colOff>
      <xdr:row>8</xdr:row>
      <xdr:rowOff>103909</xdr:rowOff>
    </xdr:from>
    <xdr:to>
      <xdr:col>12</xdr:col>
      <xdr:colOff>207819</xdr:colOff>
      <xdr:row>12</xdr:row>
      <xdr:rowOff>27711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1CAA55CC-DF2E-DFBF-0660-F3B059944CCF}"/>
            </a:ext>
          </a:extLst>
        </xdr:cNvPr>
        <xdr:cNvCxnSpPr/>
      </xdr:nvCxnSpPr>
      <xdr:spPr>
        <a:xfrm>
          <a:off x="10889673" y="1849582"/>
          <a:ext cx="755073" cy="644238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7</xdr:row>
      <xdr:rowOff>76200</xdr:rowOff>
    </xdr:from>
    <xdr:to>
      <xdr:col>13</xdr:col>
      <xdr:colOff>425450</xdr:colOff>
      <xdr:row>13</xdr:row>
      <xdr:rowOff>82550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0CA5C83-05D8-27D6-BE9E-17EF3BB4AB13}"/>
            </a:ext>
          </a:extLst>
        </xdr:cNvPr>
        <xdr:cNvCxnSpPr/>
      </xdr:nvCxnSpPr>
      <xdr:spPr>
        <a:xfrm>
          <a:off x="8547100" y="1581150"/>
          <a:ext cx="1174750" cy="111125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5861</xdr:colOff>
      <xdr:row>6</xdr:row>
      <xdr:rowOff>87923</xdr:rowOff>
    </xdr:from>
    <xdr:to>
      <xdr:col>9</xdr:col>
      <xdr:colOff>11723</xdr:colOff>
      <xdr:row>9</xdr:row>
      <xdr:rowOff>169985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CE2D182B-5B48-4E63-8642-BBD905FB9202}"/>
            </a:ext>
          </a:extLst>
        </xdr:cNvPr>
        <xdr:cNvCxnSpPr/>
      </xdr:nvCxnSpPr>
      <xdr:spPr>
        <a:xfrm>
          <a:off x="8182707" y="1289538"/>
          <a:ext cx="709247" cy="627185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152401</xdr:rowOff>
    </xdr:from>
    <xdr:to>
      <xdr:col>8</xdr:col>
      <xdr:colOff>0</xdr:colOff>
      <xdr:row>8</xdr:row>
      <xdr:rowOff>169985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4E3162AF-BB3D-4D58-BA73-EBEEDF98E903}"/>
            </a:ext>
          </a:extLst>
        </xdr:cNvPr>
        <xdr:cNvCxnSpPr/>
      </xdr:nvCxnSpPr>
      <xdr:spPr>
        <a:xfrm>
          <a:off x="6787662" y="1160586"/>
          <a:ext cx="726830" cy="633045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3.435158796296" createdVersion="8" refreshedVersion="8" minRefreshableVersion="3" recordCount="300" xr:uid="{D5B10586-B4AA-48B0-BFDB-639A3BAE40AE}">
  <cacheSource type="worksheet">
    <worksheetSource ref="A1:N301" sheet="Cleaned_post_Data "/>
  </cacheSource>
  <cacheFields count="14">
    <cacheField name="Post ID" numFmtId="0">
      <sharedItems/>
    </cacheField>
    <cacheField name="Platform" numFmtId="49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49">
      <sharedItems count="3">
        <s v="Text"/>
        <s v="Story"/>
        <s v="Reel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49">
      <sharedItems/>
    </cacheField>
    <cacheField name="Engagement Rate (%)" numFmtId="1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3.440896759261" createdVersion="8" refreshedVersion="8" minRefreshableVersion="3" recordCount="483" xr:uid="{4DFB40DC-9BA3-441D-8397-F5BEC7814793}">
  <cacheSource type="worksheet">
    <worksheetSource name="Table4_1"/>
  </cacheSource>
  <cacheFields count="3">
    <cacheField name="Post ID" numFmtId="0">
      <sharedItems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licks" numFmtId="0">
      <sharedItems containsSemiMixedTypes="0" containsString="0" containsNumber="1" containsInteger="1" minValue="80" maxValue="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s v="#SoundtrackOfLife,#NowPlaying"/>
    <s v="ChillVibes"/>
    <n v="0.13200509890939993"/>
  </r>
  <r>
    <s v="SP002"/>
    <x v="0"/>
    <d v="2025-02-01T00:00:00"/>
    <x v="0"/>
    <s v="Explore the latest podcasts now."/>
    <n v="1934"/>
    <n v="210"/>
    <n v="393"/>
    <n v="29129"/>
    <n v="73287"/>
    <n v="273"/>
    <s v="#DiscoverWeekly"/>
    <s v="IndieWave"/>
    <n v="8.7095334546328396E-2"/>
  </r>
  <r>
    <s v="SP003"/>
    <x v="1"/>
    <d v="2024-12-03T00:00:00"/>
    <x v="1"/>
    <s v="New music just dropped. Hit play!"/>
    <n v="3092"/>
    <n v="177"/>
    <n v="81"/>
    <n v="47533"/>
    <n v="29220"/>
    <n v="121"/>
    <s v="#MusicForEveryone,#NowPlaying"/>
    <s v="ChillVibes"/>
    <n v="7.0477352576105018E-2"/>
  </r>
  <r>
    <s v="SP004"/>
    <x v="0"/>
    <d v="2024-12-03T00:00:00"/>
    <x v="0"/>
    <s v="Wrapped is here! Relive your top tracks ðŸŽ§"/>
    <n v="3173"/>
    <n v="229"/>
    <n v="197"/>
    <n v="29604"/>
    <n v="21809"/>
    <n v="272"/>
    <s v="#SoundtrackOfLife,#NowPlaying"/>
    <s v="ChillVibes"/>
    <n v="0.1215714092690177"/>
  </r>
  <r>
    <s v="SP005"/>
    <x v="2"/>
    <d v="2024-04-06T00:00:00"/>
    <x v="0"/>
    <s v="Music that moves youâ€”only on Spotify."/>
    <n v="2748"/>
    <n v="145"/>
    <n v="315"/>
    <n v="24401"/>
    <n v="61182"/>
    <n v="200"/>
    <s v="#DiscoverWeekly,#SpotifyWrapped"/>
    <s v="IndieWave"/>
    <n v="0.1314700217204213"/>
  </r>
  <r>
    <s v="SP006"/>
    <x v="2"/>
    <d v="2024-06-13T00:00:00"/>
    <x v="0"/>
    <s v="Whatâ€™s your vibe today? #SpotifyHits"/>
    <n v="3882"/>
    <n v="239"/>
    <n v="275"/>
    <n v="58748"/>
    <n v="44646"/>
    <n v="149"/>
    <s v="#DiscoverWeekly,#SpotifyWrapped"/>
    <s v="IndieWave"/>
    <n v="7.4828079253761837E-2"/>
  </r>
  <r>
    <s v="SP007"/>
    <x v="1"/>
    <d v="2024-12-19T00:00:00"/>
    <x v="1"/>
    <s v="Get into the groove with our new drop!"/>
    <n v="4674"/>
    <n v="409"/>
    <n v="327"/>
    <n v="20756"/>
    <n v="63599"/>
    <n v="212"/>
    <s v="#SoundtrackOfLife,#NowPlaying"/>
    <s v="ChillVibes"/>
    <n v="0.26064752360763155"/>
  </r>
  <r>
    <s v="SP008"/>
    <x v="1"/>
    <d v="2024-05-09T00:00:00"/>
    <x v="1"/>
    <s v="Wrapped is here! Relive your top tracks ðŸŽ§"/>
    <n v="1428"/>
    <n v="347"/>
    <n v="67"/>
    <n v="21148"/>
    <n v="19712"/>
    <n v="120"/>
    <s v="#DiscoverWeekly,#MusicForEveryone"/>
    <s v="ChillVibes"/>
    <n v="8.7100435029317191E-2"/>
  </r>
  <r>
    <s v="SP009"/>
    <x v="1"/>
    <d v="2025-06-15T00:00:00"/>
    <x v="0"/>
    <s v="Top trending tracks updated daily!"/>
    <n v="4432"/>
    <n v="223"/>
    <n v="299"/>
    <n v="59016"/>
    <n v="21742"/>
    <n v="171"/>
    <s v="#NowPlaying"/>
    <s v="ChillVibes"/>
    <n v="8.3943337400027115E-2"/>
  </r>
  <r>
    <s v="SP010"/>
    <x v="1"/>
    <d v="2024-12-04T00:00:00"/>
    <x v="0"/>
    <s v="Wrapped is here! Relive your top tracks ðŸŽ§"/>
    <n v="2357"/>
    <n v="274"/>
    <n v="172"/>
    <n v="21566"/>
    <n v="66829"/>
    <n v="284"/>
    <s v="#NowPlaying"/>
    <s v="ChillVibes"/>
    <n v="0.12997310581470833"/>
  </r>
  <r>
    <s v="SP011"/>
    <x v="1"/>
    <d v="2024-03-06T00:00:00"/>
    <x v="0"/>
    <s v="Discover fresh beats on Spotify!"/>
    <n v="1971"/>
    <n v="370"/>
    <n v="306"/>
    <n v="31316"/>
    <n v="27897"/>
    <n v="88"/>
    <s v="#SoundtrackOfLife"/>
    <s v="IndieWave"/>
    <n v="8.4525482181632389E-2"/>
  </r>
  <r>
    <s v="SP012"/>
    <x v="0"/>
    <d v="2024-05-14T00:00:00"/>
    <x v="0"/>
    <s v="Discover fresh beats on Spotify!"/>
    <n v="1485"/>
    <n v="353"/>
    <n v="244"/>
    <n v="38419"/>
    <n v="38556"/>
    <n v="86"/>
    <s v="#SoundtrackOfLife,#NowPlaying"/>
    <s v="ChillVibes"/>
    <n v="5.4191936281527367E-2"/>
  </r>
  <r>
    <s v="SP013"/>
    <x v="1"/>
    <d v="2025-06-18T00:00:00"/>
    <x v="1"/>
    <s v="Discover fresh beats on Spotify!"/>
    <n v="3956"/>
    <n v="319"/>
    <n v="61"/>
    <n v="58162"/>
    <n v="28720"/>
    <n v="213"/>
    <s v="#MusicForEveryone,#NowPlaying"/>
    <s v="ChillVibes"/>
    <n v="7.4550393727863554E-2"/>
  </r>
  <r>
    <s v="SP014"/>
    <x v="1"/>
    <d v="2024-10-08T00:00:00"/>
    <x v="0"/>
    <s v="From pop to podcasts, itâ€™s all here."/>
    <n v="2460"/>
    <n v="409"/>
    <n v="253"/>
    <n v="36702"/>
    <n v="46122"/>
    <n v="264"/>
    <s v="#NowPlaying"/>
    <s v="ChillVibes"/>
    <n v="8.5063484278785892E-2"/>
  </r>
  <r>
    <s v="SP015"/>
    <x v="1"/>
    <d v="2024-05-06T00:00:00"/>
    <x v="0"/>
    <s v="Your weekend playlist is waiting."/>
    <n v="3476"/>
    <n v="355"/>
    <n v="396"/>
    <n v="37492"/>
    <n v="27285"/>
    <n v="179"/>
    <s v="#NowPlaying"/>
    <s v="ChillVibes"/>
    <n v="0.11274405206444041"/>
  </r>
  <r>
    <s v="SP016"/>
    <x v="1"/>
    <d v="2024-12-29T00:00:00"/>
    <x v="1"/>
    <s v="New music just dropped. Hit play!"/>
    <n v="4049"/>
    <n v="377"/>
    <n v="94"/>
    <n v="48182"/>
    <n v="42875"/>
    <n v="172"/>
    <s v="#MusicForEveryone,#NowPlaying"/>
    <s v="ChillVibes"/>
    <n v="9.3810966751068869E-2"/>
  </r>
  <r>
    <s v="SP017"/>
    <x v="1"/>
    <d v="2024-06-10T00:00:00"/>
    <x v="0"/>
    <s v="Whatâ€™s your vibe today? #SpotifyHits"/>
    <n v="1514"/>
    <n v="164"/>
    <n v="275"/>
    <n v="41364"/>
    <n v="44389"/>
    <n v="83"/>
    <s v="#NowPlaying"/>
    <s v="ChillVibes"/>
    <n v="4.7214969538729328E-2"/>
  </r>
  <r>
    <s v="SP018"/>
    <x v="0"/>
    <d v="2024-02-03T00:00:00"/>
    <x v="1"/>
    <s v="Music that moves youâ€”only on Spotify."/>
    <n v="4281"/>
    <n v="101"/>
    <n v="163"/>
    <n v="32278"/>
    <n v="53382"/>
    <n v="235"/>
    <s v="#NowPlaying"/>
    <s v="Wrapped2024"/>
    <n v="0.1408079806679472"/>
  </r>
  <r>
    <s v="SP019"/>
    <x v="2"/>
    <d v="2024-06-15T00:00:00"/>
    <x v="2"/>
    <s v="Get into the groove with our new drop!"/>
    <n v="1751"/>
    <n v="143"/>
    <n v="151"/>
    <n v="31826"/>
    <n v="47729"/>
    <n v="95"/>
    <s v="#DiscoverWeekly,#SoundtrackOfLife"/>
    <s v="SummerBeats"/>
    <n v="6.4255640042732362E-2"/>
  </r>
  <r>
    <s v="SP020"/>
    <x v="0"/>
    <d v="2024-07-05T00:00:00"/>
    <x v="0"/>
    <s v="Your weekend playlist is waiting."/>
    <n v="3753"/>
    <n v="411"/>
    <n v="308"/>
    <n v="29138"/>
    <n v="27678"/>
    <n v="90"/>
    <s v="#DiscoverWeekly"/>
    <s v="IndieWave"/>
    <n v="0.15347655981879332"/>
  </r>
  <r>
    <s v="SP021"/>
    <x v="0"/>
    <d v="2024-11-07T00:00:00"/>
    <x v="1"/>
    <s v="Wrapped is here! Relive your top tracks ðŸŽ§"/>
    <n v="1678"/>
    <n v="423"/>
    <n v="323"/>
    <n v="55668"/>
    <n v="37945"/>
    <n v="230"/>
    <s v="#NowPlaying"/>
    <s v="Wrapped2024"/>
    <n v="4.3543867212761371E-2"/>
  </r>
  <r>
    <s v="SP022"/>
    <x v="0"/>
    <d v="2025-06-15T00:00:00"/>
    <x v="0"/>
    <s v="Whatâ€™s your vibe today? #SpotifyHits"/>
    <n v="4896"/>
    <n v="466"/>
    <n v="233"/>
    <n v="28621"/>
    <n v="34270"/>
    <n v="84"/>
    <s v="#SoundtrackOfLife,#NowPlaying"/>
    <s v="ChillVibes"/>
    <n v="0.19548583208133888"/>
  </r>
  <r>
    <s v="SP023"/>
    <x v="2"/>
    <d v="2024-06-09T00:00:00"/>
    <x v="2"/>
    <s v="From pop to podcasts, itâ€™s all here."/>
    <n v="2786"/>
    <n v="368"/>
    <n v="208"/>
    <n v="42000"/>
    <n v="39967"/>
    <n v="103"/>
    <s v="#DiscoverWeekly,#SoundtrackOfLife"/>
    <s v="SummerBeats"/>
    <n v="8.0047619047619048E-2"/>
  </r>
  <r>
    <s v="SP024"/>
    <x v="1"/>
    <d v="2024-10-18T00:00:00"/>
    <x v="0"/>
    <s v="New music just dropped. Hit play!"/>
    <n v="2607"/>
    <n v="379"/>
    <n v="180"/>
    <n v="28712"/>
    <n v="61620"/>
    <n v="174"/>
    <s v="#SoundtrackOfLife"/>
    <s v="IndieWave"/>
    <n v="0.11026748397882419"/>
  </r>
  <r>
    <s v="SP025"/>
    <x v="2"/>
    <d v="2024-10-10T00:00:00"/>
    <x v="2"/>
    <s v="From pop to podcasts, itâ€™s all here."/>
    <n v="4013"/>
    <n v="320"/>
    <n v="92"/>
    <n v="54605"/>
    <n v="60169"/>
    <n v="232"/>
    <s v="#DiscoverWeekly,#SoundtrackOfLife"/>
    <s v="SummerBeats"/>
    <n v="8.1036535115831879E-2"/>
  </r>
  <r>
    <s v="SP026"/>
    <x v="1"/>
    <d v="2025-05-14T00:00:00"/>
    <x v="1"/>
    <s v="From pop to podcasts, itâ€™s all here."/>
    <n v="2707"/>
    <n v="103"/>
    <n v="51"/>
    <n v="55302"/>
    <n v="18801"/>
    <n v="147"/>
    <s v="#DiscoverWeekly,#MusicForEveryone"/>
    <s v="ChillVibes"/>
    <n v="5.173411449857148E-2"/>
  </r>
  <r>
    <s v="SP027"/>
    <x v="0"/>
    <d v="2024-11-29T00:00:00"/>
    <x v="0"/>
    <s v="Whatâ€™s your vibe today? #SpotifyHits"/>
    <n v="2824"/>
    <n v="425"/>
    <n v="274"/>
    <n v="31004"/>
    <n v="53488"/>
    <n v="268"/>
    <s v="#SoundtrackOfLife,#NowPlaying"/>
    <s v="ChillVibes"/>
    <n v="0.11363049929041415"/>
  </r>
  <r>
    <s v="SP028"/>
    <x v="2"/>
    <d v="2024-03-05T00:00:00"/>
    <x v="2"/>
    <s v="Explore the latest podcasts now."/>
    <n v="3558"/>
    <n v="314"/>
    <n v="199"/>
    <n v="49612"/>
    <n v="53929"/>
    <n v="206"/>
    <s v="#DiscoverWeekly,#SoundtrackOfLife"/>
    <s v="SummerBeats"/>
    <n v="8.205676046117874E-2"/>
  </r>
  <r>
    <s v="SP029"/>
    <x v="1"/>
    <d v="2025-03-18T00:00:00"/>
    <x v="1"/>
    <s v="Explore the latest podcasts now."/>
    <n v="3418"/>
    <n v="188"/>
    <n v="387"/>
    <n v="57431"/>
    <n v="36933"/>
    <n v="202"/>
    <s v="#MusicForEveryone,#NowPlaying"/>
    <s v="ChillVibes"/>
    <n v="6.9526910553533799E-2"/>
  </r>
  <r>
    <s v="SP030"/>
    <x v="1"/>
    <d v="2025-04-26T00:00:00"/>
    <x v="0"/>
    <s v="Discover fresh beats on Spotify!"/>
    <n v="2411"/>
    <n v="194"/>
    <n v="168"/>
    <n v="26665"/>
    <n v="71699"/>
    <n v="197"/>
    <s v="#NowPlaying"/>
    <s v="ChillVibes"/>
    <n v="0.10399399962497656"/>
  </r>
  <r>
    <s v="SP031"/>
    <x v="0"/>
    <d v="2025-01-01T00:00:00"/>
    <x v="0"/>
    <s v="New music just dropped. Hit play!"/>
    <n v="4036"/>
    <n v="112"/>
    <n v="382"/>
    <n v="56284"/>
    <n v="29440"/>
    <n v="279"/>
    <s v="#SoundtrackOfLife,#NowPlaying"/>
    <s v="ChillVibes"/>
    <n v="8.0484684812735408E-2"/>
  </r>
  <r>
    <s v="SP032"/>
    <x v="1"/>
    <d v="2024-05-07T00:00:00"/>
    <x v="1"/>
    <s v="Explore the latest podcasts now."/>
    <n v="2776"/>
    <n v="307"/>
    <n v="178"/>
    <n v="43365"/>
    <n v="48408"/>
    <n v="138"/>
    <s v="#SoundtrackOfLife,#NowPlaying"/>
    <s v="ChillVibes"/>
    <n v="7.519889311656866E-2"/>
  </r>
  <r>
    <s v="SP033"/>
    <x v="1"/>
    <d v="2024-10-09T00:00:00"/>
    <x v="1"/>
    <s v="Discover fresh beats on Spotify!"/>
    <n v="4929"/>
    <n v="182"/>
    <n v="95"/>
    <n v="32181"/>
    <n v="31084"/>
    <n v="289"/>
    <s v="#DiscoverWeekly,#MusicForEveryone"/>
    <s v="ChillVibes"/>
    <n v="0.16177247444144061"/>
  </r>
  <r>
    <s v="SP034"/>
    <x v="0"/>
    <d v="2025-01-09T00:00:00"/>
    <x v="0"/>
    <s v="New music just dropped. Hit play!"/>
    <n v="1015"/>
    <n v="366"/>
    <n v="308"/>
    <n v="38127"/>
    <n v="63790"/>
    <n v="287"/>
    <s v="#SoundtrackOfLife,#NowPlaying"/>
    <s v="ChillVibes"/>
    <n v="4.4299315445747112E-2"/>
  </r>
  <r>
    <s v="SP035"/>
    <x v="1"/>
    <d v="2025-05-08T00:00:00"/>
    <x v="1"/>
    <s v="Your weekend playlist is waiting."/>
    <n v="3316"/>
    <n v="332"/>
    <n v="268"/>
    <n v="40095"/>
    <n v="36913"/>
    <n v="265"/>
    <s v="#MusicForEveryone,#NowPlaying"/>
    <s v="ChillVibes"/>
    <n v="9.7668038408779148E-2"/>
  </r>
  <r>
    <s v="SP036"/>
    <x v="0"/>
    <d v="2024-05-04T00:00:00"/>
    <x v="0"/>
    <s v="Wrapped is here! Relive your top tracks ðŸŽ§"/>
    <n v="2274"/>
    <n v="243"/>
    <n v="222"/>
    <n v="43066"/>
    <n v="59174"/>
    <n v="80"/>
    <s v="#DiscoverWeekly"/>
    <s v="IndieWave"/>
    <n v="6.3600055728416843E-2"/>
  </r>
  <r>
    <s v="SP037"/>
    <x v="1"/>
    <d v="2025-05-27T00:00:00"/>
    <x v="1"/>
    <s v="Explore the latest podcasts now."/>
    <n v="4095"/>
    <n v="385"/>
    <n v="400"/>
    <n v="45300"/>
    <n v="31795"/>
    <n v="80"/>
    <s v="#MusicForEveryone,#NowPlaying"/>
    <s v="ChillVibes"/>
    <n v="0.10772626931567329"/>
  </r>
  <r>
    <s v="SP038"/>
    <x v="0"/>
    <d v="2024-09-10T00:00:00"/>
    <x v="1"/>
    <s v="New music just dropped. Hit play!"/>
    <n v="1230"/>
    <n v="309"/>
    <n v="207"/>
    <n v="44629"/>
    <n v="40699"/>
    <n v="195"/>
    <s v="#NowPlaying"/>
    <s v="Wrapped2024"/>
    <n v="3.9122543637545096E-2"/>
  </r>
  <r>
    <s v="SP039"/>
    <x v="0"/>
    <d v="2024-11-25T00:00:00"/>
    <x v="0"/>
    <s v="From pop to podcasts, itâ€™s all here."/>
    <n v="1341"/>
    <n v="472"/>
    <n v="238"/>
    <n v="51386"/>
    <n v="51706"/>
    <n v="133"/>
    <s v="#DiscoverWeekly"/>
    <s v="IndieWave"/>
    <n v="3.9913595142645857E-2"/>
  </r>
  <r>
    <s v="SP040"/>
    <x v="1"/>
    <d v="2025-06-10T00:00:00"/>
    <x v="0"/>
    <s v="Explore the latest podcasts now."/>
    <n v="3615"/>
    <n v="192"/>
    <n v="162"/>
    <n v="27492"/>
    <n v="35341"/>
    <n v="125"/>
    <s v="#NowPlaying"/>
    <s v="ChillVibes"/>
    <n v="0.14436927106067218"/>
  </r>
  <r>
    <s v="SP041"/>
    <x v="0"/>
    <d v="2024-04-19T00:00:00"/>
    <x v="0"/>
    <s v="New music just dropped. Hit play!"/>
    <n v="4001"/>
    <n v="353"/>
    <n v="129"/>
    <n v="41265"/>
    <n v="37279"/>
    <n v="275"/>
    <s v="#SoundtrackOfLife,#NowPlaying"/>
    <s v="ChillVibes"/>
    <n v="0.10863928268508422"/>
  </r>
  <r>
    <s v="SP042"/>
    <x v="0"/>
    <d v="2025-01-26T00:00:00"/>
    <x v="1"/>
    <s v="Whatâ€™s your vibe today? #SpotifyHits"/>
    <n v="3451"/>
    <n v="363"/>
    <n v="393"/>
    <n v="44853"/>
    <n v="69032"/>
    <n v="211"/>
    <s v="#NowPlaying"/>
    <s v="Wrapped2024"/>
    <n v="9.379528682585335E-2"/>
  </r>
  <r>
    <s v="SP043"/>
    <x v="0"/>
    <d v="2025-02-14T00:00:00"/>
    <x v="0"/>
    <s v="Top trending tracks updated daily!"/>
    <n v="4891"/>
    <n v="450"/>
    <n v="387"/>
    <n v="48746"/>
    <n v="37312"/>
    <n v="154"/>
    <s v="#SoundtrackOfLife,#NowPlaying"/>
    <s v="ChillVibes"/>
    <n v="0.11750707750379519"/>
  </r>
  <r>
    <s v="SP044"/>
    <x v="0"/>
    <d v="2024-09-06T00:00:00"/>
    <x v="0"/>
    <s v="New music just dropped. Hit play!"/>
    <n v="1452"/>
    <n v="281"/>
    <n v="326"/>
    <n v="51556"/>
    <n v="62599"/>
    <n v="290"/>
    <s v="#DiscoverWeekly"/>
    <s v="IndieWave"/>
    <n v="3.9937155714174881E-2"/>
  </r>
  <r>
    <s v="SP045"/>
    <x v="2"/>
    <d v="2024-07-14T00:00:00"/>
    <x v="0"/>
    <s v="Your weekend playlist is waiting."/>
    <n v="3806"/>
    <n v="114"/>
    <n v="278"/>
    <n v="36148"/>
    <n v="24209"/>
    <n v="201"/>
    <s v="#DiscoverWeekly,#SpotifyWrapped"/>
    <s v="IndieWave"/>
    <n v="0.11613367267898639"/>
  </r>
  <r>
    <s v="SP046"/>
    <x v="0"/>
    <d v="2024-02-12T00:00:00"/>
    <x v="0"/>
    <s v="Explore the latest podcasts now."/>
    <n v="2923"/>
    <n v="330"/>
    <n v="250"/>
    <n v="23993"/>
    <n v="74590"/>
    <n v="92"/>
    <s v="#DiscoverWeekly"/>
    <s v="IndieWave"/>
    <n v="0.14600091693410577"/>
  </r>
  <r>
    <s v="SP047"/>
    <x v="2"/>
    <d v="2024-03-14T00:00:00"/>
    <x v="2"/>
    <s v="From pop to podcasts, itâ€™s all here."/>
    <n v="3361"/>
    <n v="188"/>
    <n v="358"/>
    <n v="39838"/>
    <n v="24536"/>
    <n v="120"/>
    <s v="#DiscoverWeekly,#SoundtrackOfLife"/>
    <s v="SummerBeats"/>
    <n v="9.8072192379135503E-2"/>
  </r>
  <r>
    <s v="SP048"/>
    <x v="0"/>
    <d v="2025-02-05T00:00:00"/>
    <x v="1"/>
    <s v="Music that moves youâ€”only on Spotify."/>
    <n v="3074"/>
    <n v="371"/>
    <n v="348"/>
    <n v="24104"/>
    <n v="57803"/>
    <n v="213"/>
    <s v="#NowPlaying"/>
    <s v="Wrapped2024"/>
    <n v="0.15735977431131762"/>
  </r>
  <r>
    <s v="SP049"/>
    <x v="1"/>
    <d v="2024-08-29T00:00:00"/>
    <x v="1"/>
    <s v="Get into the groove with our new drop!"/>
    <n v="4276"/>
    <n v="227"/>
    <n v="223"/>
    <n v="43443"/>
    <n v="41005"/>
    <n v="191"/>
    <s v="#DiscoverWeekly,#MusicForEveryone"/>
    <s v="ChillVibes"/>
    <n v="0.1087862256289851"/>
  </r>
  <r>
    <s v="SP050"/>
    <x v="1"/>
    <d v="2025-04-22T00:00:00"/>
    <x v="0"/>
    <s v="Discover fresh beats on Spotify!"/>
    <n v="4401"/>
    <n v="421"/>
    <n v="216"/>
    <n v="24890"/>
    <n v="54361"/>
    <n v="148"/>
    <s v="#NowPlaying"/>
    <s v="ChillVibes"/>
    <n v="0.20241060666934513"/>
  </r>
  <r>
    <s v="SP051"/>
    <x v="2"/>
    <d v="2024-05-13T00:00:00"/>
    <x v="2"/>
    <s v="Explore the latest podcasts now."/>
    <n v="4161"/>
    <n v="481"/>
    <n v="61"/>
    <n v="45884"/>
    <n v="48955"/>
    <n v="215"/>
    <s v="#DiscoverWeekly,#SoundtrackOfLife"/>
    <s v="SummerBeats"/>
    <n v="0.10249760265016128"/>
  </r>
  <r>
    <s v="SP052"/>
    <x v="1"/>
    <d v="2024-09-04T00:00:00"/>
    <x v="1"/>
    <s v="New music just dropped. Hit play!"/>
    <n v="2613"/>
    <n v="455"/>
    <n v="228"/>
    <n v="21645"/>
    <n v="61334"/>
    <n v="261"/>
    <s v="#DiscoverWeekly,#MusicForEveryone"/>
    <s v="ChillVibes"/>
    <n v="0.15227535227535227"/>
  </r>
  <r>
    <s v="SP053"/>
    <x v="1"/>
    <d v="2024-08-12T00:00:00"/>
    <x v="1"/>
    <s v="Whatâ€™s your vibe today? #SpotifyHits"/>
    <n v="2842"/>
    <n v="213"/>
    <n v="331"/>
    <n v="57660"/>
    <n v="68606"/>
    <n v="87"/>
    <s v="#MusicForEveryone,#NowPlaying"/>
    <s v="ChillVibes"/>
    <n v="5.8723551855705859E-2"/>
  </r>
  <r>
    <s v="SP054"/>
    <x v="0"/>
    <d v="2025-03-06T00:00:00"/>
    <x v="0"/>
    <s v="Get into the groove with our new drop!"/>
    <n v="4851"/>
    <n v="460"/>
    <n v="212"/>
    <n v="58075"/>
    <n v="59574"/>
    <n v="239"/>
    <s v="#DiscoverWeekly"/>
    <s v="IndieWave"/>
    <n v="9.5101162290142052E-2"/>
  </r>
  <r>
    <s v="SP055"/>
    <x v="1"/>
    <d v="2024-05-08T00:00:00"/>
    <x v="0"/>
    <s v="Explore the latest podcasts now."/>
    <n v="1828"/>
    <n v="450"/>
    <n v="214"/>
    <n v="52115"/>
    <n v="19166"/>
    <n v="190"/>
    <s v="#NowPlaying"/>
    <s v="ChillVibes"/>
    <n v="4.781732706514439E-2"/>
  </r>
  <r>
    <s v="SP056"/>
    <x v="0"/>
    <d v="2025-02-19T00:00:00"/>
    <x v="1"/>
    <s v="From pop to podcasts, itâ€™s all here."/>
    <n v="2422"/>
    <n v="455"/>
    <n v="376"/>
    <n v="23428"/>
    <n v="46775"/>
    <n v="259"/>
    <s v="#NowPlaying"/>
    <s v="Wrapped2024"/>
    <n v="0.13885094758408742"/>
  </r>
  <r>
    <s v="SP057"/>
    <x v="0"/>
    <d v="2024-01-08T00:00:00"/>
    <x v="0"/>
    <s v="Top trending tracks updated daily!"/>
    <n v="2683"/>
    <n v="405"/>
    <n v="223"/>
    <n v="31233"/>
    <n v="58106"/>
    <n v="291"/>
    <s v="#DiscoverWeekly"/>
    <s v="IndieWave"/>
    <n v="0.10600966926007749"/>
  </r>
  <r>
    <s v="SP058"/>
    <x v="2"/>
    <d v="2024-07-17T00:00:00"/>
    <x v="0"/>
    <s v="Top trending tracks updated daily!"/>
    <n v="3135"/>
    <n v="110"/>
    <n v="215"/>
    <n v="39192"/>
    <n v="24744"/>
    <n v="177"/>
    <s v="#DiscoverWeekly,#SpotifyWrapped"/>
    <s v="IndieWave"/>
    <n v="8.8283323127168814E-2"/>
  </r>
  <r>
    <s v="SP059"/>
    <x v="2"/>
    <d v="2024-08-10T00:00:00"/>
    <x v="0"/>
    <s v="From pop to podcasts, itâ€™s all here."/>
    <n v="1105"/>
    <n v="181"/>
    <n v="55"/>
    <n v="53581"/>
    <n v="74048"/>
    <n v="220"/>
    <s v="#DiscoverWeekly,#SpotifyWrapped"/>
    <s v="IndieWave"/>
    <n v="2.50275284149232E-2"/>
  </r>
  <r>
    <s v="SP060"/>
    <x v="2"/>
    <d v="2024-04-16T00:00:00"/>
    <x v="0"/>
    <s v="Discover fresh beats on Spotify!"/>
    <n v="4674"/>
    <n v="326"/>
    <n v="62"/>
    <n v="45503"/>
    <n v="46814"/>
    <n v="116"/>
    <s v="#DiscoverWeekly,#SpotifyWrapped"/>
    <s v="IndieWave"/>
    <n v="0.11124541239039185"/>
  </r>
  <r>
    <s v="SP061"/>
    <x v="2"/>
    <d v="2024-01-01T00:00:00"/>
    <x v="2"/>
    <s v="Explore the latest podcasts now."/>
    <n v="3437"/>
    <n v="129"/>
    <n v="359"/>
    <n v="44558"/>
    <n v="30854"/>
    <n v="171"/>
    <s v="#DiscoverWeekly,#SoundtrackOfLife"/>
    <s v="SummerBeats"/>
    <n v="8.8087436599488311E-2"/>
  </r>
  <r>
    <s v="SP062"/>
    <x v="1"/>
    <d v="2024-11-03T00:00:00"/>
    <x v="1"/>
    <s v="Wrapped is here! Relive your top tracks ðŸŽ§"/>
    <n v="1959"/>
    <n v="316"/>
    <n v="82"/>
    <n v="54036"/>
    <n v="69015"/>
    <n v="182"/>
    <s v="#MusicForEveryone,#NowPlaying"/>
    <s v="ChillVibes"/>
    <n v="4.3619068768968837E-2"/>
  </r>
  <r>
    <s v="SP063"/>
    <x v="1"/>
    <d v="2024-07-07T00:00:00"/>
    <x v="0"/>
    <s v="New music just dropped. Hit play!"/>
    <n v="1035"/>
    <n v="137"/>
    <n v="184"/>
    <n v="37302"/>
    <n v="68953"/>
    <n v="237"/>
    <s v="#SoundtrackOfLife"/>
    <s v="IndieWave"/>
    <n v="3.6351938233874857E-2"/>
  </r>
  <r>
    <s v="SP064"/>
    <x v="1"/>
    <d v="2025-01-22T00:00:00"/>
    <x v="1"/>
    <s v="New music just dropped. Hit play!"/>
    <n v="4478"/>
    <n v="101"/>
    <n v="121"/>
    <n v="51035"/>
    <n v="58207"/>
    <n v="205"/>
    <s v="#MusicForEveryone,#NowPlaying"/>
    <s v="ChillVibes"/>
    <n v="9.2093661212893113E-2"/>
  </r>
  <r>
    <s v="SP065"/>
    <x v="2"/>
    <d v="2024-05-26T00:00:00"/>
    <x v="0"/>
    <s v="From pop to podcasts, itâ€™s all here."/>
    <n v="1488"/>
    <n v="327"/>
    <n v="110"/>
    <n v="53805"/>
    <n v="30239"/>
    <n v="109"/>
    <s v="#DiscoverWeekly,#SpotifyWrapped"/>
    <s v="IndieWave"/>
    <n v="3.5777344113000653E-2"/>
  </r>
  <r>
    <s v="SP066"/>
    <x v="0"/>
    <d v="2025-04-16T00:00:00"/>
    <x v="0"/>
    <s v="Wrapped is here! Relive your top tracks ðŸŽ§"/>
    <n v="4836"/>
    <n v="331"/>
    <n v="140"/>
    <n v="58792"/>
    <n v="47711"/>
    <n v="227"/>
    <s v="#SoundtrackOfLife,#NowPlaying"/>
    <s v="ChillVibes"/>
    <n v="9.0267383317458164E-2"/>
  </r>
  <r>
    <s v="SP067"/>
    <x v="2"/>
    <d v="2024-04-02T00:00:00"/>
    <x v="2"/>
    <s v="Your weekend playlist is waiting."/>
    <n v="4563"/>
    <n v="488"/>
    <n v="356"/>
    <n v="30619"/>
    <n v="23328"/>
    <n v="267"/>
    <s v="#DiscoverWeekly,#SoundtrackOfLife"/>
    <s v="SummerBeats"/>
    <n v="0.17658969920637513"/>
  </r>
  <r>
    <s v="SP068"/>
    <x v="1"/>
    <d v="2024-03-28T00:00:00"/>
    <x v="0"/>
    <s v="Music that moves youâ€”only on Spotify."/>
    <n v="3276"/>
    <n v="421"/>
    <n v="114"/>
    <n v="20580"/>
    <n v="30324"/>
    <n v="221"/>
    <s v="#SoundtrackOfLife"/>
    <s v="IndieWave"/>
    <n v="0.18517978620019437"/>
  </r>
  <r>
    <s v="SP069"/>
    <x v="1"/>
    <d v="2024-12-17T00:00:00"/>
    <x v="1"/>
    <s v="Music that moves youâ€”only on Spotify."/>
    <n v="1316"/>
    <n v="472"/>
    <n v="286"/>
    <n v="44692"/>
    <n v="53343"/>
    <n v="227"/>
    <s v="#DiscoverWeekly,#MusicForEveryone"/>
    <s v="ChillVibes"/>
    <n v="4.6406515707509172E-2"/>
  </r>
  <r>
    <s v="SP070"/>
    <x v="1"/>
    <d v="2025-01-05T00:00:00"/>
    <x v="0"/>
    <s v="Wrapped is here! Relive your top tracks ðŸŽ§"/>
    <n v="4811"/>
    <n v="473"/>
    <n v="254"/>
    <n v="51964"/>
    <n v="68795"/>
    <n v="107"/>
    <s v="#NowPlaying"/>
    <s v="ChillVibes"/>
    <n v="0.10657378184897237"/>
  </r>
  <r>
    <s v="SP071"/>
    <x v="1"/>
    <d v="2024-01-11T00:00:00"/>
    <x v="0"/>
    <s v="Whatâ€™s your vibe today? #SpotifyHits"/>
    <n v="4218"/>
    <n v="247"/>
    <n v="183"/>
    <n v="28914"/>
    <n v="18310"/>
    <n v="135"/>
    <s v="#SoundtrackOfLife"/>
    <s v="IndieWave"/>
    <n v="0.1607525766064882"/>
  </r>
  <r>
    <s v="SP072"/>
    <x v="0"/>
    <d v="2024-10-11T00:00:00"/>
    <x v="0"/>
    <s v="From pop to podcasts, itâ€™s all here."/>
    <n v="1360"/>
    <n v="249"/>
    <n v="52"/>
    <n v="20368"/>
    <n v="42152"/>
    <n v="193"/>
    <s v="#DiscoverWeekly"/>
    <s v="IndieWave"/>
    <n v="8.1549489395129612E-2"/>
  </r>
  <r>
    <s v="SP073"/>
    <x v="2"/>
    <d v="2025-05-06T00:00:00"/>
    <x v="2"/>
    <s v="Discover fresh beats on Spotify!"/>
    <n v="1085"/>
    <n v="496"/>
    <n v="320"/>
    <n v="36528"/>
    <n v="38599"/>
    <n v="270"/>
    <s v="#DiscoverWeekly,#SoundtrackOfLife"/>
    <s v="SummerBeats"/>
    <n v="5.2042268944371438E-2"/>
  </r>
  <r>
    <s v="SP074"/>
    <x v="1"/>
    <d v="2024-05-19T00:00:00"/>
    <x v="1"/>
    <s v="Get into the groove with our new drop!"/>
    <n v="1763"/>
    <n v="206"/>
    <n v="187"/>
    <n v="53342"/>
    <n v="25095"/>
    <n v="88"/>
    <s v="#DiscoverWeekly,#MusicForEveryone"/>
    <s v="ChillVibes"/>
    <n v="4.0418432004799221E-2"/>
  </r>
  <r>
    <s v="SP075"/>
    <x v="1"/>
    <d v="2024-01-22T00:00:00"/>
    <x v="1"/>
    <s v="From pop to podcasts, itâ€™s all here."/>
    <n v="1554"/>
    <n v="455"/>
    <n v="158"/>
    <n v="41947"/>
    <n v="48578"/>
    <n v="101"/>
    <s v="#SoundtrackOfLife,#NowPlaying"/>
    <s v="ChillVibes"/>
    <n v="5.1660428636136076E-2"/>
  </r>
  <r>
    <s v="SP076"/>
    <x v="0"/>
    <d v="2024-07-14T00:00:00"/>
    <x v="0"/>
    <s v="Wrapped is here! Relive your top tracks ðŸŽ§"/>
    <n v="2464"/>
    <n v="401"/>
    <n v="78"/>
    <n v="38665"/>
    <n v="73593"/>
    <n v="207"/>
    <s v="#DiscoverWeekly"/>
    <s v="IndieWave"/>
    <n v="7.611534979956032E-2"/>
  </r>
  <r>
    <s v="SP077"/>
    <x v="1"/>
    <d v="2025-05-28T00:00:00"/>
    <x v="0"/>
    <s v="From pop to podcasts, itâ€™s all here."/>
    <n v="2418"/>
    <n v="161"/>
    <n v="360"/>
    <n v="30589"/>
    <n v="41383"/>
    <n v="88"/>
    <s v="#NowPlaying"/>
    <s v="ChillVibes"/>
    <n v="9.6080290300434801E-2"/>
  </r>
  <r>
    <s v="SP078"/>
    <x v="1"/>
    <d v="2025-01-21T00:00:00"/>
    <x v="1"/>
    <s v="Discover fresh beats on Spotify!"/>
    <n v="2494"/>
    <n v="494"/>
    <n v="55"/>
    <n v="22580"/>
    <n v="22214"/>
    <n v="109"/>
    <s v="#MusicForEveryone,#NowPlaying"/>
    <s v="ChillVibes"/>
    <n v="0.13476527900797167"/>
  </r>
  <r>
    <s v="SP079"/>
    <x v="2"/>
    <d v="2024-01-13T00:00:00"/>
    <x v="2"/>
    <s v="New music just dropped. Hit play!"/>
    <n v="4781"/>
    <n v="191"/>
    <n v="122"/>
    <n v="35535"/>
    <n v="50777"/>
    <n v="128"/>
    <s v="#DiscoverWeekly,#SoundtrackOfLife"/>
    <s v="SummerBeats"/>
    <n v="0.14335162515829464"/>
  </r>
  <r>
    <s v="SP080"/>
    <x v="0"/>
    <d v="2025-06-17T00:00:00"/>
    <x v="0"/>
    <s v="Music that moves youâ€”only on Spotify."/>
    <n v="2284"/>
    <n v="187"/>
    <n v="260"/>
    <n v="37400"/>
    <n v="65014"/>
    <n v="157"/>
    <s v="#SoundtrackOfLife,#NowPlaying"/>
    <s v="ChillVibes"/>
    <n v="7.3021390374331557E-2"/>
  </r>
  <r>
    <s v="SP081"/>
    <x v="1"/>
    <d v="2025-03-07T00:00:00"/>
    <x v="0"/>
    <s v="Get into the groove with our new drop!"/>
    <n v="4234"/>
    <n v="486"/>
    <n v="276"/>
    <n v="56623"/>
    <n v="41343"/>
    <n v="184"/>
    <s v="#SoundtrackOfLife"/>
    <s v="IndieWave"/>
    <n v="8.8232696960599044E-2"/>
  </r>
  <r>
    <s v="SP082"/>
    <x v="0"/>
    <d v="2024-08-26T00:00:00"/>
    <x v="0"/>
    <s v="Your weekend playlist is waiting."/>
    <n v="2102"/>
    <n v="181"/>
    <n v="306"/>
    <n v="43650"/>
    <n v="50079"/>
    <n v="182"/>
    <s v="#DiscoverWeekly"/>
    <s v="IndieWave"/>
    <n v="5.9312714776632303E-2"/>
  </r>
  <r>
    <s v="SP083"/>
    <x v="1"/>
    <d v="2025-01-03T00:00:00"/>
    <x v="1"/>
    <s v="Get into the groove with our new drop!"/>
    <n v="4845"/>
    <n v="158"/>
    <n v="84"/>
    <n v="34578"/>
    <n v="51480"/>
    <n v="180"/>
    <s v="#SoundtrackOfLife,#NowPlaying"/>
    <s v="ChillVibes"/>
    <n v="0.1471166637746544"/>
  </r>
  <r>
    <s v="SP084"/>
    <x v="1"/>
    <d v="2024-08-03T00:00:00"/>
    <x v="0"/>
    <s v="Your weekend playlist is waiting."/>
    <n v="4247"/>
    <n v="390"/>
    <n v="213"/>
    <n v="29785"/>
    <n v="57768"/>
    <n v="122"/>
    <s v="#NowPlaying"/>
    <s v="ChillVibes"/>
    <n v="0.16283364109451065"/>
  </r>
  <r>
    <s v="SP085"/>
    <x v="0"/>
    <d v="2024-08-18T00:00:00"/>
    <x v="0"/>
    <s v="Explore the latest podcasts now."/>
    <n v="2965"/>
    <n v="328"/>
    <n v="171"/>
    <n v="57685"/>
    <n v="67536"/>
    <n v="264"/>
    <s v="#SoundtrackOfLife,#NowPlaying"/>
    <s v="ChillVibes"/>
    <n v="6.0050273034584378E-2"/>
  </r>
  <r>
    <s v="SP086"/>
    <x v="1"/>
    <d v="2025-05-14T00:00:00"/>
    <x v="1"/>
    <s v="Wrapped is here! Relive your top tracks ðŸŽ§"/>
    <n v="1371"/>
    <n v="139"/>
    <n v="96"/>
    <n v="36140"/>
    <n v="39395"/>
    <n v="169"/>
    <s v="#SoundtrackOfLife,#NowPlaying"/>
    <s v="ChillVibes"/>
    <n v="4.4438295517432211E-2"/>
  </r>
  <r>
    <s v="SP087"/>
    <x v="1"/>
    <d v="2024-04-23T00:00:00"/>
    <x v="1"/>
    <s v="Discover fresh beats on Spotify!"/>
    <n v="2683"/>
    <n v="496"/>
    <n v="89"/>
    <n v="53435"/>
    <n v="30334"/>
    <n v="160"/>
    <s v="#SoundtrackOfLife,#NowPlaying"/>
    <s v="ChillVibes"/>
    <n v="6.1158416768035934E-2"/>
  </r>
  <r>
    <s v="SP088"/>
    <x v="1"/>
    <d v="2025-02-17T00:00:00"/>
    <x v="1"/>
    <s v="Whatâ€™s your vibe today? #SpotifyHits"/>
    <n v="4796"/>
    <n v="427"/>
    <n v="339"/>
    <n v="30752"/>
    <n v="33870"/>
    <n v="298"/>
    <s v="#SoundtrackOfLife,#NowPlaying"/>
    <s v="ChillVibes"/>
    <n v="0.18086628511966701"/>
  </r>
  <r>
    <s v="SP089"/>
    <x v="0"/>
    <d v="2024-12-04T00:00:00"/>
    <x v="0"/>
    <s v="Wrapped is here! Relive your top tracks ðŸŽ§"/>
    <n v="2601"/>
    <n v="336"/>
    <n v="260"/>
    <n v="32368"/>
    <n v="49028"/>
    <n v="120"/>
    <s v="#SoundtrackOfLife,#NowPlaying"/>
    <s v="ChillVibes"/>
    <n v="9.8770390509144837E-2"/>
  </r>
  <r>
    <s v="SP090"/>
    <x v="1"/>
    <d v="2024-07-22T00:00:00"/>
    <x v="1"/>
    <s v="Wrapped is here! Relive your top tracks ðŸŽ§"/>
    <n v="3336"/>
    <n v="229"/>
    <n v="337"/>
    <n v="22117"/>
    <n v="26205"/>
    <n v="160"/>
    <s v="#MusicForEveryone,#NowPlaying"/>
    <s v="ChillVibes"/>
    <n v="0.17642537414658407"/>
  </r>
  <r>
    <s v="SP091"/>
    <x v="1"/>
    <d v="2025-04-27T00:00:00"/>
    <x v="0"/>
    <s v="Explore the latest podcasts now."/>
    <n v="1165"/>
    <n v="294"/>
    <n v="163"/>
    <n v="20659"/>
    <n v="45926"/>
    <n v="111"/>
    <s v="#SoundtrackOfLife"/>
    <s v="IndieWave"/>
    <n v="7.8512996756861422E-2"/>
  </r>
  <r>
    <s v="SP092"/>
    <x v="2"/>
    <d v="2024-03-25T00:00:00"/>
    <x v="2"/>
    <s v="Explore the latest podcasts now."/>
    <n v="1948"/>
    <n v="155"/>
    <n v="315"/>
    <n v="30321"/>
    <n v="57121"/>
    <n v="82"/>
    <s v="#DiscoverWeekly,#SoundtrackOfLife"/>
    <s v="SummerBeats"/>
    <n v="7.974671020085089E-2"/>
  </r>
  <r>
    <s v="SP093"/>
    <x v="0"/>
    <d v="2024-02-29T00:00:00"/>
    <x v="0"/>
    <s v="From pop to podcasts, itâ€™s all here."/>
    <n v="1100"/>
    <n v="229"/>
    <n v="312"/>
    <n v="25641"/>
    <n v="34601"/>
    <n v="169"/>
    <s v="#DiscoverWeekly"/>
    <s v="IndieWave"/>
    <n v="6.3999063999063993E-2"/>
  </r>
  <r>
    <s v="SP094"/>
    <x v="1"/>
    <d v="2024-11-13T00:00:00"/>
    <x v="1"/>
    <s v="Top trending tracks updated daily!"/>
    <n v="4628"/>
    <n v="257"/>
    <n v="397"/>
    <n v="36686"/>
    <n v="54683"/>
    <n v="98"/>
    <s v="#SoundtrackOfLife,#NowPlaying"/>
    <s v="ChillVibes"/>
    <n v="0.1439786294499264"/>
  </r>
  <r>
    <s v="SP095"/>
    <x v="0"/>
    <d v="2024-03-22T00:00:00"/>
    <x v="1"/>
    <s v="Discover fresh beats on Spotify!"/>
    <n v="2319"/>
    <n v="484"/>
    <n v="193"/>
    <n v="21202"/>
    <n v="18091"/>
    <n v="241"/>
    <s v="#NowPlaying"/>
    <s v="Wrapped2024"/>
    <n v="0.14130742382794076"/>
  </r>
  <r>
    <s v="SP096"/>
    <x v="1"/>
    <d v="2024-03-16T00:00:00"/>
    <x v="1"/>
    <s v="Wrapped is here! Relive your top tracks ðŸŽ§"/>
    <n v="2895"/>
    <n v="292"/>
    <n v="90"/>
    <n v="24223"/>
    <n v="54626"/>
    <n v="114"/>
    <s v="#SoundtrackOfLife,#NowPlaying"/>
    <s v="ChillVibes"/>
    <n v="0.13528464682326713"/>
  </r>
  <r>
    <s v="SP097"/>
    <x v="0"/>
    <d v="2024-01-26T00:00:00"/>
    <x v="0"/>
    <s v="Whatâ€™s your vibe today? #SpotifyHits"/>
    <n v="3878"/>
    <n v="431"/>
    <n v="97"/>
    <n v="41763"/>
    <n v="29729"/>
    <n v="191"/>
    <s v="#DiscoverWeekly"/>
    <s v="IndieWave"/>
    <n v="0.10550008380623997"/>
  </r>
  <r>
    <s v="SP098"/>
    <x v="1"/>
    <d v="2024-03-15T00:00:00"/>
    <x v="1"/>
    <s v="Get into the groove with our new drop!"/>
    <n v="4969"/>
    <n v="433"/>
    <n v="237"/>
    <n v="59552"/>
    <n v="23885"/>
    <n v="157"/>
    <s v="#DiscoverWeekly,#MusicForEveryone"/>
    <s v="ChillVibes"/>
    <n v="9.4690354648038683E-2"/>
  </r>
  <r>
    <s v="SP099"/>
    <x v="1"/>
    <d v="2024-10-15T00:00:00"/>
    <x v="0"/>
    <s v="Wrapped is here! Relive your top tracks ðŸŽ§"/>
    <n v="1984"/>
    <n v="481"/>
    <n v="356"/>
    <n v="40681"/>
    <n v="63111"/>
    <n v="258"/>
    <s v="#NowPlaying"/>
    <s v="ChillVibes"/>
    <n v="6.934441139598338E-2"/>
  </r>
  <r>
    <s v="SP100"/>
    <x v="0"/>
    <d v="2024-07-21T00:00:00"/>
    <x v="0"/>
    <s v="Discover fresh beats on Spotify!"/>
    <n v="3004"/>
    <n v="415"/>
    <n v="218"/>
    <n v="36090"/>
    <n v="37073"/>
    <n v="181"/>
    <s v="#DiscoverWeekly"/>
    <s v="IndieWave"/>
    <n v="0.10077583818232197"/>
  </r>
  <r>
    <s v="SP101"/>
    <x v="1"/>
    <d v="2024-10-12T00:00:00"/>
    <x v="0"/>
    <s v="Get into the groove with our new drop!"/>
    <n v="3169"/>
    <n v="386"/>
    <n v="175"/>
    <n v="45012"/>
    <n v="38508"/>
    <n v="218"/>
    <s v="#NowPlaying"/>
    <s v="ChillVibes"/>
    <n v="8.2866791077934779E-2"/>
  </r>
  <r>
    <s v="SP102"/>
    <x v="1"/>
    <d v="2024-10-26T00:00:00"/>
    <x v="0"/>
    <s v="Discover fresh beats on Spotify!"/>
    <n v="3036"/>
    <n v="293"/>
    <n v="115"/>
    <n v="23776"/>
    <n v="46386"/>
    <n v="282"/>
    <s v="#NowPlaying"/>
    <s v="ChillVibes"/>
    <n v="0.14485195154777927"/>
  </r>
  <r>
    <s v="SP103"/>
    <x v="0"/>
    <d v="2024-02-14T00:00:00"/>
    <x v="0"/>
    <s v="Music that moves youâ€”only on Spotify."/>
    <n v="1830"/>
    <n v="112"/>
    <n v="181"/>
    <n v="31870"/>
    <n v="55742"/>
    <n v="263"/>
    <s v="#SoundtrackOfLife,#NowPlaying"/>
    <s v="ChillVibes"/>
    <n v="6.6614370881706936E-2"/>
  </r>
  <r>
    <s v="SP104"/>
    <x v="1"/>
    <d v="2024-05-01T00:00:00"/>
    <x v="1"/>
    <s v="Whatâ€™s your vibe today? #SpotifyHits"/>
    <n v="2587"/>
    <n v="447"/>
    <n v="183"/>
    <n v="36266"/>
    <n v="32877"/>
    <n v="132"/>
    <s v="#DiscoverWeekly,#MusicForEveryone"/>
    <s v="ChillVibes"/>
    <n v="8.8705674736667947E-2"/>
  </r>
  <r>
    <s v="SP105"/>
    <x v="1"/>
    <d v="2024-09-18T00:00:00"/>
    <x v="0"/>
    <s v="Discover fresh beats on Spotify!"/>
    <n v="2878"/>
    <n v="265"/>
    <n v="91"/>
    <n v="52090"/>
    <n v="28924"/>
    <n v="133"/>
    <s v="#NowPlaying"/>
    <s v="ChillVibes"/>
    <n v="6.2084853138798232E-2"/>
  </r>
  <r>
    <s v="SP106"/>
    <x v="1"/>
    <d v="2025-01-20T00:00:00"/>
    <x v="1"/>
    <s v="New music just dropped. Hit play!"/>
    <n v="4619"/>
    <n v="272"/>
    <n v="57"/>
    <n v="21334"/>
    <n v="46292"/>
    <n v="91"/>
    <s v="#SoundtrackOfLife,#NowPlaying"/>
    <s v="ChillVibes"/>
    <n v="0.23193025217961938"/>
  </r>
  <r>
    <s v="SP107"/>
    <x v="1"/>
    <d v="2025-01-13T00:00:00"/>
    <x v="0"/>
    <s v="Music that moves youâ€”only on Spotify."/>
    <n v="4090"/>
    <n v="209"/>
    <n v="278"/>
    <n v="52853"/>
    <n v="57084"/>
    <n v="102"/>
    <s v="#SoundtrackOfLife"/>
    <s v="IndieWave"/>
    <n v="8.6598679355949518E-2"/>
  </r>
  <r>
    <s v="SP108"/>
    <x v="2"/>
    <d v="2024-09-07T00:00:00"/>
    <x v="2"/>
    <s v="Music that moves youâ€”only on Spotify."/>
    <n v="3882"/>
    <n v="342"/>
    <n v="374"/>
    <n v="41991"/>
    <n v="48554"/>
    <n v="118"/>
    <s v="#DiscoverWeekly,#SoundtrackOfLife"/>
    <s v="SummerBeats"/>
    <n v="0.10949965468790931"/>
  </r>
  <r>
    <s v="SP109"/>
    <x v="0"/>
    <d v="2024-11-21T00:00:00"/>
    <x v="0"/>
    <s v="Music that moves youâ€”only on Spotify."/>
    <n v="4581"/>
    <n v="181"/>
    <n v="112"/>
    <n v="35221"/>
    <n v="28797"/>
    <n v="164"/>
    <s v="#SoundtrackOfLife,#NowPlaying"/>
    <s v="ChillVibes"/>
    <n v="0.13838335084182732"/>
  </r>
  <r>
    <s v="SP110"/>
    <x v="0"/>
    <d v="2024-06-26T00:00:00"/>
    <x v="0"/>
    <s v="New music just dropped. Hit play!"/>
    <n v="3253"/>
    <n v="483"/>
    <n v="336"/>
    <n v="25397"/>
    <n v="51485"/>
    <n v="131"/>
    <s v="#DiscoverWeekly"/>
    <s v="IndieWave"/>
    <n v="0.16033389770445328"/>
  </r>
  <r>
    <s v="SP111"/>
    <x v="2"/>
    <d v="2024-07-20T00:00:00"/>
    <x v="2"/>
    <s v="Music that moves youâ€”only on Spotify."/>
    <n v="4955"/>
    <n v="299"/>
    <n v="345"/>
    <n v="33644"/>
    <n v="43547"/>
    <n v="194"/>
    <s v="#DiscoverWeekly,#SoundtrackOfLife"/>
    <s v="SummerBeats"/>
    <n v="0.16641897515158721"/>
  </r>
  <r>
    <s v="SP112"/>
    <x v="0"/>
    <d v="2025-02-16T00:00:00"/>
    <x v="0"/>
    <s v="Your weekend playlist is waiting."/>
    <n v="1333"/>
    <n v="286"/>
    <n v="298"/>
    <n v="36174"/>
    <n v="34517"/>
    <n v="170"/>
    <s v="#SoundtrackOfLife,#NowPlaying"/>
    <s v="ChillVibes"/>
    <n v="5.2993862995521647E-2"/>
  </r>
  <r>
    <s v="SP113"/>
    <x v="0"/>
    <d v="2024-09-09T00:00:00"/>
    <x v="0"/>
    <s v="New music just dropped. Hit play!"/>
    <n v="1616"/>
    <n v="360"/>
    <n v="180"/>
    <n v="54342"/>
    <n v="18796"/>
    <n v="282"/>
    <s v="#SoundtrackOfLife,#NowPlaying"/>
    <s v="ChillVibes"/>
    <n v="3.9674653122814763E-2"/>
  </r>
  <r>
    <s v="SP114"/>
    <x v="1"/>
    <d v="2024-07-16T00:00:00"/>
    <x v="0"/>
    <s v="Top trending tracks updated daily!"/>
    <n v="1803"/>
    <n v="273"/>
    <n v="287"/>
    <n v="46176"/>
    <n v="25488"/>
    <n v="141"/>
    <s v="#NowPlaying"/>
    <s v="ChillVibes"/>
    <n v="5.1173769923769923E-2"/>
  </r>
  <r>
    <s v="SP115"/>
    <x v="0"/>
    <d v="2025-04-15T00:00:00"/>
    <x v="0"/>
    <s v="Explore the latest podcasts now."/>
    <n v="4177"/>
    <n v="489"/>
    <n v="331"/>
    <n v="57451"/>
    <n v="73793"/>
    <n v="251"/>
    <s v="#DiscoverWeekly"/>
    <s v="IndieWave"/>
    <n v="8.6978468608031198E-2"/>
  </r>
  <r>
    <s v="SP116"/>
    <x v="0"/>
    <d v="2025-05-04T00:00:00"/>
    <x v="1"/>
    <s v="New music just dropped. Hit play!"/>
    <n v="1311"/>
    <n v="181"/>
    <n v="361"/>
    <n v="37148"/>
    <n v="44875"/>
    <n v="245"/>
    <s v="#NowPlaying"/>
    <s v="Wrapped2024"/>
    <n v="4.9881554861634543E-2"/>
  </r>
  <r>
    <s v="SP117"/>
    <x v="0"/>
    <d v="2024-02-18T00:00:00"/>
    <x v="1"/>
    <s v="From pop to podcasts, itâ€™s all here."/>
    <n v="1516"/>
    <n v="215"/>
    <n v="332"/>
    <n v="58981"/>
    <n v="36118"/>
    <n v="211"/>
    <s v="#NowPlaying"/>
    <s v="Wrapped2024"/>
    <n v="3.4977365592309385E-2"/>
  </r>
  <r>
    <s v="SP118"/>
    <x v="1"/>
    <d v="2024-05-16T00:00:00"/>
    <x v="1"/>
    <s v="Music that moves youâ€”only on Spotify."/>
    <n v="2023"/>
    <n v="124"/>
    <n v="99"/>
    <n v="54524"/>
    <n v="34790"/>
    <n v="195"/>
    <s v="#DiscoverWeekly,#MusicForEveryone"/>
    <s v="ChillVibes"/>
    <n v="4.1192869195216787E-2"/>
  </r>
  <r>
    <s v="SP119"/>
    <x v="1"/>
    <d v="2025-05-29T00:00:00"/>
    <x v="1"/>
    <s v="Music that moves youâ€”only on Spotify."/>
    <n v="2134"/>
    <n v="322"/>
    <n v="114"/>
    <n v="44338"/>
    <n v="52165"/>
    <n v="176"/>
    <s v="#MusicForEveryone,#NowPlaying"/>
    <s v="ChillVibes"/>
    <n v="5.7963823356939871E-2"/>
  </r>
  <r>
    <s v="SP120"/>
    <x v="0"/>
    <d v="2025-01-17T00:00:00"/>
    <x v="0"/>
    <s v="Top trending tracks updated daily!"/>
    <n v="2266"/>
    <n v="126"/>
    <n v="140"/>
    <n v="53759"/>
    <n v="46834"/>
    <n v="277"/>
    <s v="#DiscoverWeekly"/>
    <s v="IndieWave"/>
    <n v="4.7099090384865788E-2"/>
  </r>
  <r>
    <s v="SP121"/>
    <x v="0"/>
    <d v="2025-04-30T00:00:00"/>
    <x v="1"/>
    <s v="New music just dropped. Hit play!"/>
    <n v="3916"/>
    <n v="459"/>
    <n v="229"/>
    <n v="48989"/>
    <n v="39768"/>
    <n v="200"/>
    <s v="#NowPlaying"/>
    <s v="Wrapped2024"/>
    <n v="9.3980281287635997E-2"/>
  </r>
  <r>
    <s v="SP122"/>
    <x v="1"/>
    <d v="2024-02-24T00:00:00"/>
    <x v="1"/>
    <s v="Music that moves youâ€”only on Spotify."/>
    <n v="1022"/>
    <n v="463"/>
    <n v="360"/>
    <n v="51468"/>
    <n v="24279"/>
    <n v="230"/>
    <s v="#DiscoverWeekly,#MusicForEveryone"/>
    <s v="ChillVibes"/>
    <n v="3.5847516903707161E-2"/>
  </r>
  <r>
    <s v="SP123"/>
    <x v="2"/>
    <d v="2024-05-12T00:00:00"/>
    <x v="0"/>
    <s v="From pop to podcasts, itâ€™s all here."/>
    <n v="2911"/>
    <n v="467"/>
    <n v="94"/>
    <n v="59083"/>
    <n v="49762"/>
    <n v="236"/>
    <s v="#DiscoverWeekly,#SpotifyWrapped"/>
    <s v="IndieWave"/>
    <n v="5.8764788517847777E-2"/>
  </r>
  <r>
    <s v="SP124"/>
    <x v="1"/>
    <d v="2024-05-09T00:00:00"/>
    <x v="1"/>
    <s v="New music just dropped. Hit play!"/>
    <n v="3277"/>
    <n v="423"/>
    <n v="259"/>
    <n v="46328"/>
    <n v="44293"/>
    <n v="299"/>
    <s v="#SoundtrackOfLife,#NowPlaying"/>
    <s v="ChillVibes"/>
    <n v="8.5455879813503707E-2"/>
  </r>
  <r>
    <s v="SP125"/>
    <x v="1"/>
    <d v="2024-11-06T00:00:00"/>
    <x v="0"/>
    <s v="From pop to podcasts, itâ€™s all here."/>
    <n v="2956"/>
    <n v="381"/>
    <n v="345"/>
    <n v="33347"/>
    <n v="22558"/>
    <n v="173"/>
    <s v="#NowPlaying"/>
    <s v="ChillVibes"/>
    <n v="0.11041472996071611"/>
  </r>
  <r>
    <s v="SP126"/>
    <x v="1"/>
    <d v="2024-01-04T00:00:00"/>
    <x v="1"/>
    <s v="Whatâ€™s your vibe today? #SpotifyHits"/>
    <n v="3208"/>
    <n v="476"/>
    <n v="277"/>
    <n v="56072"/>
    <n v="21061"/>
    <n v="113"/>
    <s v="#MusicForEveryone,#NowPlaying"/>
    <s v="ChillVibes"/>
    <n v="7.064131830503638E-2"/>
  </r>
  <r>
    <s v="SP127"/>
    <x v="1"/>
    <d v="2024-01-28T00:00:00"/>
    <x v="0"/>
    <s v="Music that moves youâ€”only on Spotify."/>
    <n v="1456"/>
    <n v="265"/>
    <n v="137"/>
    <n v="53485"/>
    <n v="59729"/>
    <n v="145"/>
    <s v="#SoundtrackOfLife"/>
    <s v="IndieWave"/>
    <n v="3.4738711788351875E-2"/>
  </r>
  <r>
    <s v="SP128"/>
    <x v="0"/>
    <d v="2024-02-22T00:00:00"/>
    <x v="0"/>
    <s v="New music just dropped. Hit play!"/>
    <n v="1902"/>
    <n v="394"/>
    <n v="279"/>
    <n v="24615"/>
    <n v="51330"/>
    <n v="176"/>
    <s v="#SoundtrackOfLife,#NowPlaying"/>
    <s v="ChillVibes"/>
    <n v="0.10461100954702417"/>
  </r>
  <r>
    <s v="SP129"/>
    <x v="1"/>
    <d v="2025-07-01T00:00:00"/>
    <x v="1"/>
    <s v="Explore the latest podcasts now."/>
    <n v="3219"/>
    <n v="424"/>
    <n v="267"/>
    <n v="48879"/>
    <n v="37691"/>
    <n v="224"/>
    <s v="#DiscoverWeekly,#MusicForEveryone"/>
    <s v="ChillVibes"/>
    <n v="7.9993453221219743E-2"/>
  </r>
  <r>
    <s v="SP130"/>
    <x v="2"/>
    <d v="2024-01-10T00:00:00"/>
    <x v="0"/>
    <s v="Explore the latest podcasts now."/>
    <n v="1261"/>
    <n v="190"/>
    <n v="233"/>
    <n v="59888"/>
    <n v="51449"/>
    <n v="205"/>
    <s v="#DiscoverWeekly,#SpotifyWrapped"/>
    <s v="IndieWave"/>
    <n v="2.811915575741384E-2"/>
  </r>
  <r>
    <s v="SP131"/>
    <x v="1"/>
    <d v="2025-03-20T00:00:00"/>
    <x v="0"/>
    <s v="Your weekend playlist is waiting."/>
    <n v="1564"/>
    <n v="362"/>
    <n v="371"/>
    <n v="42075"/>
    <n v="66659"/>
    <n v="205"/>
    <s v="#SoundtrackOfLife"/>
    <s v="IndieWave"/>
    <n v="5.4592988710635768E-2"/>
  </r>
  <r>
    <s v="SP132"/>
    <x v="1"/>
    <d v="2024-09-28T00:00:00"/>
    <x v="0"/>
    <s v="Whatâ€™s your vibe today? #SpotifyHits"/>
    <n v="4006"/>
    <n v="420"/>
    <n v="194"/>
    <n v="49964"/>
    <n v="20685"/>
    <n v="148"/>
    <s v="#NowPlaying"/>
    <s v="ChillVibes"/>
    <n v="9.2466575934672959E-2"/>
  </r>
  <r>
    <s v="SP133"/>
    <x v="2"/>
    <d v="2024-01-27T00:00:00"/>
    <x v="0"/>
    <s v="Your weekend playlist is waiting."/>
    <n v="1976"/>
    <n v="262"/>
    <n v="218"/>
    <n v="51696"/>
    <n v="44846"/>
    <n v="139"/>
    <s v="#DiscoverWeekly,#SpotifyWrapped"/>
    <s v="IndieWave"/>
    <n v="4.7508511296812134E-2"/>
  </r>
  <r>
    <s v="SP134"/>
    <x v="1"/>
    <d v="2025-05-15T00:00:00"/>
    <x v="0"/>
    <s v="New music just dropped. Hit play!"/>
    <n v="1583"/>
    <n v="433"/>
    <n v="249"/>
    <n v="30256"/>
    <n v="47066"/>
    <n v="196"/>
    <s v="#NowPlaying"/>
    <s v="ChillVibes"/>
    <n v="7.4861184558434685E-2"/>
  </r>
  <r>
    <s v="SP135"/>
    <x v="1"/>
    <d v="2024-10-04T00:00:00"/>
    <x v="1"/>
    <s v="Explore the latest podcasts now."/>
    <n v="2870"/>
    <n v="380"/>
    <n v="393"/>
    <n v="37621"/>
    <n v="71794"/>
    <n v="127"/>
    <s v="#MusicForEveryone,#NowPlaying"/>
    <s v="ChillVibes"/>
    <n v="9.6834214933149046E-2"/>
  </r>
  <r>
    <s v="SP136"/>
    <x v="1"/>
    <d v="2024-11-19T00:00:00"/>
    <x v="0"/>
    <s v="Top trending tracks updated daily!"/>
    <n v="3728"/>
    <n v="271"/>
    <n v="275"/>
    <n v="22827"/>
    <n v="37034"/>
    <n v="199"/>
    <s v="#NowPlaying"/>
    <s v="ChillVibes"/>
    <n v="0.18723441538528934"/>
  </r>
  <r>
    <s v="SP137"/>
    <x v="1"/>
    <d v="2024-04-05T00:00:00"/>
    <x v="1"/>
    <s v="New music just dropped. Hit play!"/>
    <n v="4965"/>
    <n v="175"/>
    <n v="307"/>
    <n v="32793"/>
    <n v="43412"/>
    <n v="296"/>
    <s v="#SoundtrackOfLife,#NowPlaying"/>
    <s v="ChillVibes"/>
    <n v="0.16610252187966945"/>
  </r>
  <r>
    <s v="SP138"/>
    <x v="1"/>
    <d v="2024-11-28T00:00:00"/>
    <x v="1"/>
    <s v="New music just dropped. Hit play!"/>
    <n v="1131"/>
    <n v="100"/>
    <n v="116"/>
    <n v="48437"/>
    <n v="72704"/>
    <n v="236"/>
    <s v="#DiscoverWeekly,#MusicForEveryone"/>
    <s v="ChillVibes"/>
    <n v="2.7809319322005904E-2"/>
  </r>
  <r>
    <s v="SP139"/>
    <x v="1"/>
    <d v="2025-03-09T00:00:00"/>
    <x v="0"/>
    <s v="Your weekend playlist is waiting."/>
    <n v="2754"/>
    <n v="215"/>
    <n v="264"/>
    <n v="27762"/>
    <n v="70203"/>
    <n v="289"/>
    <s v="#NowPlaying"/>
    <s v="ChillVibes"/>
    <n v="0.11645414595490239"/>
  </r>
  <r>
    <s v="SP140"/>
    <x v="1"/>
    <d v="2024-08-27T00:00:00"/>
    <x v="1"/>
    <s v="New music just dropped. Hit play!"/>
    <n v="1856"/>
    <n v="357"/>
    <n v="348"/>
    <n v="29428"/>
    <n v="70206"/>
    <n v="236"/>
    <s v="#MusicForEveryone,#NowPlaying"/>
    <s v="ChillVibes"/>
    <n v="8.702596166915863E-2"/>
  </r>
  <r>
    <s v="SP141"/>
    <x v="2"/>
    <d v="2024-10-01T00:00:00"/>
    <x v="2"/>
    <s v="Explore the latest podcasts now."/>
    <n v="3543"/>
    <n v="334"/>
    <n v="218"/>
    <n v="58007"/>
    <n v="24792"/>
    <n v="273"/>
    <s v="#DiscoverWeekly,#SoundtrackOfLife"/>
    <s v="SummerBeats"/>
    <n v="7.0594928198320889E-2"/>
  </r>
  <r>
    <s v="SP142"/>
    <x v="0"/>
    <d v="2024-12-21T00:00:00"/>
    <x v="1"/>
    <s v="New music just dropped. Hit play!"/>
    <n v="4563"/>
    <n v="398"/>
    <n v="163"/>
    <n v="43679"/>
    <n v="48760"/>
    <n v="92"/>
    <s v="#NowPlaying"/>
    <s v="Wrapped2024"/>
    <n v="0.11731037798484398"/>
  </r>
  <r>
    <s v="SP143"/>
    <x v="0"/>
    <d v="2024-06-17T00:00:00"/>
    <x v="0"/>
    <s v="Discover fresh beats on Spotify!"/>
    <n v="4283"/>
    <n v="471"/>
    <n v="156"/>
    <n v="53004"/>
    <n v="25678"/>
    <n v="105"/>
    <s v="#DiscoverWeekly"/>
    <s v="IndieWave"/>
    <n v="9.2634518149573616E-2"/>
  </r>
  <r>
    <s v="SP144"/>
    <x v="0"/>
    <d v="2025-02-14T00:00:00"/>
    <x v="0"/>
    <s v="Discover fresh beats on Spotify!"/>
    <n v="2329"/>
    <n v="373"/>
    <n v="291"/>
    <n v="49577"/>
    <n v="28002"/>
    <n v="82"/>
    <s v="#SoundtrackOfLife,#NowPlaying"/>
    <s v="ChillVibes"/>
    <n v="6.0370736430199488E-2"/>
  </r>
  <r>
    <s v="SP145"/>
    <x v="1"/>
    <d v="2025-05-28T00:00:00"/>
    <x v="1"/>
    <s v="Top trending tracks updated daily!"/>
    <n v="4287"/>
    <n v="273"/>
    <n v="122"/>
    <n v="40792"/>
    <n v="23878"/>
    <n v="277"/>
    <s v="#MusicForEveryone,#NowPlaying"/>
    <s v="ChillVibes"/>
    <n v="0.11477740733477153"/>
  </r>
  <r>
    <s v="SP146"/>
    <x v="0"/>
    <d v="2025-05-22T00:00:00"/>
    <x v="0"/>
    <s v="Discover fresh beats on Spotify!"/>
    <n v="2633"/>
    <n v="318"/>
    <n v="380"/>
    <n v="40869"/>
    <n v="64474"/>
    <n v="245"/>
    <s v="#DiscoverWeekly"/>
    <s v="IndieWave"/>
    <n v="8.1504318676747664E-2"/>
  </r>
  <r>
    <s v="SP147"/>
    <x v="1"/>
    <d v="2024-01-21T00:00:00"/>
    <x v="1"/>
    <s v="Discover fresh beats on Spotify!"/>
    <n v="2383"/>
    <n v="136"/>
    <n v="302"/>
    <n v="39187"/>
    <n v="22133"/>
    <n v="208"/>
    <s v="#MusicForEveryone,#NowPlaying"/>
    <s v="ChillVibes"/>
    <n v="7.1988159338556151E-2"/>
  </r>
  <r>
    <s v="SP148"/>
    <x v="1"/>
    <d v="2025-02-08T00:00:00"/>
    <x v="1"/>
    <s v="Your weekend playlist is waiting."/>
    <n v="4752"/>
    <n v="334"/>
    <n v="56"/>
    <n v="48017"/>
    <n v="55534"/>
    <n v="270"/>
    <s v="#DiscoverWeekly,#MusicForEveryone"/>
    <s v="ChillVibes"/>
    <n v="0.10708707332819627"/>
  </r>
  <r>
    <s v="SP149"/>
    <x v="1"/>
    <d v="2025-04-13T00:00:00"/>
    <x v="0"/>
    <s v="From pop to podcasts, itâ€™s all here."/>
    <n v="3890"/>
    <n v="408"/>
    <n v="338"/>
    <n v="56994"/>
    <n v="32621"/>
    <n v="286"/>
    <s v="#SoundtrackOfLife"/>
    <s v="IndieWave"/>
    <n v="8.1341895638137346E-2"/>
  </r>
  <r>
    <s v="SP150"/>
    <x v="1"/>
    <d v="2024-05-30T00:00:00"/>
    <x v="1"/>
    <s v="Your weekend playlist is waiting."/>
    <n v="2311"/>
    <n v="207"/>
    <n v="363"/>
    <n v="30349"/>
    <n v="32925"/>
    <n v="88"/>
    <s v="#MusicForEveryone,#NowPlaying"/>
    <s v="ChillVibes"/>
    <n v="9.4928992718046723E-2"/>
  </r>
  <r>
    <s v="SP151"/>
    <x v="0"/>
    <d v="2024-08-12T00:00:00"/>
    <x v="1"/>
    <s v="Discover fresh beats on Spotify!"/>
    <n v="2962"/>
    <n v="400"/>
    <n v="280"/>
    <n v="52508"/>
    <n v="58329"/>
    <n v="219"/>
    <s v="#NowPlaying"/>
    <s v="Wrapped2024"/>
    <n v="6.9360859297630834E-2"/>
  </r>
  <r>
    <s v="SP152"/>
    <x v="0"/>
    <d v="2024-09-27T00:00:00"/>
    <x v="0"/>
    <s v="Discover fresh beats on Spotify!"/>
    <n v="3118"/>
    <n v="116"/>
    <n v="195"/>
    <n v="37100"/>
    <n v="62629"/>
    <n v="272"/>
    <s v="#DiscoverWeekly"/>
    <s v="IndieWave"/>
    <n v="9.2425876010781671E-2"/>
  </r>
  <r>
    <s v="SP153"/>
    <x v="1"/>
    <d v="2025-06-11T00:00:00"/>
    <x v="1"/>
    <s v="Explore the latest podcasts now."/>
    <n v="3805"/>
    <n v="453"/>
    <n v="63"/>
    <n v="52395"/>
    <n v="72934"/>
    <n v="87"/>
    <s v="#DiscoverWeekly,#MusicForEveryone"/>
    <s v="ChillVibes"/>
    <n v="8.2469701307376658E-2"/>
  </r>
  <r>
    <s v="SP154"/>
    <x v="0"/>
    <d v="2024-11-19T00:00:00"/>
    <x v="0"/>
    <s v="Whatâ€™s your vibe today? #SpotifyHits"/>
    <n v="2525"/>
    <n v="272"/>
    <n v="294"/>
    <n v="51875"/>
    <n v="24732"/>
    <n v="92"/>
    <s v="#DiscoverWeekly"/>
    <s v="IndieWave"/>
    <n v="5.9585542168674697E-2"/>
  </r>
  <r>
    <s v="SP155"/>
    <x v="0"/>
    <d v="2024-04-25T00:00:00"/>
    <x v="0"/>
    <s v="Music that moves youâ€”only on Spotify."/>
    <n v="3563"/>
    <n v="483"/>
    <n v="227"/>
    <n v="41085"/>
    <n v="26393"/>
    <n v="236"/>
    <s v="#SoundtrackOfLife,#NowPlaying"/>
    <s v="ChillVibes"/>
    <n v="0.10400389436534015"/>
  </r>
  <r>
    <s v="SP156"/>
    <x v="2"/>
    <d v="2024-09-03T00:00:00"/>
    <x v="2"/>
    <s v="Whatâ€™s your vibe today? #SpotifyHits"/>
    <n v="1437"/>
    <n v="494"/>
    <n v="129"/>
    <n v="53048"/>
    <n v="44090"/>
    <n v="230"/>
    <s v="#DiscoverWeekly,#SoundtrackOfLife"/>
    <s v="SummerBeats"/>
    <n v="3.8832755240536872E-2"/>
  </r>
  <r>
    <s v="SP157"/>
    <x v="2"/>
    <d v="2025-03-02T00:00:00"/>
    <x v="0"/>
    <s v="From pop to podcasts, itâ€™s all here."/>
    <n v="4425"/>
    <n v="185"/>
    <n v="162"/>
    <n v="24610"/>
    <n v="21342"/>
    <n v="158"/>
    <s v="#DiscoverWeekly,#SpotifyWrapped"/>
    <s v="IndieWave"/>
    <n v="0.19390491670052823"/>
  </r>
  <r>
    <s v="SP158"/>
    <x v="1"/>
    <d v="2025-03-21T00:00:00"/>
    <x v="1"/>
    <s v="New music just dropped. Hit play!"/>
    <n v="4609"/>
    <n v="427"/>
    <n v="395"/>
    <n v="33698"/>
    <n v="29259"/>
    <n v="216"/>
    <s v="#DiscoverWeekly,#MusicForEveryone"/>
    <s v="ChillVibes"/>
    <n v="0.16116683482699271"/>
  </r>
  <r>
    <s v="SP159"/>
    <x v="0"/>
    <d v="2024-04-12T00:00:00"/>
    <x v="1"/>
    <s v="Get into the groove with our new drop!"/>
    <n v="1558"/>
    <n v="352"/>
    <n v="202"/>
    <n v="25405"/>
    <n v="69941"/>
    <n v="219"/>
    <s v="#NowPlaying"/>
    <s v="Wrapped2024"/>
    <n v="8.3133241487896081E-2"/>
  </r>
  <r>
    <s v="SP160"/>
    <x v="2"/>
    <d v="2024-02-08T00:00:00"/>
    <x v="2"/>
    <s v="Top trending tracks updated daily!"/>
    <n v="1889"/>
    <n v="298"/>
    <n v="122"/>
    <n v="46225"/>
    <n v="74305"/>
    <n v="293"/>
    <s v="#DiscoverWeekly,#SoundtrackOfLife"/>
    <s v="SummerBeats"/>
    <n v="4.9951325040562468E-2"/>
  </r>
  <r>
    <s v="SP161"/>
    <x v="0"/>
    <d v="2025-05-26T00:00:00"/>
    <x v="0"/>
    <s v="Discover fresh beats on Spotify!"/>
    <n v="3086"/>
    <n v="148"/>
    <n v="310"/>
    <n v="22824"/>
    <n v="58103"/>
    <n v="275"/>
    <s v="#DiscoverWeekly"/>
    <s v="IndieWave"/>
    <n v="0.1552751489660007"/>
  </r>
  <r>
    <s v="SP162"/>
    <x v="0"/>
    <d v="2024-11-14T00:00:00"/>
    <x v="0"/>
    <s v="Music that moves youâ€”only on Spotify."/>
    <n v="2422"/>
    <n v="318"/>
    <n v="118"/>
    <n v="25386"/>
    <n v="20873"/>
    <n v="100"/>
    <s v="#SoundtrackOfLife,#NowPlaying"/>
    <s v="ChillVibes"/>
    <n v="0.11258173796580792"/>
  </r>
  <r>
    <s v="SP163"/>
    <x v="2"/>
    <d v="2024-08-09T00:00:00"/>
    <x v="2"/>
    <s v="From pop to podcasts, itâ€™s all here."/>
    <n v="3414"/>
    <n v="154"/>
    <n v="204"/>
    <n v="34146"/>
    <n v="44633"/>
    <n v="256"/>
    <s v="#DiscoverWeekly,#SoundtrackOfLife"/>
    <s v="SummerBeats"/>
    <n v="0.11046681895390383"/>
  </r>
  <r>
    <s v="SP164"/>
    <x v="0"/>
    <d v="2025-06-27T00:00:00"/>
    <x v="1"/>
    <s v="Whatâ€™s your vibe today? #SpotifyHits"/>
    <n v="1342"/>
    <n v="332"/>
    <n v="163"/>
    <n v="51712"/>
    <n v="57922"/>
    <n v="168"/>
    <s v="#NowPlaying"/>
    <s v="Wrapped2024"/>
    <n v="3.5523669554455448E-2"/>
  </r>
  <r>
    <s v="SP165"/>
    <x v="0"/>
    <d v="2024-05-08T00:00:00"/>
    <x v="1"/>
    <s v="Music that moves youâ€”only on Spotify."/>
    <n v="2414"/>
    <n v="220"/>
    <n v="280"/>
    <n v="27355"/>
    <n v="50562"/>
    <n v="258"/>
    <s v="#NowPlaying"/>
    <s v="Wrapped2024"/>
    <n v="0.10652531529884847"/>
  </r>
  <r>
    <s v="SP166"/>
    <x v="0"/>
    <d v="2024-04-05T00:00:00"/>
    <x v="0"/>
    <s v="New music just dropped. Hit play!"/>
    <n v="4383"/>
    <n v="352"/>
    <n v="176"/>
    <n v="53239"/>
    <n v="34168"/>
    <n v="288"/>
    <s v="#DiscoverWeekly"/>
    <s v="IndieWave"/>
    <n v="9.2244407295403744E-2"/>
  </r>
  <r>
    <s v="SP167"/>
    <x v="2"/>
    <d v="2025-01-27T00:00:00"/>
    <x v="0"/>
    <s v="Wrapped is here! Relive your top tracks ðŸŽ§"/>
    <n v="4294"/>
    <n v="423"/>
    <n v="93"/>
    <n v="29828"/>
    <n v="73144"/>
    <n v="298"/>
    <s v="#DiscoverWeekly,#SpotifyWrapped"/>
    <s v="IndieWave"/>
    <n v="0.1612578785034196"/>
  </r>
  <r>
    <s v="SP168"/>
    <x v="0"/>
    <d v="2024-04-03T00:00:00"/>
    <x v="0"/>
    <s v="Top trending tracks updated daily!"/>
    <n v="2762"/>
    <n v="339"/>
    <n v="323"/>
    <n v="33757"/>
    <n v="68511"/>
    <n v="121"/>
    <s v="#SoundtrackOfLife,#NowPlaying"/>
    <s v="ChillVibes"/>
    <n v="0.10143081434961637"/>
  </r>
  <r>
    <s v="SP169"/>
    <x v="2"/>
    <d v="2025-01-03T00:00:00"/>
    <x v="0"/>
    <s v="New music just dropped. Hit play!"/>
    <n v="3782"/>
    <n v="484"/>
    <n v="144"/>
    <n v="52172"/>
    <n v="59386"/>
    <n v="175"/>
    <s v="#DiscoverWeekly,#SpotifyWrapped"/>
    <s v="IndieWave"/>
    <n v="8.4528099363643333E-2"/>
  </r>
  <r>
    <s v="SP170"/>
    <x v="1"/>
    <d v="2024-11-23T00:00:00"/>
    <x v="0"/>
    <s v="New music just dropped. Hit play!"/>
    <n v="4318"/>
    <n v="371"/>
    <n v="329"/>
    <n v="32347"/>
    <n v="68956"/>
    <n v="259"/>
    <s v="#SoundtrackOfLife"/>
    <s v="IndieWave"/>
    <n v="0.15513030574705536"/>
  </r>
  <r>
    <s v="SP171"/>
    <x v="0"/>
    <d v="2024-09-01T00:00:00"/>
    <x v="1"/>
    <s v="Wrapped is here! Relive your top tracks ðŸŽ§"/>
    <n v="2335"/>
    <n v="150"/>
    <n v="75"/>
    <n v="26114"/>
    <n v="57549"/>
    <n v="135"/>
    <s v="#NowPlaying"/>
    <s v="Wrapped2024"/>
    <n v="9.8031707130274953E-2"/>
  </r>
  <r>
    <s v="SP172"/>
    <x v="2"/>
    <d v="2024-04-18T00:00:00"/>
    <x v="0"/>
    <s v="Explore the latest podcasts now."/>
    <n v="4023"/>
    <n v="293"/>
    <n v="91"/>
    <n v="26795"/>
    <n v="28924"/>
    <n v="278"/>
    <s v="#DiscoverWeekly,#SpotifyWrapped"/>
    <s v="IndieWave"/>
    <n v="0.16447098339242397"/>
  </r>
  <r>
    <s v="SP173"/>
    <x v="0"/>
    <d v="2024-06-04T00:00:00"/>
    <x v="0"/>
    <s v="Get into the groove with our new drop!"/>
    <n v="3948"/>
    <n v="151"/>
    <n v="249"/>
    <n v="43147"/>
    <n v="63136"/>
    <n v="230"/>
    <s v="#DiscoverWeekly"/>
    <s v="IndieWave"/>
    <n v="0.10077178019329269"/>
  </r>
  <r>
    <s v="SP174"/>
    <x v="2"/>
    <d v="2025-04-02T00:00:00"/>
    <x v="0"/>
    <s v="Wrapped is here! Relive your top tracks ðŸŽ§"/>
    <n v="4598"/>
    <n v="455"/>
    <n v="378"/>
    <n v="52952"/>
    <n v="58504"/>
    <n v="269"/>
    <s v="#DiscoverWeekly,#SpotifyWrapped"/>
    <s v="IndieWave"/>
    <n v="0.10256458679558846"/>
  </r>
  <r>
    <s v="SP175"/>
    <x v="1"/>
    <d v="2025-04-01T00:00:00"/>
    <x v="1"/>
    <s v="Music that moves youâ€”only on Spotify."/>
    <n v="2665"/>
    <n v="143"/>
    <n v="315"/>
    <n v="54808"/>
    <n v="29818"/>
    <n v="98"/>
    <s v="#DiscoverWeekly,#MusicForEveryone"/>
    <s v="ChillVibes"/>
    <n v="5.6980732739746021E-2"/>
  </r>
  <r>
    <s v="SP176"/>
    <x v="0"/>
    <d v="2024-07-02T00:00:00"/>
    <x v="0"/>
    <s v="Top trending tracks updated daily!"/>
    <n v="3469"/>
    <n v="371"/>
    <n v="76"/>
    <n v="46493"/>
    <n v="26906"/>
    <n v="150"/>
    <s v="#SoundtrackOfLife,#NowPlaying"/>
    <s v="ChillVibes"/>
    <n v="8.4227733207149463E-2"/>
  </r>
  <r>
    <s v="SP177"/>
    <x v="1"/>
    <d v="2024-11-10T00:00:00"/>
    <x v="0"/>
    <s v="Explore the latest podcasts now."/>
    <n v="4823"/>
    <n v="489"/>
    <n v="302"/>
    <n v="32470"/>
    <n v="31861"/>
    <n v="178"/>
    <s v="#SoundtrackOfLife"/>
    <s v="IndieWave"/>
    <n v="0.1728980597474592"/>
  </r>
  <r>
    <s v="SP178"/>
    <x v="0"/>
    <d v="2024-12-14T00:00:00"/>
    <x v="1"/>
    <s v="From pop to podcasts, itâ€™s all here."/>
    <n v="3812"/>
    <n v="321"/>
    <n v="289"/>
    <n v="59838"/>
    <n v="36337"/>
    <n v="161"/>
    <s v="#NowPlaying"/>
    <s v="Wrapped2024"/>
    <n v="7.3899528727564417E-2"/>
  </r>
  <r>
    <s v="SP179"/>
    <x v="1"/>
    <d v="2024-11-19T00:00:00"/>
    <x v="0"/>
    <s v="Explore the latest podcasts now."/>
    <n v="2387"/>
    <n v="353"/>
    <n v="78"/>
    <n v="39745"/>
    <n v="69226"/>
    <n v="208"/>
    <s v="#SoundtrackOfLife"/>
    <s v="IndieWave"/>
    <n v="7.090200025160398E-2"/>
  </r>
  <r>
    <s v="SP180"/>
    <x v="1"/>
    <d v="2025-04-30T00:00:00"/>
    <x v="1"/>
    <s v="Wrapped is here! Relive your top tracks ðŸŽ§"/>
    <n v="3929"/>
    <n v="275"/>
    <n v="330"/>
    <n v="58329"/>
    <n v="33196"/>
    <n v="85"/>
    <s v="#MusicForEveryone,#NowPlaying"/>
    <s v="ChillVibes"/>
    <n v="7.7731488624869283E-2"/>
  </r>
  <r>
    <s v="SP181"/>
    <x v="1"/>
    <d v="2024-03-19T00:00:00"/>
    <x v="0"/>
    <s v="From pop to podcasts, itâ€™s all here."/>
    <n v="2191"/>
    <n v="288"/>
    <n v="83"/>
    <n v="59606"/>
    <n v="24765"/>
    <n v="281"/>
    <s v="#SoundtrackOfLife"/>
    <s v="IndieWave"/>
    <n v="4.2982250109049422E-2"/>
  </r>
  <r>
    <s v="SP182"/>
    <x v="0"/>
    <d v="2024-03-19T00:00:00"/>
    <x v="0"/>
    <s v="From pop to podcasts, itâ€™s all here."/>
    <n v="2878"/>
    <n v="278"/>
    <n v="255"/>
    <n v="47235"/>
    <n v="57922"/>
    <n v="112"/>
    <s v="#SoundtrackOfLife,#NowPlaying"/>
    <s v="ChillVibes"/>
    <n v="7.2213401079707848E-2"/>
  </r>
  <r>
    <s v="SP183"/>
    <x v="1"/>
    <d v="2024-07-23T00:00:00"/>
    <x v="0"/>
    <s v="Top trending tracks updated daily!"/>
    <n v="3204"/>
    <n v="398"/>
    <n v="85"/>
    <n v="22020"/>
    <n v="58353"/>
    <n v="286"/>
    <s v="#SoundtrackOfLife"/>
    <s v="IndieWave"/>
    <n v="0.16743869209809265"/>
  </r>
  <r>
    <s v="SP184"/>
    <x v="1"/>
    <d v="2024-07-13T00:00:00"/>
    <x v="1"/>
    <s v="Get into the groove with our new drop!"/>
    <n v="2408"/>
    <n v="323"/>
    <n v="251"/>
    <n v="47599"/>
    <n v="35543"/>
    <n v="287"/>
    <s v="#MusicForEveryone,#NowPlaying"/>
    <s v="ChillVibes"/>
    <n v="6.2648374965860634E-2"/>
  </r>
  <r>
    <s v="SP185"/>
    <x v="2"/>
    <d v="2025-04-22T00:00:00"/>
    <x v="2"/>
    <s v="New music just dropped. Hit play!"/>
    <n v="2733"/>
    <n v="297"/>
    <n v="235"/>
    <n v="37980"/>
    <n v="33058"/>
    <n v="219"/>
    <s v="#DiscoverWeekly,#SoundtrackOfLife"/>
    <s v="SummerBeats"/>
    <n v="8.5966298051606105E-2"/>
  </r>
  <r>
    <s v="SP186"/>
    <x v="1"/>
    <d v="2024-06-16T00:00:00"/>
    <x v="1"/>
    <s v="Explore the latest podcasts now."/>
    <n v="4618"/>
    <n v="312"/>
    <n v="254"/>
    <n v="22571"/>
    <n v="29453"/>
    <n v="197"/>
    <s v="#MusicForEveryone,#NowPlaying"/>
    <s v="ChillVibes"/>
    <n v="0.22967524699836073"/>
  </r>
  <r>
    <s v="SP187"/>
    <x v="2"/>
    <d v="2025-05-18T00:00:00"/>
    <x v="2"/>
    <s v="Wrapped is here! Relive your top tracks ðŸŽ§"/>
    <n v="4210"/>
    <n v="319"/>
    <n v="350"/>
    <n v="37762"/>
    <n v="55162"/>
    <n v="204"/>
    <s v="#DiscoverWeekly,#SoundtrackOfLife"/>
    <s v="SummerBeats"/>
    <n v="0.12920396165457337"/>
  </r>
  <r>
    <s v="SP188"/>
    <x v="0"/>
    <d v="2025-06-06T00:00:00"/>
    <x v="0"/>
    <s v="Wrapped is here! Relive your top tracks ðŸŽ§"/>
    <n v="3987"/>
    <n v="171"/>
    <n v="274"/>
    <n v="45122"/>
    <n v="65431"/>
    <n v="168"/>
    <s v="#DiscoverWeekly"/>
    <s v="IndieWave"/>
    <n v="9.8222596516111871E-2"/>
  </r>
  <r>
    <s v="SP189"/>
    <x v="2"/>
    <d v="2025-02-20T00:00:00"/>
    <x v="2"/>
    <s v="Get into the groove with our new drop!"/>
    <n v="4957"/>
    <n v="262"/>
    <n v="365"/>
    <n v="49199"/>
    <n v="40314"/>
    <n v="216"/>
    <s v="#DiscoverWeekly,#SoundtrackOfLife"/>
    <s v="SummerBeats"/>
    <n v="0.11349824183418362"/>
  </r>
  <r>
    <s v="SP190"/>
    <x v="0"/>
    <d v="2025-01-16T00:00:00"/>
    <x v="0"/>
    <s v="Music that moves youâ€”only on Spotify."/>
    <n v="2605"/>
    <n v="282"/>
    <n v="148"/>
    <n v="32201"/>
    <n v="49583"/>
    <n v="241"/>
    <s v="#SoundtrackOfLife,#NowPlaying"/>
    <s v="ChillVibes"/>
    <n v="9.4251731312692155E-2"/>
  </r>
  <r>
    <s v="SP191"/>
    <x v="2"/>
    <d v="2024-02-24T00:00:00"/>
    <x v="2"/>
    <s v="Discover fresh beats on Spotify!"/>
    <n v="4221"/>
    <n v="307"/>
    <n v="58"/>
    <n v="45080"/>
    <n v="37214"/>
    <n v="240"/>
    <s v="#DiscoverWeekly,#SoundtrackOfLife"/>
    <s v="SummerBeats"/>
    <n v="0.10173025732031943"/>
  </r>
  <r>
    <s v="SP192"/>
    <x v="1"/>
    <d v="2024-09-16T00:00:00"/>
    <x v="1"/>
    <s v="Whatâ€™s your vibe today? #SpotifyHits"/>
    <n v="4422"/>
    <n v="434"/>
    <n v="156"/>
    <n v="56165"/>
    <n v="52431"/>
    <n v="173"/>
    <s v="#DiscoverWeekly,#MusicForEveryone"/>
    <s v="ChillVibes"/>
    <n v="8.9237069349238848E-2"/>
  </r>
  <r>
    <s v="SP193"/>
    <x v="2"/>
    <d v="2024-06-04T00:00:00"/>
    <x v="2"/>
    <s v="Wrapped is here! Relive your top tracks ðŸŽ§"/>
    <n v="1211"/>
    <n v="431"/>
    <n v="83"/>
    <n v="26532"/>
    <n v="47305"/>
    <n v="232"/>
    <s v="#DiscoverWeekly,#SoundtrackOfLife"/>
    <s v="SummerBeats"/>
    <n v="6.5015829941203071E-2"/>
  </r>
  <r>
    <s v="SP194"/>
    <x v="1"/>
    <d v="2024-05-10T00:00:00"/>
    <x v="1"/>
    <s v="Explore the latest podcasts now."/>
    <n v="2784"/>
    <n v="111"/>
    <n v="399"/>
    <n v="58366"/>
    <n v="69512"/>
    <n v="269"/>
    <s v="#MusicForEveryone,#NowPlaying"/>
    <s v="ChillVibes"/>
    <n v="5.6436966727204191E-2"/>
  </r>
  <r>
    <s v="SP195"/>
    <x v="2"/>
    <d v="2024-01-14T00:00:00"/>
    <x v="0"/>
    <s v="New music just dropped. Hit play!"/>
    <n v="3634"/>
    <n v="280"/>
    <n v="399"/>
    <n v="40256"/>
    <n v="52605"/>
    <n v="213"/>
    <s v="#DiscoverWeekly,#SpotifyWrapped"/>
    <s v="IndieWave"/>
    <n v="0.10713930842607314"/>
  </r>
  <r>
    <s v="SP196"/>
    <x v="0"/>
    <d v="2025-01-12T00:00:00"/>
    <x v="0"/>
    <s v="From pop to podcasts, itâ€™s all here."/>
    <n v="1771"/>
    <n v="487"/>
    <n v="272"/>
    <n v="48810"/>
    <n v="48084"/>
    <n v="272"/>
    <s v="#SoundtrackOfLife,#NowPlaying"/>
    <s v="ChillVibes"/>
    <n v="5.1833640647408315E-2"/>
  </r>
  <r>
    <s v="SP197"/>
    <x v="2"/>
    <d v="2024-12-08T00:00:00"/>
    <x v="0"/>
    <s v="Top trending tracks updated daily!"/>
    <n v="1424"/>
    <n v="396"/>
    <n v="312"/>
    <n v="59517"/>
    <n v="46102"/>
    <n v="239"/>
    <s v="#DiscoverWeekly,#SpotifyWrapped"/>
    <s v="IndieWave"/>
    <n v="3.5821698002251455E-2"/>
  </r>
  <r>
    <s v="SP198"/>
    <x v="1"/>
    <d v="2025-02-01T00:00:00"/>
    <x v="1"/>
    <s v="Top trending tracks updated daily!"/>
    <n v="1079"/>
    <n v="265"/>
    <n v="190"/>
    <n v="43786"/>
    <n v="72428"/>
    <n v="222"/>
    <s v="#SoundtrackOfLife,#NowPlaying"/>
    <s v="ChillVibes"/>
    <n v="3.5034029141734799E-2"/>
  </r>
  <r>
    <s v="SP199"/>
    <x v="1"/>
    <d v="2024-07-11T00:00:00"/>
    <x v="1"/>
    <s v="Get into the groove with our new drop!"/>
    <n v="4247"/>
    <n v="179"/>
    <n v="175"/>
    <n v="32991"/>
    <n v="70120"/>
    <n v="276"/>
    <s v="#SoundtrackOfLife,#NowPlaying"/>
    <s v="ChillVibes"/>
    <n v="0.13946227759085811"/>
  </r>
  <r>
    <s v="SP200"/>
    <x v="1"/>
    <d v="2024-03-18T00:00:00"/>
    <x v="0"/>
    <s v="New music just dropped. Hit play!"/>
    <n v="2033"/>
    <n v="420"/>
    <n v="94"/>
    <n v="56290"/>
    <n v="57391"/>
    <n v="196"/>
    <s v="#NowPlaying"/>
    <s v="ChillVibes"/>
    <n v="4.5247823769763724E-2"/>
  </r>
  <r>
    <s v="SP201"/>
    <x v="1"/>
    <d v="2024-09-12T00:00:00"/>
    <x v="1"/>
    <s v="Wrapped is here! Relive your top tracks ðŸŽ§"/>
    <n v="1839"/>
    <n v="223"/>
    <n v="171"/>
    <n v="35459"/>
    <n v="69988"/>
    <n v="114"/>
    <s v="#MusicForEveryone,#NowPlaying"/>
    <s v="ChillVibes"/>
    <n v="6.2974139146620034E-2"/>
  </r>
  <r>
    <s v="SP202"/>
    <x v="1"/>
    <d v="2024-01-11T00:00:00"/>
    <x v="1"/>
    <s v="Wrapped is here! Relive your top tracks ðŸŽ§"/>
    <n v="2340"/>
    <n v="141"/>
    <n v="206"/>
    <n v="24916"/>
    <n v="30582"/>
    <n v="157"/>
    <s v="#SoundtrackOfLife,#NowPlaying"/>
    <s v="ChillVibes"/>
    <n v="0.10784235029699792"/>
  </r>
  <r>
    <s v="SP203"/>
    <x v="0"/>
    <d v="2024-10-06T00:00:00"/>
    <x v="0"/>
    <s v="Top trending tracks updated daily!"/>
    <n v="2080"/>
    <n v="389"/>
    <n v="92"/>
    <n v="30971"/>
    <n v="25347"/>
    <n v="111"/>
    <s v="#DiscoverWeekly"/>
    <s v="IndieWave"/>
    <n v="8.2690258629040073E-2"/>
  </r>
  <r>
    <s v="SP204"/>
    <x v="1"/>
    <d v="2024-12-30T00:00:00"/>
    <x v="0"/>
    <s v="Get into the groove with our new drop!"/>
    <n v="4214"/>
    <n v="286"/>
    <n v="127"/>
    <n v="47293"/>
    <n v="27184"/>
    <n v="232"/>
    <s v="#NowPlaying"/>
    <s v="ChillVibes"/>
    <n v="9.7836889180216949E-2"/>
  </r>
  <r>
    <s v="SP205"/>
    <x v="1"/>
    <d v="2025-04-16T00:00:00"/>
    <x v="0"/>
    <s v="Wrapped is here! Relive your top tracks ðŸŽ§"/>
    <n v="3792"/>
    <n v="315"/>
    <n v="120"/>
    <n v="54592"/>
    <n v="67886"/>
    <n v="117"/>
    <s v="#SoundtrackOfLife"/>
    <s v="IndieWave"/>
    <n v="7.7428927315357568E-2"/>
  </r>
  <r>
    <s v="SP206"/>
    <x v="1"/>
    <d v="2024-08-21T00:00:00"/>
    <x v="1"/>
    <s v="Explore the latest podcasts now."/>
    <n v="3989"/>
    <n v="476"/>
    <n v="128"/>
    <n v="57569"/>
    <n v="40193"/>
    <n v="222"/>
    <s v="#DiscoverWeekly,#MusicForEveryone"/>
    <s v="ChillVibes"/>
    <n v="7.9782521843353188E-2"/>
  </r>
  <r>
    <s v="SP207"/>
    <x v="1"/>
    <d v="2024-04-05T00:00:00"/>
    <x v="1"/>
    <s v="Wrapped is here! Relive your top tracks ðŸŽ§"/>
    <n v="2857"/>
    <n v="443"/>
    <n v="359"/>
    <n v="51519"/>
    <n v="28256"/>
    <n v="155"/>
    <s v="#SoundtrackOfLife,#NowPlaying"/>
    <s v="ChillVibes"/>
    <n v="7.1022341272152026E-2"/>
  </r>
  <r>
    <s v="SP208"/>
    <x v="1"/>
    <d v="2025-04-07T00:00:00"/>
    <x v="0"/>
    <s v="From pop to podcasts, itâ€™s all here."/>
    <n v="1403"/>
    <n v="385"/>
    <n v="344"/>
    <n v="54223"/>
    <n v="72595"/>
    <n v="239"/>
    <s v="#SoundtrackOfLife"/>
    <s v="IndieWave"/>
    <n v="3.9319108127547353E-2"/>
  </r>
  <r>
    <s v="SP209"/>
    <x v="1"/>
    <d v="2024-07-19T00:00:00"/>
    <x v="1"/>
    <s v="Whatâ€™s your vibe today? #SpotifyHits"/>
    <n v="3071"/>
    <n v="126"/>
    <n v="200"/>
    <n v="44013"/>
    <n v="44679"/>
    <n v="118"/>
    <s v="#DiscoverWeekly,#MusicForEveryone"/>
    <s v="ChillVibes"/>
    <n v="7.7181741758116915E-2"/>
  </r>
  <r>
    <s v="SP210"/>
    <x v="1"/>
    <d v="2025-05-03T00:00:00"/>
    <x v="1"/>
    <s v="Top trending tracks updated daily!"/>
    <n v="1010"/>
    <n v="361"/>
    <n v="240"/>
    <n v="47229"/>
    <n v="72573"/>
    <n v="275"/>
    <s v="#SoundtrackOfLife,#NowPlaying"/>
    <s v="ChillVibes"/>
    <n v="3.4110398272247981E-2"/>
  </r>
  <r>
    <s v="SP211"/>
    <x v="1"/>
    <d v="2024-04-14T00:00:00"/>
    <x v="1"/>
    <s v="Discover fresh beats on Spotify!"/>
    <n v="1295"/>
    <n v="153"/>
    <n v="81"/>
    <n v="48350"/>
    <n v="61033"/>
    <n v="232"/>
    <s v="#DiscoverWeekly,#MusicForEveryone"/>
    <s v="ChillVibes"/>
    <n v="3.1623578076525334E-2"/>
  </r>
  <r>
    <s v="SP212"/>
    <x v="1"/>
    <d v="2025-06-19T00:00:00"/>
    <x v="1"/>
    <s v="Whatâ€™s your vibe today? #SpotifyHits"/>
    <n v="1433"/>
    <n v="452"/>
    <n v="305"/>
    <n v="54541"/>
    <n v="63700"/>
    <n v="296"/>
    <s v="#DiscoverWeekly,#MusicForEveryone"/>
    <s v="ChillVibes"/>
    <n v="4.0153279184466734E-2"/>
  </r>
  <r>
    <s v="SP213"/>
    <x v="0"/>
    <d v="2025-06-24T00:00:00"/>
    <x v="1"/>
    <s v="Get into the groove with our new drop!"/>
    <n v="4902"/>
    <n v="422"/>
    <n v="376"/>
    <n v="31674"/>
    <n v="53225"/>
    <n v="147"/>
    <s v="#NowPlaying"/>
    <s v="Wrapped2024"/>
    <n v="0.17995832544042431"/>
  </r>
  <r>
    <s v="SP214"/>
    <x v="1"/>
    <d v="2024-10-09T00:00:00"/>
    <x v="0"/>
    <s v="Wrapped is here! Relive your top tracks ðŸŽ§"/>
    <n v="2659"/>
    <n v="167"/>
    <n v="73"/>
    <n v="23090"/>
    <n v="25872"/>
    <n v="293"/>
    <s v="#SoundtrackOfLife"/>
    <s v="IndieWave"/>
    <n v="0.12555218709398008"/>
  </r>
  <r>
    <s v="SP215"/>
    <x v="2"/>
    <d v="2025-01-15T00:00:00"/>
    <x v="0"/>
    <s v="Your weekend playlist is waiting."/>
    <n v="2599"/>
    <n v="324"/>
    <n v="182"/>
    <n v="37525"/>
    <n v="37216"/>
    <n v="186"/>
    <s v="#DiscoverWeekly,#SpotifyWrapped"/>
    <s v="IndieWave"/>
    <n v="8.2744836775483013E-2"/>
  </r>
  <r>
    <s v="SP216"/>
    <x v="1"/>
    <d v="2025-01-12T00:00:00"/>
    <x v="0"/>
    <s v="Music that moves youâ€”only on Spotify."/>
    <n v="1765"/>
    <n v="285"/>
    <n v="100"/>
    <n v="41313"/>
    <n v="56575"/>
    <n v="174"/>
    <s v="#SoundtrackOfLife"/>
    <s v="IndieWave"/>
    <n v="5.2041730205988429E-2"/>
  </r>
  <r>
    <s v="SP217"/>
    <x v="0"/>
    <d v="2025-05-31T00:00:00"/>
    <x v="0"/>
    <s v="Whatâ€™s your vibe today? #SpotifyHits"/>
    <n v="2169"/>
    <n v="240"/>
    <n v="57"/>
    <n v="26109"/>
    <n v="46667"/>
    <n v="133"/>
    <s v="#SoundtrackOfLife,#NowPlaying"/>
    <s v="ChillVibes"/>
    <n v="9.4450189589796618E-2"/>
  </r>
  <r>
    <s v="SP218"/>
    <x v="1"/>
    <d v="2024-10-14T00:00:00"/>
    <x v="1"/>
    <s v="Explore the latest podcasts now."/>
    <n v="4303"/>
    <n v="306"/>
    <n v="302"/>
    <n v="39575"/>
    <n v="33762"/>
    <n v="265"/>
    <s v="#DiscoverWeekly,#MusicForEveryone"/>
    <s v="ChillVibes"/>
    <n v="0.12409349336702463"/>
  </r>
  <r>
    <s v="SP219"/>
    <x v="1"/>
    <d v="2024-02-10T00:00:00"/>
    <x v="0"/>
    <s v="From pop to podcasts, itâ€™s all here."/>
    <n v="1519"/>
    <n v="456"/>
    <n v="379"/>
    <n v="51611"/>
    <n v="45880"/>
    <n v="176"/>
    <s v="#SoundtrackOfLife"/>
    <s v="IndieWave"/>
    <n v="4.5610431884675749E-2"/>
  </r>
  <r>
    <s v="SP220"/>
    <x v="2"/>
    <d v="2024-12-10T00:00:00"/>
    <x v="0"/>
    <s v="Whatâ€™s your vibe today? #SpotifyHits"/>
    <n v="2569"/>
    <n v="140"/>
    <n v="375"/>
    <n v="38372"/>
    <n v="22102"/>
    <n v="255"/>
    <s v="#DiscoverWeekly,#SpotifyWrapped"/>
    <s v="IndieWave"/>
    <n v="8.0371103929948923E-2"/>
  </r>
  <r>
    <s v="SP221"/>
    <x v="1"/>
    <d v="2025-05-09T00:00:00"/>
    <x v="1"/>
    <s v="Music that moves youâ€”only on Spotify."/>
    <n v="2778"/>
    <n v="241"/>
    <n v="317"/>
    <n v="26247"/>
    <n v="20677"/>
    <n v="282"/>
    <s v="#MusicForEveryone,#NowPlaying"/>
    <s v="ChillVibes"/>
    <n v="0.1271002400274317"/>
  </r>
  <r>
    <s v="SP222"/>
    <x v="1"/>
    <d v="2025-06-21T00:00:00"/>
    <x v="0"/>
    <s v="Explore the latest podcasts now."/>
    <n v="3611"/>
    <n v="127"/>
    <n v="139"/>
    <n v="44768"/>
    <n v="29435"/>
    <n v="178"/>
    <s v="#NowPlaying"/>
    <s v="ChillVibes"/>
    <n v="8.6602037169406718E-2"/>
  </r>
  <r>
    <s v="SP223"/>
    <x v="1"/>
    <d v="2024-06-19T00:00:00"/>
    <x v="0"/>
    <s v="Whatâ€™s your vibe today? #SpotifyHits"/>
    <n v="1224"/>
    <n v="168"/>
    <n v="199"/>
    <n v="54232"/>
    <n v="52844"/>
    <n v="271"/>
    <s v="#SoundtrackOfLife"/>
    <s v="IndieWave"/>
    <n v="2.9336922849977874E-2"/>
  </r>
  <r>
    <s v="SP224"/>
    <x v="1"/>
    <d v="2024-12-10T00:00:00"/>
    <x v="0"/>
    <s v="From pop to podcasts, itâ€™s all here."/>
    <n v="4673"/>
    <n v="270"/>
    <n v="93"/>
    <n v="45260"/>
    <n v="57513"/>
    <n v="103"/>
    <s v="#NowPlaying"/>
    <s v="ChillVibes"/>
    <n v="0.11126822801590809"/>
  </r>
  <r>
    <s v="SP225"/>
    <x v="2"/>
    <d v="2024-02-01T00:00:00"/>
    <x v="0"/>
    <s v="Wrapped is here! Relive your top tracks ðŸŽ§"/>
    <n v="1432"/>
    <n v="437"/>
    <n v="267"/>
    <n v="40634"/>
    <n v="54511"/>
    <n v="197"/>
    <s v="#DiscoverWeekly,#SpotifyWrapped"/>
    <s v="IndieWave"/>
    <n v="5.2566815966924252E-2"/>
  </r>
  <r>
    <s v="SP226"/>
    <x v="1"/>
    <d v="2024-01-17T00:00:00"/>
    <x v="1"/>
    <s v="New music just dropped. Hit play!"/>
    <n v="2174"/>
    <n v="499"/>
    <n v="212"/>
    <n v="54938"/>
    <n v="27190"/>
    <n v="265"/>
    <s v="#MusicForEveryone,#NowPlaying"/>
    <s v="ChillVibes"/>
    <n v="5.2513742764570971E-2"/>
  </r>
  <r>
    <s v="SP227"/>
    <x v="2"/>
    <d v="2025-03-22T00:00:00"/>
    <x v="0"/>
    <s v="Music that moves youâ€”only on Spotify."/>
    <n v="4308"/>
    <n v="171"/>
    <n v="106"/>
    <n v="36955"/>
    <n v="23949"/>
    <n v="294"/>
    <s v="#DiscoverWeekly,#SpotifyWrapped"/>
    <s v="IndieWave"/>
    <n v="0.12406981463942633"/>
  </r>
  <r>
    <s v="SP228"/>
    <x v="2"/>
    <d v="2024-05-30T00:00:00"/>
    <x v="2"/>
    <s v="Whatâ€™s your vibe today? #SpotifyHits"/>
    <n v="1060"/>
    <n v="442"/>
    <n v="319"/>
    <n v="57194"/>
    <n v="24258"/>
    <n v="101"/>
    <s v="#DiscoverWeekly,#SoundtrackOfLife"/>
    <s v="SummerBeats"/>
    <n v="3.1839004091338254E-2"/>
  </r>
  <r>
    <s v="SP229"/>
    <x v="2"/>
    <d v="2024-02-24T00:00:00"/>
    <x v="0"/>
    <s v="Music that moves youâ€”only on Spotify."/>
    <n v="4653"/>
    <n v="226"/>
    <n v="349"/>
    <n v="56876"/>
    <n v="28452"/>
    <n v="257"/>
    <s v="#DiscoverWeekly,#SpotifyWrapped"/>
    <s v="IndieWave"/>
    <n v="9.191926295801392E-2"/>
  </r>
  <r>
    <s v="SP230"/>
    <x v="2"/>
    <d v="2025-05-14T00:00:00"/>
    <x v="0"/>
    <s v="Discover fresh beats on Spotify!"/>
    <n v="1701"/>
    <n v="272"/>
    <n v="385"/>
    <n v="47496"/>
    <n v="40832"/>
    <n v="246"/>
    <s v="#DiscoverWeekly,#SpotifyWrapped"/>
    <s v="IndieWave"/>
    <n v="4.9646286003031836E-2"/>
  </r>
  <r>
    <s v="SP231"/>
    <x v="0"/>
    <d v="2024-03-28T00:00:00"/>
    <x v="0"/>
    <s v="Whatâ€™s your vibe today? #SpotifyHits"/>
    <n v="1673"/>
    <n v="280"/>
    <n v="67"/>
    <n v="29847"/>
    <n v="48016"/>
    <n v="213"/>
    <s v="#SoundtrackOfLife,#NowPlaying"/>
    <s v="ChillVibes"/>
    <n v="6.76784936509532E-2"/>
  </r>
  <r>
    <s v="SP232"/>
    <x v="2"/>
    <d v="2025-03-07T00:00:00"/>
    <x v="0"/>
    <s v="Top trending tracks updated daily!"/>
    <n v="4310"/>
    <n v="284"/>
    <n v="306"/>
    <n v="44606"/>
    <n v="42604"/>
    <n v="290"/>
    <s v="#DiscoverWeekly,#SpotifyWrapped"/>
    <s v="IndieWave"/>
    <n v="0.10985069273191947"/>
  </r>
  <r>
    <s v="SP233"/>
    <x v="1"/>
    <d v="2024-10-20T00:00:00"/>
    <x v="0"/>
    <s v="From pop to podcasts, itâ€™s all here."/>
    <n v="2752"/>
    <n v="309"/>
    <n v="91"/>
    <n v="39038"/>
    <n v="28095"/>
    <n v="277"/>
    <s v="#NowPlaying"/>
    <s v="ChillVibes"/>
    <n v="8.0741841282852611E-2"/>
  </r>
  <r>
    <s v="SP234"/>
    <x v="1"/>
    <d v="2024-02-02T00:00:00"/>
    <x v="0"/>
    <s v="From pop to podcasts, itâ€™s all here."/>
    <n v="3818"/>
    <n v="115"/>
    <n v="286"/>
    <n v="25127"/>
    <n v="22277"/>
    <n v="263"/>
    <s v="#NowPlaying"/>
    <s v="ChillVibes"/>
    <n v="0.16790703227603773"/>
  </r>
  <r>
    <s v="SP235"/>
    <x v="2"/>
    <d v="2024-09-07T00:00:00"/>
    <x v="0"/>
    <s v="Your weekend playlist is waiting."/>
    <n v="2101"/>
    <n v="411"/>
    <n v="190"/>
    <n v="41791"/>
    <n v="57090"/>
    <n v="172"/>
    <s v="#DiscoverWeekly,#SpotifyWrapped"/>
    <s v="IndieWave"/>
    <n v="6.4655069273288512E-2"/>
  </r>
  <r>
    <s v="SP236"/>
    <x v="0"/>
    <d v="2024-12-20T00:00:00"/>
    <x v="0"/>
    <s v="Discover fresh beats on Spotify!"/>
    <n v="2519"/>
    <n v="202"/>
    <n v="239"/>
    <n v="36245"/>
    <n v="48606"/>
    <n v="145"/>
    <s v="#DiscoverWeekly"/>
    <s v="IndieWave"/>
    <n v="8.1666436749896543E-2"/>
  </r>
  <r>
    <s v="SP237"/>
    <x v="2"/>
    <d v="2024-01-14T00:00:00"/>
    <x v="0"/>
    <s v="Whatâ€™s your vibe today? #SpotifyHits"/>
    <n v="4502"/>
    <n v="238"/>
    <n v="386"/>
    <n v="39198"/>
    <n v="25050"/>
    <n v="297"/>
    <s v="#DiscoverWeekly,#SpotifyWrapped"/>
    <s v="IndieWave"/>
    <n v="0.13077197816215114"/>
  </r>
  <r>
    <s v="SP238"/>
    <x v="0"/>
    <d v="2025-06-15T00:00:00"/>
    <x v="0"/>
    <s v="Explore the latest podcasts now."/>
    <n v="2478"/>
    <n v="427"/>
    <n v="242"/>
    <n v="59272"/>
    <n v="37833"/>
    <n v="214"/>
    <s v="#SoundtrackOfLife,#NowPlaying"/>
    <s v="ChillVibes"/>
    <n v="5.3094209744904843E-2"/>
  </r>
  <r>
    <s v="SP239"/>
    <x v="1"/>
    <d v="2024-12-13T00:00:00"/>
    <x v="1"/>
    <s v="New music just dropped. Hit play!"/>
    <n v="4984"/>
    <n v="300"/>
    <n v="338"/>
    <n v="32900"/>
    <n v="31691"/>
    <n v="160"/>
    <s v="#MusicForEveryone,#NowPlaying"/>
    <s v="ChillVibes"/>
    <n v="0.17088145896656534"/>
  </r>
  <r>
    <s v="SP240"/>
    <x v="2"/>
    <d v="2024-08-29T00:00:00"/>
    <x v="0"/>
    <s v="Wrapped is here! Relive your top tracks ðŸŽ§"/>
    <n v="4774"/>
    <n v="389"/>
    <n v="358"/>
    <n v="52346"/>
    <n v="30518"/>
    <n v="277"/>
    <s v="#DiscoverWeekly,#SpotifyWrapped"/>
    <s v="IndieWave"/>
    <n v="0.10547128720437092"/>
  </r>
  <r>
    <s v="SP241"/>
    <x v="1"/>
    <d v="2024-09-15T00:00:00"/>
    <x v="0"/>
    <s v="Get into the groove with our new drop!"/>
    <n v="2145"/>
    <n v="340"/>
    <n v="85"/>
    <n v="53323"/>
    <n v="49938"/>
    <n v="104"/>
    <s v="#NowPlaying"/>
    <s v="ChillVibes"/>
    <n v="4.819683813738912E-2"/>
  </r>
  <r>
    <s v="SP242"/>
    <x v="1"/>
    <d v="2025-04-12T00:00:00"/>
    <x v="1"/>
    <s v="From pop to podcasts, itâ€™s all here."/>
    <n v="4315"/>
    <n v="208"/>
    <n v="273"/>
    <n v="35780"/>
    <n v="44349"/>
    <n v="133"/>
    <s v="#DiscoverWeekly,#MusicForEveryone"/>
    <s v="ChillVibes"/>
    <n v="0.13404136389044158"/>
  </r>
  <r>
    <s v="SP243"/>
    <x v="1"/>
    <d v="2024-12-10T00:00:00"/>
    <x v="1"/>
    <s v="Wrapped is here! Relive your top tracks ðŸŽ§"/>
    <n v="2267"/>
    <n v="230"/>
    <n v="243"/>
    <n v="27904"/>
    <n v="69771"/>
    <n v="255"/>
    <s v="#DiscoverWeekly,#MusicForEveryone"/>
    <s v="ChillVibes"/>
    <n v="9.8193807339449546E-2"/>
  </r>
  <r>
    <s v="SP244"/>
    <x v="2"/>
    <d v="2025-06-08T00:00:00"/>
    <x v="0"/>
    <s v="Music that moves youâ€”only on Spotify."/>
    <n v="4375"/>
    <n v="303"/>
    <n v="294"/>
    <n v="57468"/>
    <n v="53397"/>
    <n v="159"/>
    <s v="#DiscoverWeekly,#SpotifyWrapped"/>
    <s v="IndieWave"/>
    <n v="8.6517714206166912E-2"/>
  </r>
  <r>
    <s v="SP245"/>
    <x v="1"/>
    <d v="2025-01-09T00:00:00"/>
    <x v="1"/>
    <s v="Your weekend playlist is waiting."/>
    <n v="3817"/>
    <n v="284"/>
    <n v="204"/>
    <n v="46434"/>
    <n v="53396"/>
    <n v="104"/>
    <s v="#MusicForEveryone,#NowPlaying"/>
    <s v="ChillVibes"/>
    <n v="9.2712236723090841E-2"/>
  </r>
  <r>
    <s v="SP246"/>
    <x v="1"/>
    <d v="2024-07-08T00:00:00"/>
    <x v="1"/>
    <s v="Top trending tracks updated daily!"/>
    <n v="2981"/>
    <n v="258"/>
    <n v="168"/>
    <n v="20677"/>
    <n v="68290"/>
    <n v="130"/>
    <s v="#SoundtrackOfLife,#NowPlaying"/>
    <s v="ChillVibes"/>
    <n v="0.16477245248343569"/>
  </r>
  <r>
    <s v="SP247"/>
    <x v="1"/>
    <d v="2024-09-16T00:00:00"/>
    <x v="1"/>
    <s v="Your weekend playlist is waiting."/>
    <n v="3300"/>
    <n v="354"/>
    <n v="397"/>
    <n v="56773"/>
    <n v="72110"/>
    <n v="163"/>
    <s v="#DiscoverWeekly,#MusicForEveryone"/>
    <s v="ChillVibes"/>
    <n v="7.1354340971940891E-2"/>
  </r>
  <r>
    <s v="SP248"/>
    <x v="2"/>
    <d v="2024-06-14T00:00:00"/>
    <x v="2"/>
    <s v="Wrapped is here! Relive your top tracks ðŸŽ§"/>
    <n v="4722"/>
    <n v="310"/>
    <n v="344"/>
    <n v="27911"/>
    <n v="19000"/>
    <n v="225"/>
    <s v="#DiscoverWeekly,#SoundtrackOfLife"/>
    <s v="SummerBeats"/>
    <n v="0.19261223173659131"/>
  </r>
  <r>
    <s v="SP249"/>
    <x v="0"/>
    <d v="2024-03-06T00:00:00"/>
    <x v="0"/>
    <s v="Whatâ€™s your vibe today? #SpotifyHits"/>
    <n v="3529"/>
    <n v="263"/>
    <n v="107"/>
    <n v="26570"/>
    <n v="19367"/>
    <n v="96"/>
    <s v="#DiscoverWeekly"/>
    <s v="IndieWave"/>
    <n v="0.14674444862627023"/>
  </r>
  <r>
    <s v="SP250"/>
    <x v="1"/>
    <d v="2025-05-15T00:00:00"/>
    <x v="0"/>
    <s v="Your weekend playlist is waiting."/>
    <n v="4782"/>
    <n v="210"/>
    <n v="311"/>
    <n v="29793"/>
    <n v="37543"/>
    <n v="145"/>
    <s v="#NowPlaying"/>
    <s v="ChillVibes"/>
    <n v="0.17799483100057059"/>
  </r>
  <r>
    <s v="SP251"/>
    <x v="1"/>
    <d v="2024-07-07T00:00:00"/>
    <x v="0"/>
    <s v="Whatâ€™s your vibe today? #SpotifyHits"/>
    <n v="1848"/>
    <n v="417"/>
    <n v="294"/>
    <n v="57819"/>
    <n v="19798"/>
    <n v="262"/>
    <s v="#SoundtrackOfLife"/>
    <s v="IndieWave"/>
    <n v="4.4258807658382193E-2"/>
  </r>
  <r>
    <s v="SP252"/>
    <x v="2"/>
    <d v="2024-10-26T00:00:00"/>
    <x v="0"/>
    <s v="New music just dropped. Hit play!"/>
    <n v="4676"/>
    <n v="211"/>
    <n v="55"/>
    <n v="45917"/>
    <n v="73503"/>
    <n v="248"/>
    <s v="#DiscoverWeekly,#SpotifyWrapped"/>
    <s v="IndieWave"/>
    <n v="0.10762898272970794"/>
  </r>
  <r>
    <s v="SP253"/>
    <x v="2"/>
    <d v="2024-08-08T00:00:00"/>
    <x v="0"/>
    <s v="From pop to podcasts, itâ€™s all here."/>
    <n v="1994"/>
    <n v="197"/>
    <n v="290"/>
    <n v="49500"/>
    <n v="23343"/>
    <n v="160"/>
    <s v="#DiscoverWeekly,#SpotifyWrapped"/>
    <s v="IndieWave"/>
    <n v="5.0121212121212122E-2"/>
  </r>
  <r>
    <s v="SP254"/>
    <x v="1"/>
    <d v="2025-02-03T00:00:00"/>
    <x v="0"/>
    <s v="Whatâ€™s your vibe today? #SpotifyHits"/>
    <n v="4995"/>
    <n v="231"/>
    <n v="94"/>
    <n v="34431"/>
    <n v="32560"/>
    <n v="262"/>
    <s v="#NowPlaying"/>
    <s v="ChillVibes"/>
    <n v="0.15451192239551567"/>
  </r>
  <r>
    <s v="SP255"/>
    <x v="1"/>
    <d v="2024-04-03T00:00:00"/>
    <x v="1"/>
    <s v="Top trending tracks updated daily!"/>
    <n v="2291"/>
    <n v="146"/>
    <n v="399"/>
    <n v="49319"/>
    <n v="28056"/>
    <n v="90"/>
    <s v="#DiscoverWeekly,#MusicForEveryone"/>
    <s v="ChillVibes"/>
    <n v="5.7503193495407452E-2"/>
  </r>
  <r>
    <s v="SP256"/>
    <x v="1"/>
    <d v="2024-07-08T00:00:00"/>
    <x v="1"/>
    <s v="Wrapped is here! Relive your top tracks ðŸŽ§"/>
    <n v="2304"/>
    <n v="289"/>
    <n v="161"/>
    <n v="52645"/>
    <n v="66262"/>
    <n v="146"/>
    <s v="#MusicForEveryone,#NowPlaying"/>
    <s v="ChillVibes"/>
    <n v="5.2312660271630736E-2"/>
  </r>
  <r>
    <s v="SP257"/>
    <x v="1"/>
    <d v="2024-06-08T00:00:00"/>
    <x v="1"/>
    <s v="Top trending tracks updated daily!"/>
    <n v="3413"/>
    <n v="326"/>
    <n v="86"/>
    <n v="44680"/>
    <n v="52719"/>
    <n v="272"/>
    <s v="#DiscoverWeekly,#MusicForEveryone"/>
    <s v="ChillVibes"/>
    <n v="8.5608773500447627E-2"/>
  </r>
  <r>
    <s v="SP258"/>
    <x v="2"/>
    <d v="2025-03-20T00:00:00"/>
    <x v="2"/>
    <s v="From pop to podcasts, itâ€™s all here."/>
    <n v="1453"/>
    <n v="156"/>
    <n v="178"/>
    <n v="52980"/>
    <n v="57180"/>
    <n v="286"/>
    <s v="#DiscoverWeekly,#SoundtrackOfLife"/>
    <s v="SummerBeats"/>
    <n v="3.3729709324273313E-2"/>
  </r>
  <r>
    <s v="SP259"/>
    <x v="1"/>
    <d v="2025-01-19T00:00:00"/>
    <x v="1"/>
    <s v="Music that moves youâ€”only on Spotify."/>
    <n v="1651"/>
    <n v="480"/>
    <n v="282"/>
    <n v="32140"/>
    <n v="70560"/>
    <n v="138"/>
    <s v="#SoundtrackOfLife,#NowPlaying"/>
    <s v="ChillVibes"/>
    <n v="7.5077784691972627E-2"/>
  </r>
  <r>
    <s v="SP260"/>
    <x v="1"/>
    <d v="2025-01-05T00:00:00"/>
    <x v="1"/>
    <s v="Explore the latest podcasts now."/>
    <n v="3341"/>
    <n v="154"/>
    <n v="123"/>
    <n v="43369"/>
    <n v="49035"/>
    <n v="128"/>
    <s v="#MusicForEveryone,#NowPlaying"/>
    <s v="ChillVibes"/>
    <n v="8.3423643616408028E-2"/>
  </r>
  <r>
    <s v="SP261"/>
    <x v="1"/>
    <d v="2024-11-16T00:00:00"/>
    <x v="0"/>
    <s v="From pop to podcasts, itâ€™s all here."/>
    <n v="2972"/>
    <n v="263"/>
    <n v="308"/>
    <n v="51740"/>
    <n v="28214"/>
    <n v="190"/>
    <s v="#SoundtrackOfLife"/>
    <s v="IndieWave"/>
    <n v="6.8477000386548123E-2"/>
  </r>
  <r>
    <s v="SP262"/>
    <x v="1"/>
    <d v="2024-11-30T00:00:00"/>
    <x v="1"/>
    <s v="Explore the latest podcasts now."/>
    <n v="4963"/>
    <n v="255"/>
    <n v="193"/>
    <n v="44386"/>
    <n v="28415"/>
    <n v="174"/>
    <s v="#MusicForEveryone,#NowPlaying"/>
    <s v="ChillVibes"/>
    <n v="0.12190780876853062"/>
  </r>
  <r>
    <s v="SP263"/>
    <x v="2"/>
    <d v="2024-03-27T00:00:00"/>
    <x v="0"/>
    <s v="Music that moves youâ€”only on Spotify."/>
    <n v="2399"/>
    <n v="191"/>
    <n v="221"/>
    <n v="51603"/>
    <n v="40033"/>
    <n v="173"/>
    <s v="#DiscoverWeekly,#SpotifyWrapped"/>
    <s v="IndieWave"/>
    <n v="5.4473577117609438E-2"/>
  </r>
  <r>
    <s v="SP264"/>
    <x v="2"/>
    <d v="2025-05-31T00:00:00"/>
    <x v="2"/>
    <s v="Get into the groove with our new drop!"/>
    <n v="2162"/>
    <n v="318"/>
    <n v="83"/>
    <n v="46719"/>
    <n v="20482"/>
    <n v="185"/>
    <s v="#DiscoverWeekly,#SoundtrackOfLife"/>
    <s v="SummerBeats"/>
    <n v="5.4859907104176028E-2"/>
  </r>
  <r>
    <s v="SP265"/>
    <x v="1"/>
    <d v="2025-06-17T00:00:00"/>
    <x v="1"/>
    <s v="Explore the latest podcasts now."/>
    <n v="4341"/>
    <n v="141"/>
    <n v="63"/>
    <n v="50081"/>
    <n v="27507"/>
    <n v="221"/>
    <s v="#DiscoverWeekly,#MusicForEveryone"/>
    <s v="ChillVibes"/>
    <n v="9.0752980172121162E-2"/>
  </r>
  <r>
    <s v="SP266"/>
    <x v="0"/>
    <d v="2024-05-30T00:00:00"/>
    <x v="1"/>
    <s v="Get into the groove with our new drop!"/>
    <n v="2448"/>
    <n v="464"/>
    <n v="98"/>
    <n v="25737"/>
    <n v="48545"/>
    <n v="246"/>
    <s v="#NowPlaying"/>
    <s v="Wrapped2024"/>
    <n v="0.11695224773672146"/>
  </r>
  <r>
    <s v="SP267"/>
    <x v="2"/>
    <d v="2024-11-08T00:00:00"/>
    <x v="0"/>
    <s v="Top trending tracks updated daily!"/>
    <n v="2471"/>
    <n v="166"/>
    <n v="320"/>
    <n v="48254"/>
    <n v="46900"/>
    <n v="111"/>
    <s v="#DiscoverWeekly,#SpotifyWrapped"/>
    <s v="IndieWave"/>
    <n v="6.1279893894806647E-2"/>
  </r>
  <r>
    <s v="SP268"/>
    <x v="2"/>
    <d v="2024-03-17T00:00:00"/>
    <x v="2"/>
    <s v="Explore the latest podcasts now."/>
    <n v="2692"/>
    <n v="446"/>
    <n v="216"/>
    <n v="45818"/>
    <n v="62723"/>
    <n v="85"/>
    <s v="#DiscoverWeekly,#SoundtrackOfLife"/>
    <s v="SummerBeats"/>
    <n v="7.3202671439172376E-2"/>
  </r>
  <r>
    <s v="SP269"/>
    <x v="2"/>
    <d v="2024-06-21T00:00:00"/>
    <x v="2"/>
    <s v="Music that moves youâ€”only on Spotify."/>
    <n v="4621"/>
    <n v="374"/>
    <n v="298"/>
    <n v="56979"/>
    <n v="24098"/>
    <n v="205"/>
    <s v="#DiscoverWeekly,#SoundtrackOfLife"/>
    <s v="SummerBeats"/>
    <n v="9.2893873181347508E-2"/>
  </r>
  <r>
    <s v="SP270"/>
    <x v="1"/>
    <d v="2024-11-13T00:00:00"/>
    <x v="1"/>
    <s v="New music just dropped. Hit play!"/>
    <n v="1409"/>
    <n v="466"/>
    <n v="105"/>
    <n v="58923"/>
    <n v="38753"/>
    <n v="265"/>
    <s v="#DiscoverWeekly,#MusicForEveryone"/>
    <s v="ChillVibes"/>
    <n v="3.3603177027646251E-2"/>
  </r>
  <r>
    <s v="SP271"/>
    <x v="1"/>
    <d v="2025-02-05T00:00:00"/>
    <x v="1"/>
    <s v="Discover fresh beats on Spotify!"/>
    <n v="3029"/>
    <n v="440"/>
    <n v="66"/>
    <n v="23815"/>
    <n v="47895"/>
    <n v="210"/>
    <s v="#DiscoverWeekly,#MusicForEveryone"/>
    <s v="ChillVibes"/>
    <n v="0.14843585975225698"/>
  </r>
  <r>
    <s v="SP272"/>
    <x v="1"/>
    <d v="2024-11-07T00:00:00"/>
    <x v="0"/>
    <s v="Explore the latest podcasts now."/>
    <n v="2229"/>
    <n v="395"/>
    <n v="328"/>
    <n v="56921"/>
    <n v="37176"/>
    <n v="126"/>
    <s v="#SoundtrackOfLife"/>
    <s v="IndieWave"/>
    <n v="5.1861351697967357E-2"/>
  </r>
  <r>
    <s v="SP273"/>
    <x v="1"/>
    <d v="2024-02-12T00:00:00"/>
    <x v="0"/>
    <s v="Explore the latest podcasts now."/>
    <n v="2691"/>
    <n v="486"/>
    <n v="206"/>
    <n v="51133"/>
    <n v="44583"/>
    <n v="276"/>
    <s v="#NowPlaying"/>
    <s v="ChillVibes"/>
    <n v="6.6160796354604659E-2"/>
  </r>
  <r>
    <s v="SP274"/>
    <x v="0"/>
    <d v="2024-10-08T00:00:00"/>
    <x v="0"/>
    <s v="Explore the latest podcasts now."/>
    <n v="2110"/>
    <n v="384"/>
    <n v="236"/>
    <n v="49965"/>
    <n v="61555"/>
    <n v="195"/>
    <s v="#DiscoverWeekly"/>
    <s v="IndieWave"/>
    <n v="5.4638246772740921E-2"/>
  </r>
  <r>
    <s v="SP275"/>
    <x v="0"/>
    <d v="2024-02-19T00:00:00"/>
    <x v="0"/>
    <s v="Wrapped is here! Relive your top tracks ðŸŽ§"/>
    <n v="4752"/>
    <n v="449"/>
    <n v="309"/>
    <n v="58530"/>
    <n v="26630"/>
    <n v="234"/>
    <s v="#DiscoverWeekly"/>
    <s v="IndieWave"/>
    <n v="9.4139757389372969E-2"/>
  </r>
  <r>
    <s v="SP276"/>
    <x v="1"/>
    <d v="2025-03-04T00:00:00"/>
    <x v="0"/>
    <s v="Discover fresh beats on Spotify!"/>
    <n v="2177"/>
    <n v="258"/>
    <n v="292"/>
    <n v="47276"/>
    <n v="51324"/>
    <n v="143"/>
    <s v="#NowPlaying"/>
    <s v="ChillVibes"/>
    <n v="5.7682545054573146E-2"/>
  </r>
  <r>
    <s v="SP277"/>
    <x v="0"/>
    <d v="2025-02-03T00:00:00"/>
    <x v="1"/>
    <s v="New music just dropped. Hit play!"/>
    <n v="1205"/>
    <n v="486"/>
    <n v="269"/>
    <n v="23341"/>
    <n v="42411"/>
    <n v="184"/>
    <s v="#NowPlaying"/>
    <s v="Wrapped2024"/>
    <n v="8.3972409065592737E-2"/>
  </r>
  <r>
    <s v="SP278"/>
    <x v="0"/>
    <d v="2024-12-02T00:00:00"/>
    <x v="0"/>
    <s v="Top trending tracks updated daily!"/>
    <n v="3194"/>
    <n v="292"/>
    <n v="245"/>
    <n v="56371"/>
    <n v="65597"/>
    <n v="163"/>
    <s v="#SoundtrackOfLife,#NowPlaying"/>
    <s v="ChillVibes"/>
    <n v="6.6186514342481059E-2"/>
  </r>
  <r>
    <s v="SP279"/>
    <x v="1"/>
    <d v="2025-01-19T00:00:00"/>
    <x v="1"/>
    <s v="New music just dropped. Hit play!"/>
    <n v="3507"/>
    <n v="295"/>
    <n v="371"/>
    <n v="20410"/>
    <n v="53965"/>
    <n v="212"/>
    <s v="#SoundtrackOfLife,#NowPlaying"/>
    <s v="ChillVibes"/>
    <n v="0.20445859872611466"/>
  </r>
  <r>
    <s v="SP280"/>
    <x v="1"/>
    <d v="2024-09-28T00:00:00"/>
    <x v="1"/>
    <s v="Wrapped is here! Relive your top tracks ðŸŽ§"/>
    <n v="4471"/>
    <n v="317"/>
    <n v="249"/>
    <n v="44862"/>
    <n v="33365"/>
    <n v="184"/>
    <s v="#DiscoverWeekly,#MusicForEveryone"/>
    <s v="ChillVibes"/>
    <n v="0.1122776514644911"/>
  </r>
  <r>
    <s v="SP281"/>
    <x v="0"/>
    <d v="2024-01-07T00:00:00"/>
    <x v="0"/>
    <s v="Top trending tracks updated daily!"/>
    <n v="4931"/>
    <n v="469"/>
    <n v="193"/>
    <n v="56701"/>
    <n v="69437"/>
    <n v="291"/>
    <s v="#SoundtrackOfLife,#NowPlaying"/>
    <s v="ChillVibes"/>
    <n v="9.8640235621946709E-2"/>
  </r>
  <r>
    <s v="SP282"/>
    <x v="1"/>
    <d v="2024-02-21T00:00:00"/>
    <x v="1"/>
    <s v="Get into the groove with our new drop!"/>
    <n v="2604"/>
    <n v="439"/>
    <n v="148"/>
    <n v="58468"/>
    <n v="39629"/>
    <n v="163"/>
    <s v="#MusicForEveryone,#NowPlaying"/>
    <s v="ChillVibes"/>
    <n v="5.4576862557296296E-2"/>
  </r>
  <r>
    <s v="SP283"/>
    <x v="0"/>
    <d v="2024-08-27T00:00:00"/>
    <x v="0"/>
    <s v="Music that moves youâ€”only on Spotify."/>
    <n v="4197"/>
    <n v="359"/>
    <n v="280"/>
    <n v="56048"/>
    <n v="70930"/>
    <n v="295"/>
    <s v="#DiscoverWeekly"/>
    <s v="IndieWave"/>
    <n v="8.628318584070796E-2"/>
  </r>
  <r>
    <s v="SP284"/>
    <x v="0"/>
    <d v="2024-10-24T00:00:00"/>
    <x v="1"/>
    <s v="Top trending tracks updated daily!"/>
    <n v="1914"/>
    <n v="255"/>
    <n v="156"/>
    <n v="27660"/>
    <n v="47776"/>
    <n v="111"/>
    <s v="#NowPlaying"/>
    <s v="Wrapped2024"/>
    <n v="8.4056399132321047E-2"/>
  </r>
  <r>
    <s v="SP285"/>
    <x v="2"/>
    <d v="2025-01-29T00:00:00"/>
    <x v="0"/>
    <s v="New music just dropped. Hit play!"/>
    <n v="1334"/>
    <n v="357"/>
    <n v="257"/>
    <n v="56910"/>
    <n v="70606"/>
    <n v="228"/>
    <s v="#DiscoverWeekly,#SpotifyWrapped"/>
    <s v="IndieWave"/>
    <n v="3.4229485151994379E-2"/>
  </r>
  <r>
    <s v="SP286"/>
    <x v="0"/>
    <d v="2024-05-01T00:00:00"/>
    <x v="0"/>
    <s v="Get into the groove with our new drop!"/>
    <n v="3359"/>
    <n v="137"/>
    <n v="387"/>
    <n v="33861"/>
    <n v="47257"/>
    <n v="198"/>
    <s v="#DiscoverWeekly"/>
    <s v="IndieWave"/>
    <n v="0.11467469950680724"/>
  </r>
  <r>
    <s v="SP287"/>
    <x v="2"/>
    <d v="2024-06-25T00:00:00"/>
    <x v="0"/>
    <s v="Your weekend playlist is waiting."/>
    <n v="2172"/>
    <n v="338"/>
    <n v="70"/>
    <n v="30515"/>
    <n v="57853"/>
    <n v="156"/>
    <s v="#DiscoverWeekly,#SpotifyWrapped"/>
    <s v="IndieWave"/>
    <n v="8.4548582664263475E-2"/>
  </r>
  <r>
    <s v="SP288"/>
    <x v="1"/>
    <d v="2024-08-09T00:00:00"/>
    <x v="1"/>
    <s v="From pop to podcasts, itâ€™s all here."/>
    <n v="4877"/>
    <n v="442"/>
    <n v="236"/>
    <n v="52673"/>
    <n v="48241"/>
    <n v="114"/>
    <s v="#DiscoverWeekly,#MusicForEveryone"/>
    <s v="ChillVibes"/>
    <n v="0.10546200140489435"/>
  </r>
  <r>
    <s v="SP289"/>
    <x v="0"/>
    <d v="2025-01-21T00:00:00"/>
    <x v="1"/>
    <s v="New music just dropped. Hit play!"/>
    <n v="4918"/>
    <n v="440"/>
    <n v="149"/>
    <n v="53269"/>
    <n v="64370"/>
    <n v="269"/>
    <s v="#NowPlaying"/>
    <s v="Wrapped2024"/>
    <n v="0.10338095327488783"/>
  </r>
  <r>
    <s v="SP290"/>
    <x v="1"/>
    <d v="2024-08-13T00:00:00"/>
    <x v="0"/>
    <s v="Explore the latest podcasts now."/>
    <n v="3418"/>
    <n v="107"/>
    <n v="221"/>
    <n v="23927"/>
    <n v="26182"/>
    <n v="155"/>
    <s v="#SoundtrackOfLife"/>
    <s v="IndieWave"/>
    <n v="0.1565595352530614"/>
  </r>
  <r>
    <s v="SP291"/>
    <x v="0"/>
    <d v="2024-06-29T00:00:00"/>
    <x v="0"/>
    <s v="Your weekend playlist is waiting."/>
    <n v="2088"/>
    <n v="490"/>
    <n v="124"/>
    <n v="46544"/>
    <n v="69346"/>
    <n v="178"/>
    <s v="#SoundtrackOfLife,#NowPlaying"/>
    <s v="ChillVibes"/>
    <n v="5.8052595393606049E-2"/>
  </r>
  <r>
    <s v="SP292"/>
    <x v="1"/>
    <d v="2024-11-03T00:00:00"/>
    <x v="1"/>
    <s v="Explore the latest podcasts now."/>
    <n v="3061"/>
    <n v="320"/>
    <n v="76"/>
    <n v="26640"/>
    <n v="24306"/>
    <n v="112"/>
    <s v="#MusicForEveryone,#NowPlaying"/>
    <s v="ChillVibes"/>
    <n v="0.12976726726726726"/>
  </r>
  <r>
    <s v="SP293"/>
    <x v="2"/>
    <d v="2025-04-18T00:00:00"/>
    <x v="2"/>
    <s v="Your weekend playlist is waiting."/>
    <n v="1265"/>
    <n v="230"/>
    <n v="364"/>
    <n v="41312"/>
    <n v="50382"/>
    <n v="106"/>
    <s v="#DiscoverWeekly,#SoundtrackOfLife"/>
    <s v="SummerBeats"/>
    <n v="4.4999031758326875E-2"/>
  </r>
  <r>
    <s v="SP294"/>
    <x v="0"/>
    <d v="2024-12-27T00:00:00"/>
    <x v="0"/>
    <s v="From pop to podcasts, itâ€™s all here."/>
    <n v="1436"/>
    <n v="219"/>
    <n v="229"/>
    <n v="58488"/>
    <n v="24314"/>
    <n v="147"/>
    <s v="#DiscoverWeekly"/>
    <s v="IndieWave"/>
    <n v="3.221173574066475E-2"/>
  </r>
  <r>
    <s v="SP295"/>
    <x v="0"/>
    <d v="2025-03-08T00:00:00"/>
    <x v="1"/>
    <s v="Top trending tracks updated daily!"/>
    <n v="2244"/>
    <n v="392"/>
    <n v="231"/>
    <n v="25834"/>
    <n v="50906"/>
    <n v="165"/>
    <s v="#NowPlaying"/>
    <s v="Wrapped2024"/>
    <n v="0.1109777812185492"/>
  </r>
  <r>
    <s v="SP296"/>
    <x v="1"/>
    <d v="2025-03-20T00:00:00"/>
    <x v="1"/>
    <s v="Your weekend playlist is waiting."/>
    <n v="3393"/>
    <n v="104"/>
    <n v="79"/>
    <n v="30025"/>
    <n v="21593"/>
    <n v="165"/>
    <s v="#MusicForEveryone,#NowPlaying"/>
    <s v="ChillVibes"/>
    <n v="0.1191007493755204"/>
  </r>
  <r>
    <s v="SP297"/>
    <x v="1"/>
    <d v="2024-11-16T00:00:00"/>
    <x v="0"/>
    <s v="Explore the latest podcasts now."/>
    <n v="2901"/>
    <n v="108"/>
    <n v="86"/>
    <n v="51777"/>
    <n v="23773"/>
    <n v="160"/>
    <s v="#SoundtrackOfLife"/>
    <s v="IndieWave"/>
    <n v="5.9775576027966085E-2"/>
  </r>
  <r>
    <s v="SP298"/>
    <x v="1"/>
    <d v="2025-06-30T00:00:00"/>
    <x v="0"/>
    <s v="Whatâ€™s your vibe today? #SpotifyHits"/>
    <n v="2275"/>
    <n v="285"/>
    <n v="125"/>
    <n v="43970"/>
    <n v="74761"/>
    <n v="83"/>
    <s v="#NowPlaying"/>
    <s v="ChillVibes"/>
    <n v="6.1064362065044349E-2"/>
  </r>
  <r>
    <s v="SP299"/>
    <x v="1"/>
    <d v="2024-01-12T00:00:00"/>
    <x v="1"/>
    <s v="Wrapped is here! Relive your top tracks ðŸŽ§"/>
    <n v="2227"/>
    <n v="494"/>
    <n v="161"/>
    <n v="51651"/>
    <n v="68074"/>
    <n v="240"/>
    <s v="#DiscoverWeekly,#MusicForEveryone"/>
    <s v="ChillVibes"/>
    <n v="5.5797564422760453E-2"/>
  </r>
  <r>
    <s v="SP300"/>
    <x v="0"/>
    <d v="2024-02-07T00:00:00"/>
    <x v="0"/>
    <s v="Music that moves youâ€”only on Spotify."/>
    <n v="1883"/>
    <n v="432"/>
    <n v="397"/>
    <n v="28759"/>
    <n v="18691"/>
    <n v="270"/>
    <s v="#SoundtrackOfLife,#NowPlaying"/>
    <s v="ChillVibes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n v="133"/>
  </r>
  <r>
    <s v="SP001"/>
    <x v="1"/>
    <n v="133"/>
  </r>
  <r>
    <s v="SP002"/>
    <x v="2"/>
    <n v="273"/>
  </r>
  <r>
    <s v="SP003"/>
    <x v="3"/>
    <n v="121"/>
  </r>
  <r>
    <s v="SP003"/>
    <x v="1"/>
    <n v="121"/>
  </r>
  <r>
    <s v="SP004"/>
    <x v="0"/>
    <n v="272"/>
  </r>
  <r>
    <s v="SP004"/>
    <x v="1"/>
    <n v="272"/>
  </r>
  <r>
    <s v="SP005"/>
    <x v="2"/>
    <n v="200"/>
  </r>
  <r>
    <s v="SP005"/>
    <x v="4"/>
    <n v="200"/>
  </r>
  <r>
    <s v="SP006"/>
    <x v="2"/>
    <n v="149"/>
  </r>
  <r>
    <s v="SP006"/>
    <x v="4"/>
    <n v="149"/>
  </r>
  <r>
    <s v="SP007"/>
    <x v="0"/>
    <n v="212"/>
  </r>
  <r>
    <s v="SP007"/>
    <x v="1"/>
    <n v="212"/>
  </r>
  <r>
    <s v="SP008"/>
    <x v="2"/>
    <n v="120"/>
  </r>
  <r>
    <s v="SP008"/>
    <x v="3"/>
    <n v="120"/>
  </r>
  <r>
    <s v="SP009"/>
    <x v="1"/>
    <n v="171"/>
  </r>
  <r>
    <s v="SP010"/>
    <x v="1"/>
    <n v="284"/>
  </r>
  <r>
    <s v="SP011"/>
    <x v="0"/>
    <n v="88"/>
  </r>
  <r>
    <s v="SP012"/>
    <x v="0"/>
    <n v="86"/>
  </r>
  <r>
    <s v="SP012"/>
    <x v="1"/>
    <n v="86"/>
  </r>
  <r>
    <s v="SP013"/>
    <x v="3"/>
    <n v="213"/>
  </r>
  <r>
    <s v="SP013"/>
    <x v="1"/>
    <n v="213"/>
  </r>
  <r>
    <s v="SP014"/>
    <x v="1"/>
    <n v="264"/>
  </r>
  <r>
    <s v="SP015"/>
    <x v="1"/>
    <n v="179"/>
  </r>
  <r>
    <s v="SP016"/>
    <x v="3"/>
    <n v="172"/>
  </r>
  <r>
    <s v="SP016"/>
    <x v="1"/>
    <n v="172"/>
  </r>
  <r>
    <s v="SP017"/>
    <x v="1"/>
    <n v="83"/>
  </r>
  <r>
    <s v="SP018"/>
    <x v="1"/>
    <n v="235"/>
  </r>
  <r>
    <s v="SP019"/>
    <x v="2"/>
    <n v="95"/>
  </r>
  <r>
    <s v="SP019"/>
    <x v="0"/>
    <n v="95"/>
  </r>
  <r>
    <s v="SP020"/>
    <x v="2"/>
    <n v="90"/>
  </r>
  <r>
    <s v="SP021"/>
    <x v="1"/>
    <n v="230"/>
  </r>
  <r>
    <s v="SP022"/>
    <x v="0"/>
    <n v="84"/>
  </r>
  <r>
    <s v="SP022"/>
    <x v="1"/>
    <n v="84"/>
  </r>
  <r>
    <s v="SP023"/>
    <x v="2"/>
    <n v="103"/>
  </r>
  <r>
    <s v="SP023"/>
    <x v="0"/>
    <n v="103"/>
  </r>
  <r>
    <s v="SP024"/>
    <x v="0"/>
    <n v="174"/>
  </r>
  <r>
    <s v="SP025"/>
    <x v="2"/>
    <n v="232"/>
  </r>
  <r>
    <s v="SP025"/>
    <x v="0"/>
    <n v="232"/>
  </r>
  <r>
    <s v="SP026"/>
    <x v="2"/>
    <n v="147"/>
  </r>
  <r>
    <s v="SP026"/>
    <x v="3"/>
    <n v="147"/>
  </r>
  <r>
    <s v="SP027"/>
    <x v="0"/>
    <n v="268"/>
  </r>
  <r>
    <s v="SP027"/>
    <x v="1"/>
    <n v="268"/>
  </r>
  <r>
    <s v="SP028"/>
    <x v="2"/>
    <n v="206"/>
  </r>
  <r>
    <s v="SP028"/>
    <x v="0"/>
    <n v="206"/>
  </r>
  <r>
    <s v="SP029"/>
    <x v="3"/>
    <n v="202"/>
  </r>
  <r>
    <s v="SP029"/>
    <x v="1"/>
    <n v="202"/>
  </r>
  <r>
    <s v="SP030"/>
    <x v="1"/>
    <n v="197"/>
  </r>
  <r>
    <s v="SP031"/>
    <x v="0"/>
    <n v="279"/>
  </r>
  <r>
    <s v="SP031"/>
    <x v="1"/>
    <n v="279"/>
  </r>
  <r>
    <s v="SP032"/>
    <x v="0"/>
    <n v="138"/>
  </r>
  <r>
    <s v="SP032"/>
    <x v="1"/>
    <n v="138"/>
  </r>
  <r>
    <s v="SP033"/>
    <x v="2"/>
    <n v="289"/>
  </r>
  <r>
    <s v="SP033"/>
    <x v="3"/>
    <n v="289"/>
  </r>
  <r>
    <s v="SP034"/>
    <x v="0"/>
    <n v="287"/>
  </r>
  <r>
    <s v="SP034"/>
    <x v="1"/>
    <n v="287"/>
  </r>
  <r>
    <s v="SP035"/>
    <x v="3"/>
    <n v="265"/>
  </r>
  <r>
    <s v="SP035"/>
    <x v="1"/>
    <n v="265"/>
  </r>
  <r>
    <s v="SP036"/>
    <x v="2"/>
    <n v="80"/>
  </r>
  <r>
    <s v="SP037"/>
    <x v="3"/>
    <n v="80"/>
  </r>
  <r>
    <s v="SP037"/>
    <x v="1"/>
    <n v="80"/>
  </r>
  <r>
    <s v="SP038"/>
    <x v="1"/>
    <n v="195"/>
  </r>
  <r>
    <s v="SP039"/>
    <x v="2"/>
    <n v="133"/>
  </r>
  <r>
    <s v="SP040"/>
    <x v="1"/>
    <n v="125"/>
  </r>
  <r>
    <s v="SP041"/>
    <x v="0"/>
    <n v="275"/>
  </r>
  <r>
    <s v="SP041"/>
    <x v="1"/>
    <n v="275"/>
  </r>
  <r>
    <s v="SP042"/>
    <x v="1"/>
    <n v="211"/>
  </r>
  <r>
    <s v="SP043"/>
    <x v="0"/>
    <n v="154"/>
  </r>
  <r>
    <s v="SP043"/>
    <x v="1"/>
    <n v="154"/>
  </r>
  <r>
    <s v="SP044"/>
    <x v="2"/>
    <n v="290"/>
  </r>
  <r>
    <s v="SP045"/>
    <x v="2"/>
    <n v="201"/>
  </r>
  <r>
    <s v="SP045"/>
    <x v="4"/>
    <n v="201"/>
  </r>
  <r>
    <s v="SP046"/>
    <x v="2"/>
    <n v="92"/>
  </r>
  <r>
    <s v="SP047"/>
    <x v="2"/>
    <n v="120"/>
  </r>
  <r>
    <s v="SP047"/>
    <x v="0"/>
    <n v="120"/>
  </r>
  <r>
    <s v="SP048"/>
    <x v="1"/>
    <n v="213"/>
  </r>
  <r>
    <s v="SP049"/>
    <x v="2"/>
    <n v="191"/>
  </r>
  <r>
    <s v="SP049"/>
    <x v="3"/>
    <n v="191"/>
  </r>
  <r>
    <s v="SP050"/>
    <x v="1"/>
    <n v="148"/>
  </r>
  <r>
    <s v="SP051"/>
    <x v="2"/>
    <n v="215"/>
  </r>
  <r>
    <s v="SP051"/>
    <x v="0"/>
    <n v="215"/>
  </r>
  <r>
    <s v="SP052"/>
    <x v="2"/>
    <n v="261"/>
  </r>
  <r>
    <s v="SP052"/>
    <x v="3"/>
    <n v="261"/>
  </r>
  <r>
    <s v="SP053"/>
    <x v="3"/>
    <n v="87"/>
  </r>
  <r>
    <s v="SP053"/>
    <x v="1"/>
    <n v="87"/>
  </r>
  <r>
    <s v="SP054"/>
    <x v="2"/>
    <n v="239"/>
  </r>
  <r>
    <s v="SP055"/>
    <x v="1"/>
    <n v="190"/>
  </r>
  <r>
    <s v="SP056"/>
    <x v="1"/>
    <n v="259"/>
  </r>
  <r>
    <s v="SP057"/>
    <x v="2"/>
    <n v="291"/>
  </r>
  <r>
    <s v="SP058"/>
    <x v="2"/>
    <n v="177"/>
  </r>
  <r>
    <s v="SP058"/>
    <x v="4"/>
    <n v="177"/>
  </r>
  <r>
    <s v="SP059"/>
    <x v="2"/>
    <n v="220"/>
  </r>
  <r>
    <s v="SP059"/>
    <x v="4"/>
    <n v="220"/>
  </r>
  <r>
    <s v="SP060"/>
    <x v="2"/>
    <n v="116"/>
  </r>
  <r>
    <s v="SP060"/>
    <x v="4"/>
    <n v="116"/>
  </r>
  <r>
    <s v="SP061"/>
    <x v="2"/>
    <n v="171"/>
  </r>
  <r>
    <s v="SP061"/>
    <x v="0"/>
    <n v="171"/>
  </r>
  <r>
    <s v="SP062"/>
    <x v="3"/>
    <n v="182"/>
  </r>
  <r>
    <s v="SP062"/>
    <x v="1"/>
    <n v="182"/>
  </r>
  <r>
    <s v="SP063"/>
    <x v="0"/>
    <n v="237"/>
  </r>
  <r>
    <s v="SP064"/>
    <x v="3"/>
    <n v="205"/>
  </r>
  <r>
    <s v="SP064"/>
    <x v="1"/>
    <n v="205"/>
  </r>
  <r>
    <s v="SP065"/>
    <x v="2"/>
    <n v="109"/>
  </r>
  <r>
    <s v="SP065"/>
    <x v="4"/>
    <n v="109"/>
  </r>
  <r>
    <s v="SP066"/>
    <x v="0"/>
    <n v="227"/>
  </r>
  <r>
    <s v="SP066"/>
    <x v="1"/>
    <n v="227"/>
  </r>
  <r>
    <s v="SP067"/>
    <x v="2"/>
    <n v="267"/>
  </r>
  <r>
    <s v="SP067"/>
    <x v="0"/>
    <n v="267"/>
  </r>
  <r>
    <s v="SP068"/>
    <x v="0"/>
    <n v="221"/>
  </r>
  <r>
    <s v="SP069"/>
    <x v="2"/>
    <n v="227"/>
  </r>
  <r>
    <s v="SP069"/>
    <x v="3"/>
    <n v="227"/>
  </r>
  <r>
    <s v="SP070"/>
    <x v="1"/>
    <n v="107"/>
  </r>
  <r>
    <s v="SP071"/>
    <x v="0"/>
    <n v="135"/>
  </r>
  <r>
    <s v="SP072"/>
    <x v="2"/>
    <n v="193"/>
  </r>
  <r>
    <s v="SP073"/>
    <x v="2"/>
    <n v="270"/>
  </r>
  <r>
    <s v="SP073"/>
    <x v="0"/>
    <n v="270"/>
  </r>
  <r>
    <s v="SP074"/>
    <x v="2"/>
    <n v="88"/>
  </r>
  <r>
    <s v="SP074"/>
    <x v="3"/>
    <n v="88"/>
  </r>
  <r>
    <s v="SP075"/>
    <x v="0"/>
    <n v="101"/>
  </r>
  <r>
    <s v="SP075"/>
    <x v="1"/>
    <n v="101"/>
  </r>
  <r>
    <s v="SP076"/>
    <x v="2"/>
    <n v="207"/>
  </r>
  <r>
    <s v="SP077"/>
    <x v="1"/>
    <n v="88"/>
  </r>
  <r>
    <s v="SP078"/>
    <x v="3"/>
    <n v="109"/>
  </r>
  <r>
    <s v="SP078"/>
    <x v="1"/>
    <n v="109"/>
  </r>
  <r>
    <s v="SP079"/>
    <x v="2"/>
    <n v="128"/>
  </r>
  <r>
    <s v="SP079"/>
    <x v="0"/>
    <n v="128"/>
  </r>
  <r>
    <s v="SP080"/>
    <x v="0"/>
    <n v="157"/>
  </r>
  <r>
    <s v="SP080"/>
    <x v="1"/>
    <n v="157"/>
  </r>
  <r>
    <s v="SP081"/>
    <x v="0"/>
    <n v="184"/>
  </r>
  <r>
    <s v="SP082"/>
    <x v="2"/>
    <n v="182"/>
  </r>
  <r>
    <s v="SP083"/>
    <x v="0"/>
    <n v="180"/>
  </r>
  <r>
    <s v="SP083"/>
    <x v="1"/>
    <n v="180"/>
  </r>
  <r>
    <s v="SP084"/>
    <x v="1"/>
    <n v="122"/>
  </r>
  <r>
    <s v="SP085"/>
    <x v="0"/>
    <n v="264"/>
  </r>
  <r>
    <s v="SP085"/>
    <x v="1"/>
    <n v="264"/>
  </r>
  <r>
    <s v="SP086"/>
    <x v="0"/>
    <n v="169"/>
  </r>
  <r>
    <s v="SP086"/>
    <x v="1"/>
    <n v="169"/>
  </r>
  <r>
    <s v="SP087"/>
    <x v="0"/>
    <n v="160"/>
  </r>
  <r>
    <s v="SP087"/>
    <x v="1"/>
    <n v="160"/>
  </r>
  <r>
    <s v="SP088"/>
    <x v="0"/>
    <n v="298"/>
  </r>
  <r>
    <s v="SP088"/>
    <x v="1"/>
    <n v="298"/>
  </r>
  <r>
    <s v="SP089"/>
    <x v="0"/>
    <n v="120"/>
  </r>
  <r>
    <s v="SP089"/>
    <x v="1"/>
    <n v="120"/>
  </r>
  <r>
    <s v="SP090"/>
    <x v="3"/>
    <n v="160"/>
  </r>
  <r>
    <s v="SP090"/>
    <x v="1"/>
    <n v="160"/>
  </r>
  <r>
    <s v="SP091"/>
    <x v="0"/>
    <n v="111"/>
  </r>
  <r>
    <s v="SP092"/>
    <x v="2"/>
    <n v="82"/>
  </r>
  <r>
    <s v="SP092"/>
    <x v="0"/>
    <n v="82"/>
  </r>
  <r>
    <s v="SP093"/>
    <x v="2"/>
    <n v="169"/>
  </r>
  <r>
    <s v="SP094"/>
    <x v="0"/>
    <n v="98"/>
  </r>
  <r>
    <s v="SP094"/>
    <x v="1"/>
    <n v="98"/>
  </r>
  <r>
    <s v="SP095"/>
    <x v="1"/>
    <n v="241"/>
  </r>
  <r>
    <s v="SP096"/>
    <x v="0"/>
    <n v="114"/>
  </r>
  <r>
    <s v="SP096"/>
    <x v="1"/>
    <n v="114"/>
  </r>
  <r>
    <s v="SP097"/>
    <x v="2"/>
    <n v="191"/>
  </r>
  <r>
    <s v="SP098"/>
    <x v="2"/>
    <n v="157"/>
  </r>
  <r>
    <s v="SP098"/>
    <x v="3"/>
    <n v="157"/>
  </r>
  <r>
    <s v="SP099"/>
    <x v="1"/>
    <n v="258"/>
  </r>
  <r>
    <s v="SP100"/>
    <x v="2"/>
    <n v="181"/>
  </r>
  <r>
    <s v="SP101"/>
    <x v="1"/>
    <n v="218"/>
  </r>
  <r>
    <s v="SP102"/>
    <x v="1"/>
    <n v="282"/>
  </r>
  <r>
    <s v="SP103"/>
    <x v="0"/>
    <n v="263"/>
  </r>
  <r>
    <s v="SP103"/>
    <x v="1"/>
    <n v="263"/>
  </r>
  <r>
    <s v="SP104"/>
    <x v="2"/>
    <n v="132"/>
  </r>
  <r>
    <s v="SP104"/>
    <x v="3"/>
    <n v="132"/>
  </r>
  <r>
    <s v="SP105"/>
    <x v="1"/>
    <n v="133"/>
  </r>
  <r>
    <s v="SP106"/>
    <x v="0"/>
    <n v="91"/>
  </r>
  <r>
    <s v="SP106"/>
    <x v="1"/>
    <n v="91"/>
  </r>
  <r>
    <s v="SP107"/>
    <x v="0"/>
    <n v="102"/>
  </r>
  <r>
    <s v="SP108"/>
    <x v="2"/>
    <n v="118"/>
  </r>
  <r>
    <s v="SP108"/>
    <x v="0"/>
    <n v="118"/>
  </r>
  <r>
    <s v="SP109"/>
    <x v="0"/>
    <n v="164"/>
  </r>
  <r>
    <s v="SP109"/>
    <x v="1"/>
    <n v="164"/>
  </r>
  <r>
    <s v="SP110"/>
    <x v="2"/>
    <n v="131"/>
  </r>
  <r>
    <s v="SP111"/>
    <x v="2"/>
    <n v="194"/>
  </r>
  <r>
    <s v="SP111"/>
    <x v="0"/>
    <n v="194"/>
  </r>
  <r>
    <s v="SP112"/>
    <x v="0"/>
    <n v="170"/>
  </r>
  <r>
    <s v="SP112"/>
    <x v="1"/>
    <n v="170"/>
  </r>
  <r>
    <s v="SP113"/>
    <x v="0"/>
    <n v="282"/>
  </r>
  <r>
    <s v="SP113"/>
    <x v="1"/>
    <n v="282"/>
  </r>
  <r>
    <s v="SP114"/>
    <x v="1"/>
    <n v="141"/>
  </r>
  <r>
    <s v="SP115"/>
    <x v="2"/>
    <n v="251"/>
  </r>
  <r>
    <s v="SP116"/>
    <x v="1"/>
    <n v="245"/>
  </r>
  <r>
    <s v="SP117"/>
    <x v="1"/>
    <n v="211"/>
  </r>
  <r>
    <s v="SP118"/>
    <x v="2"/>
    <n v="195"/>
  </r>
  <r>
    <s v="SP118"/>
    <x v="3"/>
    <n v="195"/>
  </r>
  <r>
    <s v="SP119"/>
    <x v="3"/>
    <n v="176"/>
  </r>
  <r>
    <s v="SP119"/>
    <x v="1"/>
    <n v="176"/>
  </r>
  <r>
    <s v="SP120"/>
    <x v="2"/>
    <n v="277"/>
  </r>
  <r>
    <s v="SP121"/>
    <x v="1"/>
    <n v="200"/>
  </r>
  <r>
    <s v="SP122"/>
    <x v="2"/>
    <n v="230"/>
  </r>
  <r>
    <s v="SP122"/>
    <x v="3"/>
    <n v="230"/>
  </r>
  <r>
    <s v="SP123"/>
    <x v="2"/>
    <n v="236"/>
  </r>
  <r>
    <s v="SP123"/>
    <x v="4"/>
    <n v="236"/>
  </r>
  <r>
    <s v="SP124"/>
    <x v="0"/>
    <n v="299"/>
  </r>
  <r>
    <s v="SP124"/>
    <x v="1"/>
    <n v="299"/>
  </r>
  <r>
    <s v="SP125"/>
    <x v="1"/>
    <n v="173"/>
  </r>
  <r>
    <s v="SP126"/>
    <x v="3"/>
    <n v="113"/>
  </r>
  <r>
    <s v="SP126"/>
    <x v="1"/>
    <n v="113"/>
  </r>
  <r>
    <s v="SP127"/>
    <x v="0"/>
    <n v="145"/>
  </r>
  <r>
    <s v="SP128"/>
    <x v="0"/>
    <n v="176"/>
  </r>
  <r>
    <s v="SP128"/>
    <x v="1"/>
    <n v="176"/>
  </r>
  <r>
    <s v="SP129"/>
    <x v="2"/>
    <n v="224"/>
  </r>
  <r>
    <s v="SP129"/>
    <x v="3"/>
    <n v="224"/>
  </r>
  <r>
    <s v="SP130"/>
    <x v="2"/>
    <n v="205"/>
  </r>
  <r>
    <s v="SP130"/>
    <x v="4"/>
    <n v="205"/>
  </r>
  <r>
    <s v="SP131"/>
    <x v="0"/>
    <n v="205"/>
  </r>
  <r>
    <s v="SP132"/>
    <x v="1"/>
    <n v="148"/>
  </r>
  <r>
    <s v="SP133"/>
    <x v="2"/>
    <n v="139"/>
  </r>
  <r>
    <s v="SP133"/>
    <x v="4"/>
    <n v="139"/>
  </r>
  <r>
    <s v="SP134"/>
    <x v="1"/>
    <n v="196"/>
  </r>
  <r>
    <s v="SP135"/>
    <x v="3"/>
    <n v="127"/>
  </r>
  <r>
    <s v="SP135"/>
    <x v="1"/>
    <n v="127"/>
  </r>
  <r>
    <s v="SP136"/>
    <x v="1"/>
    <n v="199"/>
  </r>
  <r>
    <s v="SP137"/>
    <x v="0"/>
    <n v="296"/>
  </r>
  <r>
    <s v="SP137"/>
    <x v="1"/>
    <n v="296"/>
  </r>
  <r>
    <s v="SP138"/>
    <x v="2"/>
    <n v="236"/>
  </r>
  <r>
    <s v="SP138"/>
    <x v="3"/>
    <n v="236"/>
  </r>
  <r>
    <s v="SP139"/>
    <x v="1"/>
    <n v="289"/>
  </r>
  <r>
    <s v="SP140"/>
    <x v="3"/>
    <n v="236"/>
  </r>
  <r>
    <s v="SP140"/>
    <x v="1"/>
    <n v="236"/>
  </r>
  <r>
    <s v="SP141"/>
    <x v="2"/>
    <n v="273"/>
  </r>
  <r>
    <s v="SP141"/>
    <x v="0"/>
    <n v="273"/>
  </r>
  <r>
    <s v="SP142"/>
    <x v="1"/>
    <n v="92"/>
  </r>
  <r>
    <s v="SP143"/>
    <x v="2"/>
    <n v="105"/>
  </r>
  <r>
    <s v="SP144"/>
    <x v="0"/>
    <n v="82"/>
  </r>
  <r>
    <s v="SP144"/>
    <x v="1"/>
    <n v="82"/>
  </r>
  <r>
    <s v="SP145"/>
    <x v="3"/>
    <n v="277"/>
  </r>
  <r>
    <s v="SP145"/>
    <x v="1"/>
    <n v="277"/>
  </r>
  <r>
    <s v="SP146"/>
    <x v="2"/>
    <n v="245"/>
  </r>
  <r>
    <s v="SP147"/>
    <x v="3"/>
    <n v="208"/>
  </r>
  <r>
    <s v="SP147"/>
    <x v="1"/>
    <n v="208"/>
  </r>
  <r>
    <s v="SP148"/>
    <x v="2"/>
    <n v="270"/>
  </r>
  <r>
    <s v="SP148"/>
    <x v="3"/>
    <n v="270"/>
  </r>
  <r>
    <s v="SP149"/>
    <x v="0"/>
    <n v="286"/>
  </r>
  <r>
    <s v="SP150"/>
    <x v="3"/>
    <n v="88"/>
  </r>
  <r>
    <s v="SP150"/>
    <x v="1"/>
    <n v="88"/>
  </r>
  <r>
    <s v="SP151"/>
    <x v="1"/>
    <n v="219"/>
  </r>
  <r>
    <s v="SP152"/>
    <x v="2"/>
    <n v="272"/>
  </r>
  <r>
    <s v="SP153"/>
    <x v="2"/>
    <n v="87"/>
  </r>
  <r>
    <s v="SP153"/>
    <x v="3"/>
    <n v="87"/>
  </r>
  <r>
    <s v="SP154"/>
    <x v="2"/>
    <n v="92"/>
  </r>
  <r>
    <s v="SP155"/>
    <x v="0"/>
    <n v="236"/>
  </r>
  <r>
    <s v="SP155"/>
    <x v="1"/>
    <n v="236"/>
  </r>
  <r>
    <s v="SP156"/>
    <x v="2"/>
    <n v="230"/>
  </r>
  <r>
    <s v="SP156"/>
    <x v="0"/>
    <n v="230"/>
  </r>
  <r>
    <s v="SP157"/>
    <x v="2"/>
    <n v="158"/>
  </r>
  <r>
    <s v="SP157"/>
    <x v="4"/>
    <n v="158"/>
  </r>
  <r>
    <s v="SP158"/>
    <x v="2"/>
    <n v="216"/>
  </r>
  <r>
    <s v="SP158"/>
    <x v="3"/>
    <n v="216"/>
  </r>
  <r>
    <s v="SP159"/>
    <x v="1"/>
    <n v="219"/>
  </r>
  <r>
    <s v="SP160"/>
    <x v="2"/>
    <n v="293"/>
  </r>
  <r>
    <s v="SP160"/>
    <x v="0"/>
    <n v="293"/>
  </r>
  <r>
    <s v="SP161"/>
    <x v="2"/>
    <n v="275"/>
  </r>
  <r>
    <s v="SP162"/>
    <x v="0"/>
    <n v="100"/>
  </r>
  <r>
    <s v="SP162"/>
    <x v="1"/>
    <n v="100"/>
  </r>
  <r>
    <s v="SP163"/>
    <x v="2"/>
    <n v="256"/>
  </r>
  <r>
    <s v="SP163"/>
    <x v="0"/>
    <n v="256"/>
  </r>
  <r>
    <s v="SP164"/>
    <x v="1"/>
    <n v="168"/>
  </r>
  <r>
    <s v="SP165"/>
    <x v="1"/>
    <n v="258"/>
  </r>
  <r>
    <s v="SP166"/>
    <x v="2"/>
    <n v="288"/>
  </r>
  <r>
    <s v="SP167"/>
    <x v="2"/>
    <n v="298"/>
  </r>
  <r>
    <s v="SP167"/>
    <x v="4"/>
    <n v="298"/>
  </r>
  <r>
    <s v="SP168"/>
    <x v="0"/>
    <n v="121"/>
  </r>
  <r>
    <s v="SP168"/>
    <x v="1"/>
    <n v="121"/>
  </r>
  <r>
    <s v="SP169"/>
    <x v="2"/>
    <n v="175"/>
  </r>
  <r>
    <s v="SP169"/>
    <x v="4"/>
    <n v="175"/>
  </r>
  <r>
    <s v="SP170"/>
    <x v="0"/>
    <n v="259"/>
  </r>
  <r>
    <s v="SP171"/>
    <x v="1"/>
    <n v="135"/>
  </r>
  <r>
    <s v="SP172"/>
    <x v="2"/>
    <n v="278"/>
  </r>
  <r>
    <s v="SP172"/>
    <x v="4"/>
    <n v="278"/>
  </r>
  <r>
    <s v="SP173"/>
    <x v="2"/>
    <n v="230"/>
  </r>
  <r>
    <s v="SP174"/>
    <x v="2"/>
    <n v="269"/>
  </r>
  <r>
    <s v="SP174"/>
    <x v="4"/>
    <n v="269"/>
  </r>
  <r>
    <s v="SP175"/>
    <x v="2"/>
    <n v="98"/>
  </r>
  <r>
    <s v="SP175"/>
    <x v="3"/>
    <n v="98"/>
  </r>
  <r>
    <s v="SP176"/>
    <x v="0"/>
    <n v="150"/>
  </r>
  <r>
    <s v="SP176"/>
    <x v="1"/>
    <n v="150"/>
  </r>
  <r>
    <s v="SP177"/>
    <x v="0"/>
    <n v="178"/>
  </r>
  <r>
    <s v="SP178"/>
    <x v="1"/>
    <n v="161"/>
  </r>
  <r>
    <s v="SP179"/>
    <x v="0"/>
    <n v="208"/>
  </r>
  <r>
    <s v="SP180"/>
    <x v="3"/>
    <n v="85"/>
  </r>
  <r>
    <s v="SP180"/>
    <x v="1"/>
    <n v="85"/>
  </r>
  <r>
    <s v="SP181"/>
    <x v="0"/>
    <n v="281"/>
  </r>
  <r>
    <s v="SP182"/>
    <x v="0"/>
    <n v="112"/>
  </r>
  <r>
    <s v="SP182"/>
    <x v="1"/>
    <n v="112"/>
  </r>
  <r>
    <s v="SP183"/>
    <x v="0"/>
    <n v="286"/>
  </r>
  <r>
    <s v="SP184"/>
    <x v="3"/>
    <n v="287"/>
  </r>
  <r>
    <s v="SP184"/>
    <x v="1"/>
    <n v="287"/>
  </r>
  <r>
    <s v="SP185"/>
    <x v="2"/>
    <n v="219"/>
  </r>
  <r>
    <s v="SP185"/>
    <x v="0"/>
    <n v="219"/>
  </r>
  <r>
    <s v="SP186"/>
    <x v="3"/>
    <n v="197"/>
  </r>
  <r>
    <s v="SP186"/>
    <x v="1"/>
    <n v="197"/>
  </r>
  <r>
    <s v="SP187"/>
    <x v="2"/>
    <n v="204"/>
  </r>
  <r>
    <s v="SP187"/>
    <x v="0"/>
    <n v="204"/>
  </r>
  <r>
    <s v="SP188"/>
    <x v="2"/>
    <n v="168"/>
  </r>
  <r>
    <s v="SP189"/>
    <x v="2"/>
    <n v="216"/>
  </r>
  <r>
    <s v="SP189"/>
    <x v="0"/>
    <n v="216"/>
  </r>
  <r>
    <s v="SP190"/>
    <x v="0"/>
    <n v="241"/>
  </r>
  <r>
    <s v="SP190"/>
    <x v="1"/>
    <n v="241"/>
  </r>
  <r>
    <s v="SP191"/>
    <x v="2"/>
    <n v="240"/>
  </r>
  <r>
    <s v="SP191"/>
    <x v="0"/>
    <n v="240"/>
  </r>
  <r>
    <s v="SP192"/>
    <x v="2"/>
    <n v="173"/>
  </r>
  <r>
    <s v="SP192"/>
    <x v="3"/>
    <n v="173"/>
  </r>
  <r>
    <s v="SP193"/>
    <x v="2"/>
    <n v="232"/>
  </r>
  <r>
    <s v="SP193"/>
    <x v="0"/>
    <n v="232"/>
  </r>
  <r>
    <s v="SP194"/>
    <x v="3"/>
    <n v="269"/>
  </r>
  <r>
    <s v="SP194"/>
    <x v="1"/>
    <n v="269"/>
  </r>
  <r>
    <s v="SP195"/>
    <x v="2"/>
    <n v="213"/>
  </r>
  <r>
    <s v="SP195"/>
    <x v="4"/>
    <n v="213"/>
  </r>
  <r>
    <s v="SP196"/>
    <x v="0"/>
    <n v="272"/>
  </r>
  <r>
    <s v="SP196"/>
    <x v="1"/>
    <n v="272"/>
  </r>
  <r>
    <s v="SP197"/>
    <x v="2"/>
    <n v="239"/>
  </r>
  <r>
    <s v="SP197"/>
    <x v="4"/>
    <n v="239"/>
  </r>
  <r>
    <s v="SP198"/>
    <x v="0"/>
    <n v="222"/>
  </r>
  <r>
    <s v="SP198"/>
    <x v="1"/>
    <n v="222"/>
  </r>
  <r>
    <s v="SP199"/>
    <x v="0"/>
    <n v="276"/>
  </r>
  <r>
    <s v="SP199"/>
    <x v="1"/>
    <n v="276"/>
  </r>
  <r>
    <s v="SP200"/>
    <x v="1"/>
    <n v="196"/>
  </r>
  <r>
    <s v="SP201"/>
    <x v="3"/>
    <n v="114"/>
  </r>
  <r>
    <s v="SP201"/>
    <x v="1"/>
    <n v="114"/>
  </r>
  <r>
    <s v="SP202"/>
    <x v="0"/>
    <n v="157"/>
  </r>
  <r>
    <s v="SP202"/>
    <x v="1"/>
    <n v="157"/>
  </r>
  <r>
    <s v="SP203"/>
    <x v="2"/>
    <n v="111"/>
  </r>
  <r>
    <s v="SP204"/>
    <x v="1"/>
    <n v="232"/>
  </r>
  <r>
    <s v="SP205"/>
    <x v="0"/>
    <n v="117"/>
  </r>
  <r>
    <s v="SP206"/>
    <x v="2"/>
    <n v="222"/>
  </r>
  <r>
    <s v="SP206"/>
    <x v="3"/>
    <n v="222"/>
  </r>
  <r>
    <s v="SP207"/>
    <x v="0"/>
    <n v="155"/>
  </r>
  <r>
    <s v="SP207"/>
    <x v="1"/>
    <n v="155"/>
  </r>
  <r>
    <s v="SP208"/>
    <x v="0"/>
    <n v="239"/>
  </r>
  <r>
    <s v="SP209"/>
    <x v="2"/>
    <n v="118"/>
  </r>
  <r>
    <s v="SP209"/>
    <x v="3"/>
    <n v="118"/>
  </r>
  <r>
    <s v="SP210"/>
    <x v="0"/>
    <n v="275"/>
  </r>
  <r>
    <s v="SP210"/>
    <x v="1"/>
    <n v="275"/>
  </r>
  <r>
    <s v="SP211"/>
    <x v="2"/>
    <n v="232"/>
  </r>
  <r>
    <s v="SP211"/>
    <x v="3"/>
    <n v="232"/>
  </r>
  <r>
    <s v="SP212"/>
    <x v="2"/>
    <n v="296"/>
  </r>
  <r>
    <s v="SP212"/>
    <x v="3"/>
    <n v="296"/>
  </r>
  <r>
    <s v="SP213"/>
    <x v="1"/>
    <n v="147"/>
  </r>
  <r>
    <s v="SP214"/>
    <x v="0"/>
    <n v="293"/>
  </r>
  <r>
    <s v="SP215"/>
    <x v="2"/>
    <n v="186"/>
  </r>
  <r>
    <s v="SP215"/>
    <x v="4"/>
    <n v="186"/>
  </r>
  <r>
    <s v="SP216"/>
    <x v="0"/>
    <n v="174"/>
  </r>
  <r>
    <s v="SP217"/>
    <x v="0"/>
    <n v="133"/>
  </r>
  <r>
    <s v="SP217"/>
    <x v="1"/>
    <n v="133"/>
  </r>
  <r>
    <s v="SP218"/>
    <x v="2"/>
    <n v="265"/>
  </r>
  <r>
    <s v="SP218"/>
    <x v="3"/>
    <n v="265"/>
  </r>
  <r>
    <s v="SP219"/>
    <x v="0"/>
    <n v="176"/>
  </r>
  <r>
    <s v="SP220"/>
    <x v="2"/>
    <n v="255"/>
  </r>
  <r>
    <s v="SP220"/>
    <x v="4"/>
    <n v="255"/>
  </r>
  <r>
    <s v="SP221"/>
    <x v="3"/>
    <n v="282"/>
  </r>
  <r>
    <s v="SP221"/>
    <x v="1"/>
    <n v="282"/>
  </r>
  <r>
    <s v="SP222"/>
    <x v="1"/>
    <n v="178"/>
  </r>
  <r>
    <s v="SP223"/>
    <x v="0"/>
    <n v="271"/>
  </r>
  <r>
    <s v="SP224"/>
    <x v="1"/>
    <n v="103"/>
  </r>
  <r>
    <s v="SP225"/>
    <x v="2"/>
    <n v="197"/>
  </r>
  <r>
    <s v="SP225"/>
    <x v="4"/>
    <n v="197"/>
  </r>
  <r>
    <s v="SP226"/>
    <x v="3"/>
    <n v="265"/>
  </r>
  <r>
    <s v="SP226"/>
    <x v="1"/>
    <n v="265"/>
  </r>
  <r>
    <s v="SP227"/>
    <x v="2"/>
    <n v="294"/>
  </r>
  <r>
    <s v="SP227"/>
    <x v="4"/>
    <n v="294"/>
  </r>
  <r>
    <s v="SP228"/>
    <x v="2"/>
    <n v="101"/>
  </r>
  <r>
    <s v="SP228"/>
    <x v="0"/>
    <n v="101"/>
  </r>
  <r>
    <s v="SP229"/>
    <x v="2"/>
    <n v="257"/>
  </r>
  <r>
    <s v="SP229"/>
    <x v="4"/>
    <n v="257"/>
  </r>
  <r>
    <s v="SP230"/>
    <x v="2"/>
    <n v="246"/>
  </r>
  <r>
    <s v="SP230"/>
    <x v="4"/>
    <n v="246"/>
  </r>
  <r>
    <s v="SP231"/>
    <x v="0"/>
    <n v="213"/>
  </r>
  <r>
    <s v="SP231"/>
    <x v="1"/>
    <n v="213"/>
  </r>
  <r>
    <s v="SP232"/>
    <x v="2"/>
    <n v="290"/>
  </r>
  <r>
    <s v="SP232"/>
    <x v="4"/>
    <n v="290"/>
  </r>
  <r>
    <s v="SP233"/>
    <x v="1"/>
    <n v="277"/>
  </r>
  <r>
    <s v="SP234"/>
    <x v="1"/>
    <n v="263"/>
  </r>
  <r>
    <s v="SP235"/>
    <x v="2"/>
    <n v="172"/>
  </r>
  <r>
    <s v="SP235"/>
    <x v="4"/>
    <n v="172"/>
  </r>
  <r>
    <s v="SP236"/>
    <x v="2"/>
    <n v="145"/>
  </r>
  <r>
    <s v="SP237"/>
    <x v="2"/>
    <n v="297"/>
  </r>
  <r>
    <s v="SP237"/>
    <x v="4"/>
    <n v="297"/>
  </r>
  <r>
    <s v="SP238"/>
    <x v="0"/>
    <n v="214"/>
  </r>
  <r>
    <s v="SP238"/>
    <x v="1"/>
    <n v="214"/>
  </r>
  <r>
    <s v="SP239"/>
    <x v="3"/>
    <n v="160"/>
  </r>
  <r>
    <s v="SP239"/>
    <x v="1"/>
    <n v="160"/>
  </r>
  <r>
    <s v="SP240"/>
    <x v="2"/>
    <n v="277"/>
  </r>
  <r>
    <s v="SP240"/>
    <x v="4"/>
    <n v="277"/>
  </r>
  <r>
    <s v="SP241"/>
    <x v="1"/>
    <n v="104"/>
  </r>
  <r>
    <s v="SP242"/>
    <x v="2"/>
    <n v="133"/>
  </r>
  <r>
    <s v="SP242"/>
    <x v="3"/>
    <n v="133"/>
  </r>
  <r>
    <s v="SP243"/>
    <x v="2"/>
    <n v="255"/>
  </r>
  <r>
    <s v="SP243"/>
    <x v="3"/>
    <n v="255"/>
  </r>
  <r>
    <s v="SP244"/>
    <x v="2"/>
    <n v="159"/>
  </r>
  <r>
    <s v="SP244"/>
    <x v="4"/>
    <n v="159"/>
  </r>
  <r>
    <s v="SP245"/>
    <x v="3"/>
    <n v="104"/>
  </r>
  <r>
    <s v="SP245"/>
    <x v="1"/>
    <n v="104"/>
  </r>
  <r>
    <s v="SP246"/>
    <x v="0"/>
    <n v="130"/>
  </r>
  <r>
    <s v="SP246"/>
    <x v="1"/>
    <n v="130"/>
  </r>
  <r>
    <s v="SP247"/>
    <x v="2"/>
    <n v="163"/>
  </r>
  <r>
    <s v="SP247"/>
    <x v="3"/>
    <n v="163"/>
  </r>
  <r>
    <s v="SP248"/>
    <x v="2"/>
    <n v="225"/>
  </r>
  <r>
    <s v="SP248"/>
    <x v="0"/>
    <n v="225"/>
  </r>
  <r>
    <s v="SP249"/>
    <x v="2"/>
    <n v="96"/>
  </r>
  <r>
    <s v="SP250"/>
    <x v="1"/>
    <n v="145"/>
  </r>
  <r>
    <s v="SP251"/>
    <x v="0"/>
    <n v="262"/>
  </r>
  <r>
    <s v="SP252"/>
    <x v="2"/>
    <n v="248"/>
  </r>
  <r>
    <s v="SP252"/>
    <x v="4"/>
    <n v="248"/>
  </r>
  <r>
    <s v="SP253"/>
    <x v="2"/>
    <n v="160"/>
  </r>
  <r>
    <s v="SP253"/>
    <x v="4"/>
    <n v="160"/>
  </r>
  <r>
    <s v="SP254"/>
    <x v="1"/>
    <n v="262"/>
  </r>
  <r>
    <s v="SP255"/>
    <x v="2"/>
    <n v="90"/>
  </r>
  <r>
    <s v="SP255"/>
    <x v="3"/>
    <n v="90"/>
  </r>
  <r>
    <s v="SP256"/>
    <x v="3"/>
    <n v="146"/>
  </r>
  <r>
    <s v="SP256"/>
    <x v="1"/>
    <n v="146"/>
  </r>
  <r>
    <s v="SP257"/>
    <x v="2"/>
    <n v="272"/>
  </r>
  <r>
    <s v="SP257"/>
    <x v="3"/>
    <n v="272"/>
  </r>
  <r>
    <s v="SP258"/>
    <x v="2"/>
    <n v="286"/>
  </r>
  <r>
    <s v="SP258"/>
    <x v="0"/>
    <n v="286"/>
  </r>
  <r>
    <s v="SP259"/>
    <x v="0"/>
    <n v="138"/>
  </r>
  <r>
    <s v="SP259"/>
    <x v="1"/>
    <n v="138"/>
  </r>
  <r>
    <s v="SP260"/>
    <x v="3"/>
    <n v="128"/>
  </r>
  <r>
    <s v="SP260"/>
    <x v="1"/>
    <n v="128"/>
  </r>
  <r>
    <s v="SP261"/>
    <x v="0"/>
    <n v="190"/>
  </r>
  <r>
    <s v="SP262"/>
    <x v="3"/>
    <n v="174"/>
  </r>
  <r>
    <s v="SP262"/>
    <x v="1"/>
    <n v="174"/>
  </r>
  <r>
    <s v="SP263"/>
    <x v="2"/>
    <n v="173"/>
  </r>
  <r>
    <s v="SP263"/>
    <x v="4"/>
    <n v="173"/>
  </r>
  <r>
    <s v="SP264"/>
    <x v="2"/>
    <n v="185"/>
  </r>
  <r>
    <s v="SP264"/>
    <x v="0"/>
    <n v="185"/>
  </r>
  <r>
    <s v="SP265"/>
    <x v="2"/>
    <n v="221"/>
  </r>
  <r>
    <s v="SP265"/>
    <x v="3"/>
    <n v="221"/>
  </r>
  <r>
    <s v="SP266"/>
    <x v="1"/>
    <n v="246"/>
  </r>
  <r>
    <s v="SP267"/>
    <x v="2"/>
    <n v="111"/>
  </r>
  <r>
    <s v="SP267"/>
    <x v="4"/>
    <n v="111"/>
  </r>
  <r>
    <s v="SP268"/>
    <x v="2"/>
    <n v="85"/>
  </r>
  <r>
    <s v="SP268"/>
    <x v="0"/>
    <n v="85"/>
  </r>
  <r>
    <s v="SP269"/>
    <x v="2"/>
    <n v="205"/>
  </r>
  <r>
    <s v="SP269"/>
    <x v="0"/>
    <n v="205"/>
  </r>
  <r>
    <s v="SP270"/>
    <x v="2"/>
    <n v="265"/>
  </r>
  <r>
    <s v="SP270"/>
    <x v="3"/>
    <n v="265"/>
  </r>
  <r>
    <s v="SP271"/>
    <x v="2"/>
    <n v="210"/>
  </r>
  <r>
    <s v="SP271"/>
    <x v="3"/>
    <n v="210"/>
  </r>
  <r>
    <s v="SP272"/>
    <x v="0"/>
    <n v="126"/>
  </r>
  <r>
    <s v="SP273"/>
    <x v="1"/>
    <n v="276"/>
  </r>
  <r>
    <s v="SP274"/>
    <x v="2"/>
    <n v="195"/>
  </r>
  <r>
    <s v="SP275"/>
    <x v="2"/>
    <n v="234"/>
  </r>
  <r>
    <s v="SP276"/>
    <x v="1"/>
    <n v="143"/>
  </r>
  <r>
    <s v="SP277"/>
    <x v="1"/>
    <n v="184"/>
  </r>
  <r>
    <s v="SP278"/>
    <x v="0"/>
    <n v="163"/>
  </r>
  <r>
    <s v="SP278"/>
    <x v="1"/>
    <n v="163"/>
  </r>
  <r>
    <s v="SP279"/>
    <x v="0"/>
    <n v="212"/>
  </r>
  <r>
    <s v="SP279"/>
    <x v="1"/>
    <n v="212"/>
  </r>
  <r>
    <s v="SP280"/>
    <x v="2"/>
    <n v="184"/>
  </r>
  <r>
    <s v="SP280"/>
    <x v="3"/>
    <n v="184"/>
  </r>
  <r>
    <s v="SP281"/>
    <x v="0"/>
    <n v="291"/>
  </r>
  <r>
    <s v="SP281"/>
    <x v="1"/>
    <n v="291"/>
  </r>
  <r>
    <s v="SP282"/>
    <x v="3"/>
    <n v="163"/>
  </r>
  <r>
    <s v="SP282"/>
    <x v="1"/>
    <n v="163"/>
  </r>
  <r>
    <s v="SP283"/>
    <x v="2"/>
    <n v="295"/>
  </r>
  <r>
    <s v="SP284"/>
    <x v="1"/>
    <n v="111"/>
  </r>
  <r>
    <s v="SP285"/>
    <x v="2"/>
    <n v="228"/>
  </r>
  <r>
    <s v="SP285"/>
    <x v="4"/>
    <n v="228"/>
  </r>
  <r>
    <s v="SP286"/>
    <x v="2"/>
    <n v="198"/>
  </r>
  <r>
    <s v="SP287"/>
    <x v="2"/>
    <n v="156"/>
  </r>
  <r>
    <s v="SP287"/>
    <x v="4"/>
    <n v="156"/>
  </r>
  <r>
    <s v="SP288"/>
    <x v="2"/>
    <n v="114"/>
  </r>
  <r>
    <s v="SP288"/>
    <x v="3"/>
    <n v="114"/>
  </r>
  <r>
    <s v="SP289"/>
    <x v="1"/>
    <n v="269"/>
  </r>
  <r>
    <s v="SP290"/>
    <x v="0"/>
    <n v="155"/>
  </r>
  <r>
    <s v="SP291"/>
    <x v="0"/>
    <n v="178"/>
  </r>
  <r>
    <s v="SP291"/>
    <x v="1"/>
    <n v="178"/>
  </r>
  <r>
    <s v="SP292"/>
    <x v="3"/>
    <n v="112"/>
  </r>
  <r>
    <s v="SP292"/>
    <x v="1"/>
    <n v="112"/>
  </r>
  <r>
    <s v="SP293"/>
    <x v="2"/>
    <n v="106"/>
  </r>
  <r>
    <s v="SP293"/>
    <x v="0"/>
    <n v="106"/>
  </r>
  <r>
    <s v="SP294"/>
    <x v="2"/>
    <n v="147"/>
  </r>
  <r>
    <s v="SP295"/>
    <x v="1"/>
    <n v="165"/>
  </r>
  <r>
    <s v="SP296"/>
    <x v="3"/>
    <n v="165"/>
  </r>
  <r>
    <s v="SP296"/>
    <x v="1"/>
    <n v="165"/>
  </r>
  <r>
    <s v="SP297"/>
    <x v="0"/>
    <n v="160"/>
  </r>
  <r>
    <s v="SP298"/>
    <x v="1"/>
    <n v="83"/>
  </r>
  <r>
    <s v="SP299"/>
    <x v="2"/>
    <n v="240"/>
  </r>
  <r>
    <s v="SP299"/>
    <x v="3"/>
    <n v="240"/>
  </r>
  <r>
    <s v="SP300"/>
    <x v="0"/>
    <n v="270"/>
  </r>
  <r>
    <s v="SP300"/>
    <x v="1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3CB5A-CE85-46CC-8152-7100D92CA163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latforms">
  <location ref="H8:I12" firstHeaderRow="1" firstDataRow="1" firstDataCol="1"/>
  <pivotFields count="1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dataField="1" numFmtId="10"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Engagement Rate (%)" fld="13" subtotal="average" baseField="1" baseItem="0" numFmtId="10"/>
  </dataFields>
  <formats count="1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field="1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field="1" type="button" dataOnly="0" labelOnly="1" outline="0" axis="axisRow" fieldPosition="0"/>
    </format>
    <format dxfId="64">
      <pivotArea dataOnly="0" labelOnly="1" outline="0" axis="axisValues" fieldPosition="0"/>
    </format>
    <format dxfId="63">
      <pivotArea outline="0" collapsedLevelsAreSubtotals="1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fieldPosition="0">
        <references count="1">
          <reference field="1" count="1">
            <x v="1"/>
          </reference>
        </references>
      </pivotArea>
    </format>
    <format dxfId="59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D8555-5773-40FF-B865-E5652F82A078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latform/Content">
  <location ref="I8:L18" firstHeaderRow="0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numFmtId="10" showAll="0"/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atl of Likes" fld="5" baseField="1" baseItem="0" numFmtId="1"/>
    <dataField name="Total of Shares" fld="6" baseField="1" baseItem="0" numFmtId="1"/>
    <dataField name="Total of Comments" fld="7" baseField="1" baseItem="0" numFmtId="1"/>
  </dataFields>
  <formats count="41">
    <format dxfId="58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type="all" dataOnly="0" outline="0" fieldPosition="0"/>
    </format>
    <format dxfId="55">
      <pivotArea field="1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collapsedLevelsAreSubtotals="1" fieldPosition="0">
        <references count="1">
          <reference field="1" count="1">
            <x v="0"/>
          </reference>
        </references>
      </pivotArea>
    </format>
    <format dxfId="52">
      <pivotArea collapsedLevelsAreSubtotals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51">
      <pivotArea collapsedLevelsAreSubtotals="1" fieldPosition="0">
        <references count="1">
          <reference field="1" count="1">
            <x v="1"/>
          </reference>
        </references>
      </pivotArea>
    </format>
    <format dxfId="50">
      <pivotArea collapsedLevelsAreSubtotals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49">
      <pivotArea collapsedLevelsAreSubtotals="1" fieldPosition="0">
        <references count="1">
          <reference field="1" count="1">
            <x v="2"/>
          </reference>
        </references>
      </pivotArea>
    </format>
    <format dxfId="48">
      <pivotArea collapsedLevelsAreSubtotals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47">
      <pivotArea collapsedLevelsAreSubtotals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46">
      <pivotArea collapsedLevelsAreSubtotals="1" fieldPosition="0">
        <references count="1">
          <reference field="1" count="1">
            <x v="1"/>
          </reference>
        </references>
      </pivotArea>
    </format>
    <format dxfId="45">
      <pivotArea collapsedLevelsAreSubtotals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44">
      <pivotArea collapsedLevelsAreSubtotals="1" fieldPosition="0">
        <references count="1">
          <reference field="1" count="1">
            <x v="2"/>
          </reference>
        </references>
      </pivotArea>
    </format>
    <format dxfId="43">
      <pivotArea collapsedLevelsAreSubtotals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38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37">
      <pivotArea dataOnly="0" labelOnly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30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29">
      <pivotArea dataOnly="0" labelOnly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collapsedLevelsAreSubtotals="1" fieldPosition="0">
        <references count="1">
          <reference field="1" count="1">
            <x v="1"/>
          </reference>
        </references>
      </pivotArea>
    </format>
    <format dxfId="24">
      <pivotArea dataOnly="0" labelOnly="1" fieldPosition="0">
        <references count="1">
          <reference field="1" count="1">
            <x v="1"/>
          </reference>
        </references>
      </pivotArea>
    </format>
    <format dxfId="23">
      <pivotArea collapsedLevelsAreSubtotals="1" fieldPosition="0">
        <references count="1">
          <reference field="1" count="1">
            <x v="1"/>
          </reference>
        </references>
      </pivotArea>
    </format>
    <format dxfId="22">
      <pivotArea dataOnly="0" labelOnly="1" fieldPosition="0">
        <references count="1">
          <reference field="1" count="1">
            <x v="1"/>
          </reference>
        </references>
      </pivotArea>
    </format>
    <format dxfId="21">
      <pivotArea collapsedLevelsAreSubtotals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20">
      <pivotArea dataOnly="0" labelOnly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19">
      <pivotArea collapsedLevelsAreSubtotals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18">
      <pivotArea dataOnly="0" labelOnly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7FE6C-3600-44B8-954D-BA113AC79E85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Hashtags Used">
  <location ref="G7:H13" firstHeaderRow="1" firstDataRow="1" firstDataCol="1"/>
  <pivotFields count="3"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Average of Clicks" fld="2" subtotal="average" baseField="1" baseItem="1" numFmtId="1"/>
  </dataFields>
  <formats count="14">
    <format dxfId="17">
      <pivotArea collapsedLevelsAreSubtotals="1" fieldPosition="0">
        <references count="1">
          <reference field="1" count="1">
            <x v="0"/>
          </reference>
        </references>
      </pivotArea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1">
            <x v="4"/>
          </reference>
        </references>
      </pivotArea>
    </format>
    <format dxfId="4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5C557E-D60C-4BEA-8522-150F2B15C42F}" autoFormatId="16" applyNumberFormats="0" applyBorderFormats="0" applyFontFormats="0" applyPatternFormats="0" applyAlignmentFormats="0" applyWidthHeightFormats="0">
  <queryTableRefresh nextId="5">
    <queryTableFields count="3">
      <queryTableField id="1" name="Post ID" tableColumnId="1"/>
      <queryTableField id="3" name="Hashtags Used" tableColumnId="3"/>
      <queryTableField id="2" name="Click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99E2A-3939-4ED9-848F-627EABC2675D}" name="Table4_1" displayName="Table4_1" ref="A1:C484" tableType="queryTable" totalsRowShown="0" headerRowDxfId="3">
  <autoFilter ref="A1:C484" xr:uid="{D3F99E2A-3939-4ED9-848F-627EABC2675D}"/>
  <tableColumns count="3">
    <tableColumn id="1" xr3:uid="{B9650AF2-F66B-4DD8-8E90-B332F0CCA426}" uniqueName="1" name="Post ID" queryTableFieldId="1" dataDxfId="2"/>
    <tableColumn id="3" xr3:uid="{A04251DC-9963-4CE9-927C-09B21BD60CE0}" uniqueName="3" name="Hashtags Used" queryTableFieldId="3" dataDxfId="1"/>
    <tableColumn id="2" xr3:uid="{A6F0C8A6-98E1-488A-8D5F-7624D5A6BC7F}" uniqueName="2" name="Clicks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3A9B-3000-4DF6-8D66-E4E16B974957}">
  <dimension ref="A1:N999"/>
  <sheetViews>
    <sheetView tabSelected="1" zoomScale="130" zoomScaleNormal="130" workbookViewId="0">
      <selection activeCell="N3" sqref="N3"/>
    </sheetView>
  </sheetViews>
  <sheetFormatPr defaultColWidth="14.77734375" defaultRowHeight="15" customHeight="1"/>
  <cols>
    <col min="1" max="1" width="14.6640625" style="23" customWidth="1"/>
    <col min="2" max="2" width="14.77734375" style="24" customWidth="1"/>
    <col min="3" max="3" width="14.77734375" style="25" customWidth="1"/>
    <col min="4" max="4" width="15.33203125" style="24" customWidth="1"/>
    <col min="5" max="5" width="43.109375" style="24" customWidth="1"/>
    <col min="6" max="11" width="14.77734375" style="26" customWidth="1"/>
    <col min="12" max="12" width="35.77734375" style="23" bestFit="1" customWidth="1"/>
    <col min="13" max="13" width="18.6640625" style="24" customWidth="1"/>
    <col min="14" max="14" width="23" customWidth="1"/>
    <col min="15" max="26" width="8.6640625" customWidth="1"/>
  </cols>
  <sheetData>
    <row r="1" spans="1:14" ht="19.95" customHeight="1">
      <c r="A1" s="15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6" t="s">
        <v>11</v>
      </c>
      <c r="M1" s="16" t="s">
        <v>12</v>
      </c>
      <c r="N1" s="32" t="s">
        <v>336</v>
      </c>
    </row>
    <row r="2" spans="1:14" ht="14.4">
      <c r="A2" s="19" t="s">
        <v>13</v>
      </c>
      <c r="B2" s="20" t="s">
        <v>14</v>
      </c>
      <c r="C2" s="21">
        <v>45781</v>
      </c>
      <c r="D2" s="20" t="s">
        <v>15</v>
      </c>
      <c r="E2" s="20" t="s">
        <v>16</v>
      </c>
      <c r="F2" s="22">
        <v>2414</v>
      </c>
      <c r="G2" s="22">
        <v>245</v>
      </c>
      <c r="H2" s="22">
        <v>137</v>
      </c>
      <c r="I2" s="22">
        <v>21181</v>
      </c>
      <c r="J2" s="22">
        <v>45292</v>
      </c>
      <c r="K2" s="22">
        <v>133</v>
      </c>
      <c r="L2" s="19" t="s">
        <v>353</v>
      </c>
      <c r="M2" s="20" t="s">
        <v>17</v>
      </c>
      <c r="N2" s="33">
        <f>(F2+G2+H2)/I2</f>
        <v>0.13200509890939993</v>
      </c>
    </row>
    <row r="3" spans="1:14" ht="14.4">
      <c r="A3" s="19" t="s">
        <v>18</v>
      </c>
      <c r="B3" s="20" t="s">
        <v>14</v>
      </c>
      <c r="C3" s="21">
        <v>45689</v>
      </c>
      <c r="D3" s="20" t="s">
        <v>15</v>
      </c>
      <c r="E3" s="20" t="s">
        <v>19</v>
      </c>
      <c r="F3" s="22">
        <v>1934</v>
      </c>
      <c r="G3" s="22">
        <v>210</v>
      </c>
      <c r="H3" s="22">
        <v>393</v>
      </c>
      <c r="I3" s="22">
        <v>29129</v>
      </c>
      <c r="J3" s="22">
        <v>73287</v>
      </c>
      <c r="K3" s="22">
        <v>273</v>
      </c>
      <c r="L3" s="19" t="s">
        <v>20</v>
      </c>
      <c r="M3" s="20" t="s">
        <v>21</v>
      </c>
      <c r="N3" s="33">
        <f t="shared" ref="N3:N66" si="0">(F3+G3+H3)/I3</f>
        <v>8.7095334546328396E-2</v>
      </c>
    </row>
    <row r="4" spans="1:14" ht="14.4">
      <c r="A4" s="19" t="s">
        <v>22</v>
      </c>
      <c r="B4" s="20" t="s">
        <v>23</v>
      </c>
      <c r="C4" s="21">
        <v>45629</v>
      </c>
      <c r="D4" s="20" t="s">
        <v>24</v>
      </c>
      <c r="E4" s="20" t="s">
        <v>25</v>
      </c>
      <c r="F4" s="22">
        <v>3092</v>
      </c>
      <c r="G4" s="22">
        <v>177</v>
      </c>
      <c r="H4" s="22">
        <v>81</v>
      </c>
      <c r="I4" s="22">
        <v>47533</v>
      </c>
      <c r="J4" s="22">
        <v>29220</v>
      </c>
      <c r="K4" s="22">
        <v>121</v>
      </c>
      <c r="L4" s="19" t="s">
        <v>354</v>
      </c>
      <c r="M4" s="20" t="s">
        <v>17</v>
      </c>
      <c r="N4" s="33">
        <f t="shared" si="0"/>
        <v>7.0477352576105018E-2</v>
      </c>
    </row>
    <row r="5" spans="1:14" ht="14.4">
      <c r="A5" s="19" t="s">
        <v>26</v>
      </c>
      <c r="B5" s="20" t="s">
        <v>14</v>
      </c>
      <c r="C5" s="21">
        <v>45629</v>
      </c>
      <c r="D5" s="20" t="s">
        <v>15</v>
      </c>
      <c r="E5" s="20" t="s">
        <v>27</v>
      </c>
      <c r="F5" s="22">
        <v>3173</v>
      </c>
      <c r="G5" s="22">
        <v>229</v>
      </c>
      <c r="H5" s="22">
        <v>197</v>
      </c>
      <c r="I5" s="22">
        <v>29604</v>
      </c>
      <c r="J5" s="22">
        <v>21809</v>
      </c>
      <c r="K5" s="22">
        <v>272</v>
      </c>
      <c r="L5" s="19" t="s">
        <v>353</v>
      </c>
      <c r="M5" s="20" t="s">
        <v>17</v>
      </c>
      <c r="N5" s="33">
        <f t="shared" si="0"/>
        <v>0.1215714092690177</v>
      </c>
    </row>
    <row r="6" spans="1:14" ht="14.4">
      <c r="A6" s="19" t="s">
        <v>28</v>
      </c>
      <c r="B6" s="20" t="s">
        <v>29</v>
      </c>
      <c r="C6" s="21">
        <v>45388</v>
      </c>
      <c r="D6" s="20" t="s">
        <v>15</v>
      </c>
      <c r="E6" s="20" t="s">
        <v>30</v>
      </c>
      <c r="F6" s="22">
        <v>2748</v>
      </c>
      <c r="G6" s="22">
        <v>145</v>
      </c>
      <c r="H6" s="22">
        <v>315</v>
      </c>
      <c r="I6" s="22">
        <v>24401</v>
      </c>
      <c r="J6" s="22">
        <v>61182</v>
      </c>
      <c r="K6" s="22">
        <v>200</v>
      </c>
      <c r="L6" s="19" t="s">
        <v>355</v>
      </c>
      <c r="M6" s="20" t="s">
        <v>21</v>
      </c>
      <c r="N6" s="33">
        <f t="shared" si="0"/>
        <v>0.1314700217204213</v>
      </c>
    </row>
    <row r="7" spans="1:14" ht="14.4">
      <c r="A7" s="19" t="s">
        <v>31</v>
      </c>
      <c r="B7" s="20" t="s">
        <v>29</v>
      </c>
      <c r="C7" s="21">
        <v>45456</v>
      </c>
      <c r="D7" s="20" t="s">
        <v>15</v>
      </c>
      <c r="E7" s="20" t="s">
        <v>32</v>
      </c>
      <c r="F7" s="22">
        <v>3882</v>
      </c>
      <c r="G7" s="22">
        <v>239</v>
      </c>
      <c r="H7" s="22">
        <v>275</v>
      </c>
      <c r="I7" s="22">
        <v>58748</v>
      </c>
      <c r="J7" s="22">
        <v>44646</v>
      </c>
      <c r="K7" s="22">
        <v>149</v>
      </c>
      <c r="L7" s="19" t="s">
        <v>355</v>
      </c>
      <c r="M7" s="20" t="s">
        <v>21</v>
      </c>
      <c r="N7" s="33">
        <f t="shared" si="0"/>
        <v>7.4828079253761837E-2</v>
      </c>
    </row>
    <row r="8" spans="1:14" ht="14.4">
      <c r="A8" s="19" t="s">
        <v>33</v>
      </c>
      <c r="B8" s="20" t="s">
        <v>23</v>
      </c>
      <c r="C8" s="21">
        <v>45645</v>
      </c>
      <c r="D8" s="20" t="s">
        <v>24</v>
      </c>
      <c r="E8" s="20" t="s">
        <v>34</v>
      </c>
      <c r="F8" s="22">
        <v>4674</v>
      </c>
      <c r="G8" s="22">
        <v>409</v>
      </c>
      <c r="H8" s="22">
        <v>327</v>
      </c>
      <c r="I8" s="22">
        <v>20756</v>
      </c>
      <c r="J8" s="22">
        <v>63599</v>
      </c>
      <c r="K8" s="22">
        <v>212</v>
      </c>
      <c r="L8" s="19" t="s">
        <v>353</v>
      </c>
      <c r="M8" s="20" t="s">
        <v>17</v>
      </c>
      <c r="N8" s="33">
        <f t="shared" si="0"/>
        <v>0.26064752360763155</v>
      </c>
    </row>
    <row r="9" spans="1:14" ht="14.4">
      <c r="A9" s="19" t="s">
        <v>35</v>
      </c>
      <c r="B9" s="20" t="s">
        <v>23</v>
      </c>
      <c r="C9" s="21">
        <v>45421</v>
      </c>
      <c r="D9" s="20" t="s">
        <v>24</v>
      </c>
      <c r="E9" s="20" t="s">
        <v>27</v>
      </c>
      <c r="F9" s="22">
        <v>1428</v>
      </c>
      <c r="G9" s="22">
        <v>347</v>
      </c>
      <c r="H9" s="22">
        <v>67</v>
      </c>
      <c r="I9" s="22">
        <v>21148</v>
      </c>
      <c r="J9" s="22">
        <v>19712</v>
      </c>
      <c r="K9" s="22">
        <v>120</v>
      </c>
      <c r="L9" s="19" t="s">
        <v>356</v>
      </c>
      <c r="M9" s="20" t="s">
        <v>17</v>
      </c>
      <c r="N9" s="33">
        <f t="shared" si="0"/>
        <v>8.7100435029317191E-2</v>
      </c>
    </row>
    <row r="10" spans="1:14" ht="14.4">
      <c r="A10" s="19" t="s">
        <v>36</v>
      </c>
      <c r="B10" s="20" t="s">
        <v>23</v>
      </c>
      <c r="C10" s="21">
        <v>45823</v>
      </c>
      <c r="D10" s="20" t="s">
        <v>15</v>
      </c>
      <c r="E10" s="20" t="s">
        <v>37</v>
      </c>
      <c r="F10" s="22">
        <v>4432</v>
      </c>
      <c r="G10" s="22">
        <v>223</v>
      </c>
      <c r="H10" s="22">
        <v>299</v>
      </c>
      <c r="I10" s="22">
        <v>59016</v>
      </c>
      <c r="J10" s="22">
        <v>21742</v>
      </c>
      <c r="K10" s="22">
        <v>171</v>
      </c>
      <c r="L10" s="19" t="s">
        <v>38</v>
      </c>
      <c r="M10" s="20" t="s">
        <v>17</v>
      </c>
      <c r="N10" s="33">
        <f t="shared" si="0"/>
        <v>8.3943337400027115E-2</v>
      </c>
    </row>
    <row r="11" spans="1:14" ht="14.4">
      <c r="A11" s="19" t="s">
        <v>39</v>
      </c>
      <c r="B11" s="20" t="s">
        <v>23</v>
      </c>
      <c r="C11" s="21">
        <v>45630</v>
      </c>
      <c r="D11" s="20" t="s">
        <v>15</v>
      </c>
      <c r="E11" s="20" t="s">
        <v>27</v>
      </c>
      <c r="F11" s="22">
        <v>2357</v>
      </c>
      <c r="G11" s="22">
        <v>274</v>
      </c>
      <c r="H11" s="22">
        <v>172</v>
      </c>
      <c r="I11" s="22">
        <v>21566</v>
      </c>
      <c r="J11" s="22">
        <v>66829</v>
      </c>
      <c r="K11" s="22">
        <v>284</v>
      </c>
      <c r="L11" s="19" t="s">
        <v>38</v>
      </c>
      <c r="M11" s="20" t="s">
        <v>17</v>
      </c>
      <c r="N11" s="33">
        <f t="shared" si="0"/>
        <v>0.12997310581470833</v>
      </c>
    </row>
    <row r="12" spans="1:14" ht="14.4">
      <c r="A12" s="19" t="s">
        <v>40</v>
      </c>
      <c r="B12" s="20" t="s">
        <v>23</v>
      </c>
      <c r="C12" s="21">
        <v>45357</v>
      </c>
      <c r="D12" s="20" t="s">
        <v>15</v>
      </c>
      <c r="E12" s="20" t="s">
        <v>16</v>
      </c>
      <c r="F12" s="22">
        <v>1971</v>
      </c>
      <c r="G12" s="22">
        <v>370</v>
      </c>
      <c r="H12" s="22">
        <v>306</v>
      </c>
      <c r="I12" s="22">
        <v>31316</v>
      </c>
      <c r="J12" s="22">
        <v>27897</v>
      </c>
      <c r="K12" s="22">
        <v>88</v>
      </c>
      <c r="L12" s="19" t="s">
        <v>41</v>
      </c>
      <c r="M12" s="20" t="s">
        <v>21</v>
      </c>
      <c r="N12" s="33">
        <f t="shared" si="0"/>
        <v>8.4525482181632389E-2</v>
      </c>
    </row>
    <row r="13" spans="1:14" ht="14.4">
      <c r="A13" s="19" t="s">
        <v>42</v>
      </c>
      <c r="B13" s="20" t="s">
        <v>14</v>
      </c>
      <c r="C13" s="21">
        <v>45426</v>
      </c>
      <c r="D13" s="20" t="s">
        <v>15</v>
      </c>
      <c r="E13" s="20" t="s">
        <v>16</v>
      </c>
      <c r="F13" s="22">
        <v>1485</v>
      </c>
      <c r="G13" s="22">
        <v>353</v>
      </c>
      <c r="H13" s="22">
        <v>244</v>
      </c>
      <c r="I13" s="22">
        <v>38419</v>
      </c>
      <c r="J13" s="22">
        <v>38556</v>
      </c>
      <c r="K13" s="22">
        <v>86</v>
      </c>
      <c r="L13" s="19" t="s">
        <v>353</v>
      </c>
      <c r="M13" s="20" t="s">
        <v>17</v>
      </c>
      <c r="N13" s="33">
        <f t="shared" si="0"/>
        <v>5.4191936281527367E-2</v>
      </c>
    </row>
    <row r="14" spans="1:14" ht="14.4">
      <c r="A14" s="19" t="s">
        <v>43</v>
      </c>
      <c r="B14" s="20" t="s">
        <v>23</v>
      </c>
      <c r="C14" s="21">
        <v>45826</v>
      </c>
      <c r="D14" s="20" t="s">
        <v>24</v>
      </c>
      <c r="E14" s="20" t="s">
        <v>16</v>
      </c>
      <c r="F14" s="22">
        <v>3956</v>
      </c>
      <c r="G14" s="22">
        <v>319</v>
      </c>
      <c r="H14" s="22">
        <v>61</v>
      </c>
      <c r="I14" s="22">
        <v>58162</v>
      </c>
      <c r="J14" s="22">
        <v>28720</v>
      </c>
      <c r="K14" s="22">
        <v>213</v>
      </c>
      <c r="L14" s="19" t="s">
        <v>354</v>
      </c>
      <c r="M14" s="20" t="s">
        <v>17</v>
      </c>
      <c r="N14" s="33">
        <f t="shared" si="0"/>
        <v>7.4550393727863554E-2</v>
      </c>
    </row>
    <row r="15" spans="1:14" ht="14.4">
      <c r="A15" s="19" t="s">
        <v>44</v>
      </c>
      <c r="B15" s="20" t="s">
        <v>23</v>
      </c>
      <c r="C15" s="21">
        <v>45573</v>
      </c>
      <c r="D15" s="20" t="s">
        <v>15</v>
      </c>
      <c r="E15" s="20" t="s">
        <v>45</v>
      </c>
      <c r="F15" s="22">
        <v>2460</v>
      </c>
      <c r="G15" s="22">
        <v>409</v>
      </c>
      <c r="H15" s="22">
        <v>253</v>
      </c>
      <c r="I15" s="22">
        <v>36702</v>
      </c>
      <c r="J15" s="22">
        <v>46122</v>
      </c>
      <c r="K15" s="22">
        <v>264</v>
      </c>
      <c r="L15" s="19" t="s">
        <v>38</v>
      </c>
      <c r="M15" s="20" t="s">
        <v>17</v>
      </c>
      <c r="N15" s="33">
        <f t="shared" si="0"/>
        <v>8.5063484278785892E-2</v>
      </c>
    </row>
    <row r="16" spans="1:14" ht="14.4">
      <c r="A16" s="19" t="s">
        <v>46</v>
      </c>
      <c r="B16" s="20" t="s">
        <v>23</v>
      </c>
      <c r="C16" s="21">
        <v>45418</v>
      </c>
      <c r="D16" s="20" t="s">
        <v>15</v>
      </c>
      <c r="E16" s="20" t="s">
        <v>47</v>
      </c>
      <c r="F16" s="22">
        <v>3476</v>
      </c>
      <c r="G16" s="22">
        <v>355</v>
      </c>
      <c r="H16" s="22">
        <v>396</v>
      </c>
      <c r="I16" s="22">
        <v>37492</v>
      </c>
      <c r="J16" s="22">
        <v>27285</v>
      </c>
      <c r="K16" s="22">
        <v>179</v>
      </c>
      <c r="L16" s="19" t="s">
        <v>38</v>
      </c>
      <c r="M16" s="20" t="s">
        <v>17</v>
      </c>
      <c r="N16" s="33">
        <f t="shared" si="0"/>
        <v>0.11274405206444041</v>
      </c>
    </row>
    <row r="17" spans="1:14" ht="14.4">
      <c r="A17" s="19" t="s">
        <v>48</v>
      </c>
      <c r="B17" s="20" t="s">
        <v>23</v>
      </c>
      <c r="C17" s="21">
        <v>45655</v>
      </c>
      <c r="D17" s="20" t="s">
        <v>24</v>
      </c>
      <c r="E17" s="20" t="s">
        <v>25</v>
      </c>
      <c r="F17" s="22">
        <v>4049</v>
      </c>
      <c r="G17" s="22">
        <v>377</v>
      </c>
      <c r="H17" s="22">
        <v>94</v>
      </c>
      <c r="I17" s="22">
        <v>48182</v>
      </c>
      <c r="J17" s="22">
        <v>42875</v>
      </c>
      <c r="K17" s="22">
        <v>172</v>
      </c>
      <c r="L17" s="19" t="s">
        <v>354</v>
      </c>
      <c r="M17" s="20" t="s">
        <v>17</v>
      </c>
      <c r="N17" s="33">
        <f t="shared" si="0"/>
        <v>9.3810966751068869E-2</v>
      </c>
    </row>
    <row r="18" spans="1:14" ht="14.4">
      <c r="A18" s="19" t="s">
        <v>49</v>
      </c>
      <c r="B18" s="20" t="s">
        <v>23</v>
      </c>
      <c r="C18" s="21">
        <v>45453</v>
      </c>
      <c r="D18" s="20" t="s">
        <v>15</v>
      </c>
      <c r="E18" s="20" t="s">
        <v>32</v>
      </c>
      <c r="F18" s="22">
        <v>1514</v>
      </c>
      <c r="G18" s="22">
        <v>164</v>
      </c>
      <c r="H18" s="22">
        <v>275</v>
      </c>
      <c r="I18" s="22">
        <v>41364</v>
      </c>
      <c r="J18" s="22">
        <v>44389</v>
      </c>
      <c r="K18" s="22">
        <v>83</v>
      </c>
      <c r="L18" s="19" t="s">
        <v>38</v>
      </c>
      <c r="M18" s="20" t="s">
        <v>17</v>
      </c>
      <c r="N18" s="33">
        <f t="shared" si="0"/>
        <v>4.7214969538729328E-2</v>
      </c>
    </row>
    <row r="19" spans="1:14" ht="14.4">
      <c r="A19" s="19" t="s">
        <v>50</v>
      </c>
      <c r="B19" s="20" t="s">
        <v>14</v>
      </c>
      <c r="C19" s="21">
        <v>45325</v>
      </c>
      <c r="D19" s="20" t="s">
        <v>24</v>
      </c>
      <c r="E19" s="20" t="s">
        <v>30</v>
      </c>
      <c r="F19" s="22">
        <v>4281</v>
      </c>
      <c r="G19" s="22">
        <v>101</v>
      </c>
      <c r="H19" s="22">
        <v>163</v>
      </c>
      <c r="I19" s="22">
        <v>32278</v>
      </c>
      <c r="J19" s="22">
        <v>53382</v>
      </c>
      <c r="K19" s="22">
        <v>235</v>
      </c>
      <c r="L19" s="19" t="s">
        <v>38</v>
      </c>
      <c r="M19" s="20" t="s">
        <v>51</v>
      </c>
      <c r="N19" s="33">
        <f t="shared" si="0"/>
        <v>0.1408079806679472</v>
      </c>
    </row>
    <row r="20" spans="1:14" ht="14.4">
      <c r="A20" s="19" t="s">
        <v>52</v>
      </c>
      <c r="B20" s="20" t="s">
        <v>29</v>
      </c>
      <c r="C20" s="21">
        <v>45458</v>
      </c>
      <c r="D20" s="20" t="s">
        <v>53</v>
      </c>
      <c r="E20" s="20" t="s">
        <v>34</v>
      </c>
      <c r="F20" s="22">
        <v>1751</v>
      </c>
      <c r="G20" s="22">
        <v>143</v>
      </c>
      <c r="H20" s="22">
        <v>151</v>
      </c>
      <c r="I20" s="22">
        <v>31826</v>
      </c>
      <c r="J20" s="22">
        <v>47729</v>
      </c>
      <c r="K20" s="22">
        <v>95</v>
      </c>
      <c r="L20" s="19" t="s">
        <v>357</v>
      </c>
      <c r="M20" s="20" t="s">
        <v>54</v>
      </c>
      <c r="N20" s="33">
        <f t="shared" si="0"/>
        <v>6.4255640042732362E-2</v>
      </c>
    </row>
    <row r="21" spans="1:14" ht="15.75" customHeight="1">
      <c r="A21" s="19" t="s">
        <v>55</v>
      </c>
      <c r="B21" s="20" t="s">
        <v>14</v>
      </c>
      <c r="C21" s="21">
        <v>45478</v>
      </c>
      <c r="D21" s="20" t="s">
        <v>15</v>
      </c>
      <c r="E21" s="20" t="s">
        <v>47</v>
      </c>
      <c r="F21" s="22">
        <v>3753</v>
      </c>
      <c r="G21" s="22">
        <v>411</v>
      </c>
      <c r="H21" s="22">
        <v>308</v>
      </c>
      <c r="I21" s="22">
        <v>29138</v>
      </c>
      <c r="J21" s="22">
        <v>27678</v>
      </c>
      <c r="K21" s="22">
        <v>90</v>
      </c>
      <c r="L21" s="19" t="s">
        <v>20</v>
      </c>
      <c r="M21" s="20" t="s">
        <v>21</v>
      </c>
      <c r="N21" s="33">
        <f t="shared" si="0"/>
        <v>0.15347655981879332</v>
      </c>
    </row>
    <row r="22" spans="1:14" ht="15.75" customHeight="1">
      <c r="A22" s="19" t="s">
        <v>56</v>
      </c>
      <c r="B22" s="20" t="s">
        <v>14</v>
      </c>
      <c r="C22" s="21">
        <v>45603</v>
      </c>
      <c r="D22" s="20" t="s">
        <v>24</v>
      </c>
      <c r="E22" s="20" t="s">
        <v>27</v>
      </c>
      <c r="F22" s="22">
        <v>1678</v>
      </c>
      <c r="G22" s="22">
        <v>423</v>
      </c>
      <c r="H22" s="22">
        <v>323</v>
      </c>
      <c r="I22" s="22">
        <v>55668</v>
      </c>
      <c r="J22" s="22">
        <v>37945</v>
      </c>
      <c r="K22" s="22">
        <v>230</v>
      </c>
      <c r="L22" s="19" t="s">
        <v>38</v>
      </c>
      <c r="M22" s="20" t="s">
        <v>51</v>
      </c>
      <c r="N22" s="33">
        <f t="shared" si="0"/>
        <v>4.3543867212761371E-2</v>
      </c>
    </row>
    <row r="23" spans="1:14" ht="15.75" customHeight="1">
      <c r="A23" s="19" t="s">
        <v>57</v>
      </c>
      <c r="B23" s="20" t="s">
        <v>14</v>
      </c>
      <c r="C23" s="21">
        <v>45823</v>
      </c>
      <c r="D23" s="20" t="s">
        <v>15</v>
      </c>
      <c r="E23" s="20" t="s">
        <v>32</v>
      </c>
      <c r="F23" s="22">
        <v>4896</v>
      </c>
      <c r="G23" s="22">
        <v>466</v>
      </c>
      <c r="H23" s="22">
        <v>233</v>
      </c>
      <c r="I23" s="22">
        <v>28621</v>
      </c>
      <c r="J23" s="22">
        <v>34270</v>
      </c>
      <c r="K23" s="22">
        <v>84</v>
      </c>
      <c r="L23" s="19" t="s">
        <v>353</v>
      </c>
      <c r="M23" s="20" t="s">
        <v>17</v>
      </c>
      <c r="N23" s="33">
        <f t="shared" si="0"/>
        <v>0.19548583208133888</v>
      </c>
    </row>
    <row r="24" spans="1:14" ht="15.75" customHeight="1">
      <c r="A24" s="19" t="s">
        <v>58</v>
      </c>
      <c r="B24" s="20" t="s">
        <v>29</v>
      </c>
      <c r="C24" s="21">
        <v>45452</v>
      </c>
      <c r="D24" s="20" t="s">
        <v>53</v>
      </c>
      <c r="E24" s="20" t="s">
        <v>45</v>
      </c>
      <c r="F24" s="22">
        <v>2786</v>
      </c>
      <c r="G24" s="22">
        <v>368</v>
      </c>
      <c r="H24" s="22">
        <v>208</v>
      </c>
      <c r="I24" s="22">
        <v>42000</v>
      </c>
      <c r="J24" s="22">
        <v>39967</v>
      </c>
      <c r="K24" s="22">
        <v>103</v>
      </c>
      <c r="L24" s="19" t="s">
        <v>357</v>
      </c>
      <c r="M24" s="20" t="s">
        <v>54</v>
      </c>
      <c r="N24" s="33">
        <f t="shared" si="0"/>
        <v>8.0047619047619048E-2</v>
      </c>
    </row>
    <row r="25" spans="1:14" ht="15.75" customHeight="1">
      <c r="A25" s="19" t="s">
        <v>59</v>
      </c>
      <c r="B25" s="20" t="s">
        <v>23</v>
      </c>
      <c r="C25" s="21">
        <v>45583</v>
      </c>
      <c r="D25" s="20" t="s">
        <v>15</v>
      </c>
      <c r="E25" s="20" t="s">
        <v>25</v>
      </c>
      <c r="F25" s="22">
        <v>2607</v>
      </c>
      <c r="G25" s="22">
        <v>379</v>
      </c>
      <c r="H25" s="22">
        <v>180</v>
      </c>
      <c r="I25" s="22">
        <v>28712</v>
      </c>
      <c r="J25" s="22">
        <v>61620</v>
      </c>
      <c r="K25" s="22">
        <v>174</v>
      </c>
      <c r="L25" s="19" t="s">
        <v>41</v>
      </c>
      <c r="M25" s="20" t="s">
        <v>21</v>
      </c>
      <c r="N25" s="33">
        <f t="shared" si="0"/>
        <v>0.11026748397882419</v>
      </c>
    </row>
    <row r="26" spans="1:14" ht="15.75" customHeight="1">
      <c r="A26" s="19" t="s">
        <v>60</v>
      </c>
      <c r="B26" s="20" t="s">
        <v>29</v>
      </c>
      <c r="C26" s="21">
        <v>45575</v>
      </c>
      <c r="D26" s="20" t="s">
        <v>53</v>
      </c>
      <c r="E26" s="20" t="s">
        <v>45</v>
      </c>
      <c r="F26" s="22">
        <v>4013</v>
      </c>
      <c r="G26" s="22">
        <v>320</v>
      </c>
      <c r="H26" s="22">
        <v>92</v>
      </c>
      <c r="I26" s="22">
        <v>54605</v>
      </c>
      <c r="J26" s="22">
        <v>60169</v>
      </c>
      <c r="K26" s="22">
        <v>232</v>
      </c>
      <c r="L26" s="19" t="s">
        <v>357</v>
      </c>
      <c r="M26" s="20" t="s">
        <v>54</v>
      </c>
      <c r="N26" s="33">
        <f t="shared" si="0"/>
        <v>8.1036535115831879E-2</v>
      </c>
    </row>
    <row r="27" spans="1:14" ht="15.75" customHeight="1">
      <c r="A27" s="19" t="s">
        <v>61</v>
      </c>
      <c r="B27" s="20" t="s">
        <v>23</v>
      </c>
      <c r="C27" s="21">
        <v>45791</v>
      </c>
      <c r="D27" s="20" t="s">
        <v>24</v>
      </c>
      <c r="E27" s="20" t="s">
        <v>45</v>
      </c>
      <c r="F27" s="22">
        <v>2707</v>
      </c>
      <c r="G27" s="22">
        <v>103</v>
      </c>
      <c r="H27" s="22">
        <v>51</v>
      </c>
      <c r="I27" s="22">
        <v>55302</v>
      </c>
      <c r="J27" s="22">
        <v>18801</v>
      </c>
      <c r="K27" s="22">
        <v>147</v>
      </c>
      <c r="L27" s="19" t="s">
        <v>356</v>
      </c>
      <c r="M27" s="20" t="s">
        <v>17</v>
      </c>
      <c r="N27" s="33">
        <f t="shared" si="0"/>
        <v>5.173411449857148E-2</v>
      </c>
    </row>
    <row r="28" spans="1:14" ht="15.75" customHeight="1">
      <c r="A28" s="19" t="s">
        <v>62</v>
      </c>
      <c r="B28" s="20" t="s">
        <v>14</v>
      </c>
      <c r="C28" s="21">
        <v>45625</v>
      </c>
      <c r="D28" s="20" t="s">
        <v>15</v>
      </c>
      <c r="E28" s="20" t="s">
        <v>32</v>
      </c>
      <c r="F28" s="22">
        <v>2824</v>
      </c>
      <c r="G28" s="22">
        <v>425</v>
      </c>
      <c r="H28" s="22">
        <v>274</v>
      </c>
      <c r="I28" s="22">
        <v>31004</v>
      </c>
      <c r="J28" s="22">
        <v>53488</v>
      </c>
      <c r="K28" s="22">
        <v>268</v>
      </c>
      <c r="L28" s="19" t="s">
        <v>353</v>
      </c>
      <c r="M28" s="20" t="s">
        <v>17</v>
      </c>
      <c r="N28" s="33">
        <f t="shared" si="0"/>
        <v>0.11363049929041415</v>
      </c>
    </row>
    <row r="29" spans="1:14" ht="15.75" customHeight="1">
      <c r="A29" s="19" t="s">
        <v>63</v>
      </c>
      <c r="B29" s="20" t="s">
        <v>29</v>
      </c>
      <c r="C29" s="21">
        <v>45356</v>
      </c>
      <c r="D29" s="20" t="s">
        <v>53</v>
      </c>
      <c r="E29" s="20" t="s">
        <v>19</v>
      </c>
      <c r="F29" s="22">
        <v>3558</v>
      </c>
      <c r="G29" s="22">
        <v>314</v>
      </c>
      <c r="H29" s="22">
        <v>199</v>
      </c>
      <c r="I29" s="22">
        <v>49612</v>
      </c>
      <c r="J29" s="22">
        <v>53929</v>
      </c>
      <c r="K29" s="22">
        <v>206</v>
      </c>
      <c r="L29" s="19" t="s">
        <v>357</v>
      </c>
      <c r="M29" s="20" t="s">
        <v>54</v>
      </c>
      <c r="N29" s="33">
        <f t="shared" si="0"/>
        <v>8.205676046117874E-2</v>
      </c>
    </row>
    <row r="30" spans="1:14" ht="15.75" customHeight="1">
      <c r="A30" s="19" t="s">
        <v>64</v>
      </c>
      <c r="B30" s="20" t="s">
        <v>23</v>
      </c>
      <c r="C30" s="21">
        <v>45734</v>
      </c>
      <c r="D30" s="20" t="s">
        <v>24</v>
      </c>
      <c r="E30" s="20" t="s">
        <v>19</v>
      </c>
      <c r="F30" s="22">
        <v>3418</v>
      </c>
      <c r="G30" s="22">
        <v>188</v>
      </c>
      <c r="H30" s="22">
        <v>387</v>
      </c>
      <c r="I30" s="22">
        <v>57431</v>
      </c>
      <c r="J30" s="22">
        <v>36933</v>
      </c>
      <c r="K30" s="22">
        <v>202</v>
      </c>
      <c r="L30" s="19" t="s">
        <v>354</v>
      </c>
      <c r="M30" s="20" t="s">
        <v>17</v>
      </c>
      <c r="N30" s="33">
        <f t="shared" si="0"/>
        <v>6.9526910553533799E-2</v>
      </c>
    </row>
    <row r="31" spans="1:14" ht="15.75" customHeight="1">
      <c r="A31" s="19" t="s">
        <v>65</v>
      </c>
      <c r="B31" s="20" t="s">
        <v>23</v>
      </c>
      <c r="C31" s="21">
        <v>45773</v>
      </c>
      <c r="D31" s="20" t="s">
        <v>15</v>
      </c>
      <c r="E31" s="20" t="s">
        <v>16</v>
      </c>
      <c r="F31" s="22">
        <v>2411</v>
      </c>
      <c r="G31" s="22">
        <v>194</v>
      </c>
      <c r="H31" s="22">
        <v>168</v>
      </c>
      <c r="I31" s="22">
        <v>26665</v>
      </c>
      <c r="J31" s="22">
        <v>71699</v>
      </c>
      <c r="K31" s="22">
        <v>197</v>
      </c>
      <c r="L31" s="19" t="s">
        <v>38</v>
      </c>
      <c r="M31" s="20" t="s">
        <v>17</v>
      </c>
      <c r="N31" s="33">
        <f t="shared" si="0"/>
        <v>0.10399399962497656</v>
      </c>
    </row>
    <row r="32" spans="1:14" ht="15.75" customHeight="1">
      <c r="A32" s="19" t="s">
        <v>66</v>
      </c>
      <c r="B32" s="20" t="s">
        <v>14</v>
      </c>
      <c r="C32" s="21">
        <v>45658</v>
      </c>
      <c r="D32" s="20" t="s">
        <v>15</v>
      </c>
      <c r="E32" s="20" t="s">
        <v>25</v>
      </c>
      <c r="F32" s="22">
        <v>4036</v>
      </c>
      <c r="G32" s="22">
        <v>112</v>
      </c>
      <c r="H32" s="22">
        <v>382</v>
      </c>
      <c r="I32" s="22">
        <v>56284</v>
      </c>
      <c r="J32" s="22">
        <v>29440</v>
      </c>
      <c r="K32" s="22">
        <v>279</v>
      </c>
      <c r="L32" s="19" t="s">
        <v>353</v>
      </c>
      <c r="M32" s="20" t="s">
        <v>17</v>
      </c>
      <c r="N32" s="33">
        <f t="shared" si="0"/>
        <v>8.0484684812735408E-2</v>
      </c>
    </row>
    <row r="33" spans="1:14" ht="15.75" customHeight="1">
      <c r="A33" s="19" t="s">
        <v>67</v>
      </c>
      <c r="B33" s="20" t="s">
        <v>23</v>
      </c>
      <c r="C33" s="21">
        <v>45419</v>
      </c>
      <c r="D33" s="20" t="s">
        <v>24</v>
      </c>
      <c r="E33" s="20" t="s">
        <v>19</v>
      </c>
      <c r="F33" s="22">
        <v>2776</v>
      </c>
      <c r="G33" s="22">
        <v>307</v>
      </c>
      <c r="H33" s="22">
        <v>178</v>
      </c>
      <c r="I33" s="22">
        <v>43365</v>
      </c>
      <c r="J33" s="22">
        <v>48408</v>
      </c>
      <c r="K33" s="22">
        <v>138</v>
      </c>
      <c r="L33" s="19" t="s">
        <v>353</v>
      </c>
      <c r="M33" s="20" t="s">
        <v>17</v>
      </c>
      <c r="N33" s="33">
        <f t="shared" si="0"/>
        <v>7.519889311656866E-2</v>
      </c>
    </row>
    <row r="34" spans="1:14" ht="15.75" customHeight="1">
      <c r="A34" s="19" t="s">
        <v>68</v>
      </c>
      <c r="B34" s="20" t="s">
        <v>23</v>
      </c>
      <c r="C34" s="21">
        <v>45574</v>
      </c>
      <c r="D34" s="20" t="s">
        <v>24</v>
      </c>
      <c r="E34" s="20" t="s">
        <v>16</v>
      </c>
      <c r="F34" s="22">
        <v>4929</v>
      </c>
      <c r="G34" s="22">
        <v>182</v>
      </c>
      <c r="H34" s="22">
        <v>95</v>
      </c>
      <c r="I34" s="22">
        <v>32181</v>
      </c>
      <c r="J34" s="22">
        <v>31084</v>
      </c>
      <c r="K34" s="22">
        <v>289</v>
      </c>
      <c r="L34" s="19" t="s">
        <v>356</v>
      </c>
      <c r="M34" s="20" t="s">
        <v>17</v>
      </c>
      <c r="N34" s="33">
        <f t="shared" si="0"/>
        <v>0.16177247444144061</v>
      </c>
    </row>
    <row r="35" spans="1:14" ht="15.75" customHeight="1">
      <c r="A35" s="19" t="s">
        <v>69</v>
      </c>
      <c r="B35" s="20" t="s">
        <v>14</v>
      </c>
      <c r="C35" s="21">
        <v>45666</v>
      </c>
      <c r="D35" s="20" t="s">
        <v>15</v>
      </c>
      <c r="E35" s="20" t="s">
        <v>25</v>
      </c>
      <c r="F35" s="22">
        <v>1015</v>
      </c>
      <c r="G35" s="22">
        <v>366</v>
      </c>
      <c r="H35" s="22">
        <v>308</v>
      </c>
      <c r="I35" s="22">
        <v>38127</v>
      </c>
      <c r="J35" s="22">
        <v>63790</v>
      </c>
      <c r="K35" s="22">
        <v>287</v>
      </c>
      <c r="L35" s="19" t="s">
        <v>353</v>
      </c>
      <c r="M35" s="20" t="s">
        <v>17</v>
      </c>
      <c r="N35" s="33">
        <f t="shared" si="0"/>
        <v>4.4299315445747112E-2</v>
      </c>
    </row>
    <row r="36" spans="1:14" ht="15.75" customHeight="1">
      <c r="A36" s="19" t="s">
        <v>70</v>
      </c>
      <c r="B36" s="20" t="s">
        <v>23</v>
      </c>
      <c r="C36" s="21">
        <v>45785</v>
      </c>
      <c r="D36" s="20" t="s">
        <v>24</v>
      </c>
      <c r="E36" s="20" t="s">
        <v>47</v>
      </c>
      <c r="F36" s="22">
        <v>3316</v>
      </c>
      <c r="G36" s="22">
        <v>332</v>
      </c>
      <c r="H36" s="22">
        <v>268</v>
      </c>
      <c r="I36" s="22">
        <v>40095</v>
      </c>
      <c r="J36" s="22">
        <v>36913</v>
      </c>
      <c r="K36" s="22">
        <v>265</v>
      </c>
      <c r="L36" s="19" t="s">
        <v>354</v>
      </c>
      <c r="M36" s="20" t="s">
        <v>17</v>
      </c>
      <c r="N36" s="33">
        <f t="shared" si="0"/>
        <v>9.7668038408779148E-2</v>
      </c>
    </row>
    <row r="37" spans="1:14" ht="15.75" customHeight="1">
      <c r="A37" s="19" t="s">
        <v>71</v>
      </c>
      <c r="B37" s="20" t="s">
        <v>14</v>
      </c>
      <c r="C37" s="21">
        <v>45416</v>
      </c>
      <c r="D37" s="20" t="s">
        <v>15</v>
      </c>
      <c r="E37" s="20" t="s">
        <v>27</v>
      </c>
      <c r="F37" s="22">
        <v>2274</v>
      </c>
      <c r="G37" s="22">
        <v>243</v>
      </c>
      <c r="H37" s="22">
        <v>222</v>
      </c>
      <c r="I37" s="22">
        <v>43066</v>
      </c>
      <c r="J37" s="22">
        <v>59174</v>
      </c>
      <c r="K37" s="22">
        <v>80</v>
      </c>
      <c r="L37" s="19" t="s">
        <v>20</v>
      </c>
      <c r="M37" s="20" t="s">
        <v>21</v>
      </c>
      <c r="N37" s="33">
        <f t="shared" si="0"/>
        <v>6.3600055728416843E-2</v>
      </c>
    </row>
    <row r="38" spans="1:14" ht="15.75" customHeight="1">
      <c r="A38" s="19" t="s">
        <v>72</v>
      </c>
      <c r="B38" s="20" t="s">
        <v>23</v>
      </c>
      <c r="C38" s="21">
        <v>45804</v>
      </c>
      <c r="D38" s="20" t="s">
        <v>24</v>
      </c>
      <c r="E38" s="20" t="s">
        <v>19</v>
      </c>
      <c r="F38" s="22">
        <v>4095</v>
      </c>
      <c r="G38" s="22">
        <v>385</v>
      </c>
      <c r="H38" s="22">
        <v>400</v>
      </c>
      <c r="I38" s="22">
        <v>45300</v>
      </c>
      <c r="J38" s="22">
        <v>31795</v>
      </c>
      <c r="K38" s="22">
        <v>80</v>
      </c>
      <c r="L38" s="19" t="s">
        <v>354</v>
      </c>
      <c r="M38" s="20" t="s">
        <v>17</v>
      </c>
      <c r="N38" s="33">
        <f t="shared" si="0"/>
        <v>0.10772626931567329</v>
      </c>
    </row>
    <row r="39" spans="1:14" ht="15.75" customHeight="1">
      <c r="A39" s="19" t="s">
        <v>73</v>
      </c>
      <c r="B39" s="20" t="s">
        <v>14</v>
      </c>
      <c r="C39" s="21">
        <v>45545</v>
      </c>
      <c r="D39" s="20" t="s">
        <v>24</v>
      </c>
      <c r="E39" s="20" t="s">
        <v>25</v>
      </c>
      <c r="F39" s="22">
        <v>1230</v>
      </c>
      <c r="G39" s="22">
        <v>309</v>
      </c>
      <c r="H39" s="22">
        <v>207</v>
      </c>
      <c r="I39" s="22">
        <v>44629</v>
      </c>
      <c r="J39" s="22">
        <v>40699</v>
      </c>
      <c r="K39" s="22">
        <v>195</v>
      </c>
      <c r="L39" s="19" t="s">
        <v>38</v>
      </c>
      <c r="M39" s="20" t="s">
        <v>51</v>
      </c>
      <c r="N39" s="33">
        <f t="shared" si="0"/>
        <v>3.9122543637545096E-2</v>
      </c>
    </row>
    <row r="40" spans="1:14" ht="15.75" customHeight="1">
      <c r="A40" s="19" t="s">
        <v>74</v>
      </c>
      <c r="B40" s="20" t="s">
        <v>14</v>
      </c>
      <c r="C40" s="21">
        <v>45621</v>
      </c>
      <c r="D40" s="20" t="s">
        <v>15</v>
      </c>
      <c r="E40" s="20" t="s">
        <v>45</v>
      </c>
      <c r="F40" s="22">
        <v>1341</v>
      </c>
      <c r="G40" s="22">
        <v>472</v>
      </c>
      <c r="H40" s="22">
        <v>238</v>
      </c>
      <c r="I40" s="22">
        <v>51386</v>
      </c>
      <c r="J40" s="22">
        <v>51706</v>
      </c>
      <c r="K40" s="22">
        <v>133</v>
      </c>
      <c r="L40" s="19" t="s">
        <v>20</v>
      </c>
      <c r="M40" s="20" t="s">
        <v>21</v>
      </c>
      <c r="N40" s="33">
        <f t="shared" si="0"/>
        <v>3.9913595142645857E-2</v>
      </c>
    </row>
    <row r="41" spans="1:14" ht="15.75" customHeight="1">
      <c r="A41" s="19" t="s">
        <v>75</v>
      </c>
      <c r="B41" s="20" t="s">
        <v>23</v>
      </c>
      <c r="C41" s="21">
        <v>45818</v>
      </c>
      <c r="D41" s="20" t="s">
        <v>15</v>
      </c>
      <c r="E41" s="20" t="s">
        <v>19</v>
      </c>
      <c r="F41" s="22">
        <v>3615</v>
      </c>
      <c r="G41" s="22">
        <v>192</v>
      </c>
      <c r="H41" s="22">
        <v>162</v>
      </c>
      <c r="I41" s="22">
        <v>27492</v>
      </c>
      <c r="J41" s="22">
        <v>35341</v>
      </c>
      <c r="K41" s="22">
        <v>125</v>
      </c>
      <c r="L41" s="19" t="s">
        <v>38</v>
      </c>
      <c r="M41" s="20" t="s">
        <v>17</v>
      </c>
      <c r="N41" s="33">
        <f t="shared" si="0"/>
        <v>0.14436927106067218</v>
      </c>
    </row>
    <row r="42" spans="1:14" ht="15.75" customHeight="1">
      <c r="A42" s="19" t="s">
        <v>76</v>
      </c>
      <c r="B42" s="20" t="s">
        <v>14</v>
      </c>
      <c r="C42" s="21">
        <v>45401</v>
      </c>
      <c r="D42" s="20" t="s">
        <v>15</v>
      </c>
      <c r="E42" s="20" t="s">
        <v>25</v>
      </c>
      <c r="F42" s="22">
        <v>4001</v>
      </c>
      <c r="G42" s="22">
        <v>353</v>
      </c>
      <c r="H42" s="22">
        <v>129</v>
      </c>
      <c r="I42" s="22">
        <v>41265</v>
      </c>
      <c r="J42" s="22">
        <v>37279</v>
      </c>
      <c r="K42" s="22">
        <v>275</v>
      </c>
      <c r="L42" s="19" t="s">
        <v>353</v>
      </c>
      <c r="M42" s="20" t="s">
        <v>17</v>
      </c>
      <c r="N42" s="33">
        <f t="shared" si="0"/>
        <v>0.10863928268508422</v>
      </c>
    </row>
    <row r="43" spans="1:14" ht="15.75" customHeight="1">
      <c r="A43" s="19" t="s">
        <v>77</v>
      </c>
      <c r="B43" s="20" t="s">
        <v>14</v>
      </c>
      <c r="C43" s="21">
        <v>45683</v>
      </c>
      <c r="D43" s="20" t="s">
        <v>24</v>
      </c>
      <c r="E43" s="20" t="s">
        <v>32</v>
      </c>
      <c r="F43" s="22">
        <v>3451</v>
      </c>
      <c r="G43" s="22">
        <v>363</v>
      </c>
      <c r="H43" s="22">
        <v>393</v>
      </c>
      <c r="I43" s="22">
        <v>44853</v>
      </c>
      <c r="J43" s="22">
        <v>69032</v>
      </c>
      <c r="K43" s="22">
        <v>211</v>
      </c>
      <c r="L43" s="19" t="s">
        <v>38</v>
      </c>
      <c r="M43" s="20" t="s">
        <v>51</v>
      </c>
      <c r="N43" s="33">
        <f t="shared" si="0"/>
        <v>9.379528682585335E-2</v>
      </c>
    </row>
    <row r="44" spans="1:14" ht="15.75" customHeight="1">
      <c r="A44" s="19" t="s">
        <v>78</v>
      </c>
      <c r="B44" s="20" t="s">
        <v>14</v>
      </c>
      <c r="C44" s="21">
        <v>45702</v>
      </c>
      <c r="D44" s="20" t="s">
        <v>15</v>
      </c>
      <c r="E44" s="20" t="s">
        <v>37</v>
      </c>
      <c r="F44" s="22">
        <v>4891</v>
      </c>
      <c r="G44" s="22">
        <v>450</v>
      </c>
      <c r="H44" s="22">
        <v>387</v>
      </c>
      <c r="I44" s="22">
        <v>48746</v>
      </c>
      <c r="J44" s="22">
        <v>37312</v>
      </c>
      <c r="K44" s="22">
        <v>154</v>
      </c>
      <c r="L44" s="19" t="s">
        <v>353</v>
      </c>
      <c r="M44" s="20" t="s">
        <v>17</v>
      </c>
      <c r="N44" s="33">
        <f t="shared" si="0"/>
        <v>0.11750707750379519</v>
      </c>
    </row>
    <row r="45" spans="1:14" ht="15.75" customHeight="1">
      <c r="A45" s="19" t="s">
        <v>79</v>
      </c>
      <c r="B45" s="20" t="s">
        <v>14</v>
      </c>
      <c r="C45" s="21">
        <v>45541</v>
      </c>
      <c r="D45" s="20" t="s">
        <v>15</v>
      </c>
      <c r="E45" s="20" t="s">
        <v>25</v>
      </c>
      <c r="F45" s="22">
        <v>1452</v>
      </c>
      <c r="G45" s="22">
        <v>281</v>
      </c>
      <c r="H45" s="22">
        <v>326</v>
      </c>
      <c r="I45" s="22">
        <v>51556</v>
      </c>
      <c r="J45" s="22">
        <v>62599</v>
      </c>
      <c r="K45" s="22">
        <v>290</v>
      </c>
      <c r="L45" s="19" t="s">
        <v>20</v>
      </c>
      <c r="M45" s="20" t="s">
        <v>21</v>
      </c>
      <c r="N45" s="33">
        <f t="shared" si="0"/>
        <v>3.9937155714174881E-2</v>
      </c>
    </row>
    <row r="46" spans="1:14" ht="15.75" customHeight="1">
      <c r="A46" s="19" t="s">
        <v>80</v>
      </c>
      <c r="B46" s="20" t="s">
        <v>29</v>
      </c>
      <c r="C46" s="21">
        <v>45487</v>
      </c>
      <c r="D46" s="20" t="s">
        <v>15</v>
      </c>
      <c r="E46" s="20" t="s">
        <v>47</v>
      </c>
      <c r="F46" s="22">
        <v>3806</v>
      </c>
      <c r="G46" s="22">
        <v>114</v>
      </c>
      <c r="H46" s="22">
        <v>278</v>
      </c>
      <c r="I46" s="22">
        <v>36148</v>
      </c>
      <c r="J46" s="22">
        <v>24209</v>
      </c>
      <c r="K46" s="22">
        <v>201</v>
      </c>
      <c r="L46" s="19" t="s">
        <v>355</v>
      </c>
      <c r="M46" s="20" t="s">
        <v>21</v>
      </c>
      <c r="N46" s="33">
        <f t="shared" si="0"/>
        <v>0.11613367267898639</v>
      </c>
    </row>
    <row r="47" spans="1:14" ht="15.75" customHeight="1">
      <c r="A47" s="19" t="s">
        <v>81</v>
      </c>
      <c r="B47" s="20" t="s">
        <v>14</v>
      </c>
      <c r="C47" s="21">
        <v>45334</v>
      </c>
      <c r="D47" s="20" t="s">
        <v>15</v>
      </c>
      <c r="E47" s="20" t="s">
        <v>19</v>
      </c>
      <c r="F47" s="22">
        <v>2923</v>
      </c>
      <c r="G47" s="22">
        <v>330</v>
      </c>
      <c r="H47" s="22">
        <v>250</v>
      </c>
      <c r="I47" s="22">
        <v>23993</v>
      </c>
      <c r="J47" s="22">
        <v>74590</v>
      </c>
      <c r="K47" s="22">
        <v>92</v>
      </c>
      <c r="L47" s="19" t="s">
        <v>20</v>
      </c>
      <c r="M47" s="20" t="s">
        <v>21</v>
      </c>
      <c r="N47" s="33">
        <f t="shared" si="0"/>
        <v>0.14600091693410577</v>
      </c>
    </row>
    <row r="48" spans="1:14" ht="15.75" customHeight="1">
      <c r="A48" s="19" t="s">
        <v>82</v>
      </c>
      <c r="B48" s="20" t="s">
        <v>29</v>
      </c>
      <c r="C48" s="21">
        <v>45365</v>
      </c>
      <c r="D48" s="20" t="s">
        <v>53</v>
      </c>
      <c r="E48" s="20" t="s">
        <v>45</v>
      </c>
      <c r="F48" s="22">
        <v>3361</v>
      </c>
      <c r="G48" s="22">
        <v>188</v>
      </c>
      <c r="H48" s="22">
        <v>358</v>
      </c>
      <c r="I48" s="22">
        <v>39838</v>
      </c>
      <c r="J48" s="22">
        <v>24536</v>
      </c>
      <c r="K48" s="22">
        <v>120</v>
      </c>
      <c r="L48" s="19" t="s">
        <v>357</v>
      </c>
      <c r="M48" s="20" t="s">
        <v>54</v>
      </c>
      <c r="N48" s="33">
        <f t="shared" si="0"/>
        <v>9.8072192379135503E-2</v>
      </c>
    </row>
    <row r="49" spans="1:14" ht="15.75" customHeight="1">
      <c r="A49" s="19" t="s">
        <v>83</v>
      </c>
      <c r="B49" s="20" t="s">
        <v>14</v>
      </c>
      <c r="C49" s="21">
        <v>45693</v>
      </c>
      <c r="D49" s="20" t="s">
        <v>24</v>
      </c>
      <c r="E49" s="20" t="s">
        <v>30</v>
      </c>
      <c r="F49" s="22">
        <v>3074</v>
      </c>
      <c r="G49" s="22">
        <v>371</v>
      </c>
      <c r="H49" s="22">
        <v>348</v>
      </c>
      <c r="I49" s="22">
        <v>24104</v>
      </c>
      <c r="J49" s="22">
        <v>57803</v>
      </c>
      <c r="K49" s="22">
        <v>213</v>
      </c>
      <c r="L49" s="19" t="s">
        <v>38</v>
      </c>
      <c r="M49" s="20" t="s">
        <v>51</v>
      </c>
      <c r="N49" s="33">
        <f t="shared" si="0"/>
        <v>0.15735977431131762</v>
      </c>
    </row>
    <row r="50" spans="1:14" ht="15.75" customHeight="1">
      <c r="A50" s="19" t="s">
        <v>84</v>
      </c>
      <c r="B50" s="20" t="s">
        <v>23</v>
      </c>
      <c r="C50" s="21">
        <v>45533</v>
      </c>
      <c r="D50" s="20" t="s">
        <v>24</v>
      </c>
      <c r="E50" s="20" t="s">
        <v>34</v>
      </c>
      <c r="F50" s="22">
        <v>4276</v>
      </c>
      <c r="G50" s="22">
        <v>227</v>
      </c>
      <c r="H50" s="22">
        <v>223</v>
      </c>
      <c r="I50" s="22">
        <v>43443</v>
      </c>
      <c r="J50" s="22">
        <v>41005</v>
      </c>
      <c r="K50" s="22">
        <v>191</v>
      </c>
      <c r="L50" s="19" t="s">
        <v>356</v>
      </c>
      <c r="M50" s="20" t="s">
        <v>17</v>
      </c>
      <c r="N50" s="33">
        <f t="shared" si="0"/>
        <v>0.1087862256289851</v>
      </c>
    </row>
    <row r="51" spans="1:14" ht="15.75" customHeight="1">
      <c r="A51" s="19" t="s">
        <v>85</v>
      </c>
      <c r="B51" s="20" t="s">
        <v>23</v>
      </c>
      <c r="C51" s="21">
        <v>45769</v>
      </c>
      <c r="D51" s="20" t="s">
        <v>15</v>
      </c>
      <c r="E51" s="20" t="s">
        <v>16</v>
      </c>
      <c r="F51" s="22">
        <v>4401</v>
      </c>
      <c r="G51" s="22">
        <v>421</v>
      </c>
      <c r="H51" s="22">
        <v>216</v>
      </c>
      <c r="I51" s="22">
        <v>24890</v>
      </c>
      <c r="J51" s="22">
        <v>54361</v>
      </c>
      <c r="K51" s="22">
        <v>148</v>
      </c>
      <c r="L51" s="19" t="s">
        <v>38</v>
      </c>
      <c r="M51" s="20" t="s">
        <v>17</v>
      </c>
      <c r="N51" s="33">
        <f t="shared" si="0"/>
        <v>0.20241060666934513</v>
      </c>
    </row>
    <row r="52" spans="1:14" ht="15.75" customHeight="1">
      <c r="A52" s="19" t="s">
        <v>86</v>
      </c>
      <c r="B52" s="20" t="s">
        <v>29</v>
      </c>
      <c r="C52" s="21">
        <v>45425</v>
      </c>
      <c r="D52" s="20" t="s">
        <v>53</v>
      </c>
      <c r="E52" s="20" t="s">
        <v>19</v>
      </c>
      <c r="F52" s="22">
        <v>4161</v>
      </c>
      <c r="G52" s="22">
        <v>481</v>
      </c>
      <c r="H52" s="22">
        <v>61</v>
      </c>
      <c r="I52" s="22">
        <v>45884</v>
      </c>
      <c r="J52" s="22">
        <v>48955</v>
      </c>
      <c r="K52" s="22">
        <v>215</v>
      </c>
      <c r="L52" s="19" t="s">
        <v>357</v>
      </c>
      <c r="M52" s="20" t="s">
        <v>54</v>
      </c>
      <c r="N52" s="33">
        <f t="shared" si="0"/>
        <v>0.10249760265016128</v>
      </c>
    </row>
    <row r="53" spans="1:14" ht="15.75" customHeight="1">
      <c r="A53" s="19" t="s">
        <v>87</v>
      </c>
      <c r="B53" s="20" t="s">
        <v>23</v>
      </c>
      <c r="C53" s="21">
        <v>45539</v>
      </c>
      <c r="D53" s="20" t="s">
        <v>24</v>
      </c>
      <c r="E53" s="20" t="s">
        <v>25</v>
      </c>
      <c r="F53" s="22">
        <v>2613</v>
      </c>
      <c r="G53" s="22">
        <v>455</v>
      </c>
      <c r="H53" s="22">
        <v>228</v>
      </c>
      <c r="I53" s="22">
        <v>21645</v>
      </c>
      <c r="J53" s="22">
        <v>61334</v>
      </c>
      <c r="K53" s="22">
        <v>261</v>
      </c>
      <c r="L53" s="19" t="s">
        <v>356</v>
      </c>
      <c r="M53" s="20" t="s">
        <v>17</v>
      </c>
      <c r="N53" s="33">
        <f t="shared" si="0"/>
        <v>0.15227535227535227</v>
      </c>
    </row>
    <row r="54" spans="1:14" ht="15.75" customHeight="1">
      <c r="A54" s="19" t="s">
        <v>88</v>
      </c>
      <c r="B54" s="20" t="s">
        <v>23</v>
      </c>
      <c r="C54" s="21">
        <v>45516</v>
      </c>
      <c r="D54" s="20" t="s">
        <v>24</v>
      </c>
      <c r="E54" s="20" t="s">
        <v>32</v>
      </c>
      <c r="F54" s="22">
        <v>2842</v>
      </c>
      <c r="G54" s="22">
        <v>213</v>
      </c>
      <c r="H54" s="22">
        <v>331</v>
      </c>
      <c r="I54" s="22">
        <v>57660</v>
      </c>
      <c r="J54" s="22">
        <v>68606</v>
      </c>
      <c r="K54" s="22">
        <v>87</v>
      </c>
      <c r="L54" s="19" t="s">
        <v>354</v>
      </c>
      <c r="M54" s="20" t="s">
        <v>17</v>
      </c>
      <c r="N54" s="33">
        <f t="shared" si="0"/>
        <v>5.8723551855705859E-2</v>
      </c>
    </row>
    <row r="55" spans="1:14" ht="15.75" customHeight="1">
      <c r="A55" s="19" t="s">
        <v>89</v>
      </c>
      <c r="B55" s="20" t="s">
        <v>14</v>
      </c>
      <c r="C55" s="21">
        <v>45722</v>
      </c>
      <c r="D55" s="20" t="s">
        <v>15</v>
      </c>
      <c r="E55" s="20" t="s">
        <v>34</v>
      </c>
      <c r="F55" s="22">
        <v>4851</v>
      </c>
      <c r="G55" s="22">
        <v>460</v>
      </c>
      <c r="H55" s="22">
        <v>212</v>
      </c>
      <c r="I55" s="22">
        <v>58075</v>
      </c>
      <c r="J55" s="22">
        <v>59574</v>
      </c>
      <c r="K55" s="22">
        <v>239</v>
      </c>
      <c r="L55" s="19" t="s">
        <v>20</v>
      </c>
      <c r="M55" s="20" t="s">
        <v>21</v>
      </c>
      <c r="N55" s="33">
        <f t="shared" si="0"/>
        <v>9.5101162290142052E-2</v>
      </c>
    </row>
    <row r="56" spans="1:14" ht="15.75" customHeight="1">
      <c r="A56" s="19" t="s">
        <v>90</v>
      </c>
      <c r="B56" s="20" t="s">
        <v>23</v>
      </c>
      <c r="C56" s="21">
        <v>45420</v>
      </c>
      <c r="D56" s="20" t="s">
        <v>15</v>
      </c>
      <c r="E56" s="20" t="s">
        <v>19</v>
      </c>
      <c r="F56" s="22">
        <v>1828</v>
      </c>
      <c r="G56" s="22">
        <v>450</v>
      </c>
      <c r="H56" s="22">
        <v>214</v>
      </c>
      <c r="I56" s="22">
        <v>52115</v>
      </c>
      <c r="J56" s="22">
        <v>19166</v>
      </c>
      <c r="K56" s="22">
        <v>190</v>
      </c>
      <c r="L56" s="19" t="s">
        <v>38</v>
      </c>
      <c r="M56" s="20" t="s">
        <v>17</v>
      </c>
      <c r="N56" s="33">
        <f t="shared" si="0"/>
        <v>4.781732706514439E-2</v>
      </c>
    </row>
    <row r="57" spans="1:14" ht="15.75" customHeight="1">
      <c r="A57" s="19" t="s">
        <v>91</v>
      </c>
      <c r="B57" s="20" t="s">
        <v>14</v>
      </c>
      <c r="C57" s="21">
        <v>45707</v>
      </c>
      <c r="D57" s="20" t="s">
        <v>24</v>
      </c>
      <c r="E57" s="20" t="s">
        <v>45</v>
      </c>
      <c r="F57" s="22">
        <v>2422</v>
      </c>
      <c r="G57" s="22">
        <v>455</v>
      </c>
      <c r="H57" s="22">
        <v>376</v>
      </c>
      <c r="I57" s="22">
        <v>23428</v>
      </c>
      <c r="J57" s="22">
        <v>46775</v>
      </c>
      <c r="K57" s="22">
        <v>259</v>
      </c>
      <c r="L57" s="19" t="s">
        <v>38</v>
      </c>
      <c r="M57" s="20" t="s">
        <v>51</v>
      </c>
      <c r="N57" s="33">
        <f t="shared" si="0"/>
        <v>0.13885094758408742</v>
      </c>
    </row>
    <row r="58" spans="1:14" ht="15.75" customHeight="1">
      <c r="A58" s="19" t="s">
        <v>92</v>
      </c>
      <c r="B58" s="20" t="s">
        <v>14</v>
      </c>
      <c r="C58" s="21">
        <v>45299</v>
      </c>
      <c r="D58" s="20" t="s">
        <v>15</v>
      </c>
      <c r="E58" s="20" t="s">
        <v>37</v>
      </c>
      <c r="F58" s="22">
        <v>2683</v>
      </c>
      <c r="G58" s="22">
        <v>405</v>
      </c>
      <c r="H58" s="22">
        <v>223</v>
      </c>
      <c r="I58" s="22">
        <v>31233</v>
      </c>
      <c r="J58" s="22">
        <v>58106</v>
      </c>
      <c r="K58" s="22">
        <v>291</v>
      </c>
      <c r="L58" s="19" t="s">
        <v>20</v>
      </c>
      <c r="M58" s="20" t="s">
        <v>21</v>
      </c>
      <c r="N58" s="33">
        <f t="shared" si="0"/>
        <v>0.10600966926007749</v>
      </c>
    </row>
    <row r="59" spans="1:14" ht="15.75" customHeight="1">
      <c r="A59" s="19" t="s">
        <v>93</v>
      </c>
      <c r="B59" s="20" t="s">
        <v>29</v>
      </c>
      <c r="C59" s="21">
        <v>45490</v>
      </c>
      <c r="D59" s="20" t="s">
        <v>15</v>
      </c>
      <c r="E59" s="20" t="s">
        <v>37</v>
      </c>
      <c r="F59" s="22">
        <v>3135</v>
      </c>
      <c r="G59" s="22">
        <v>110</v>
      </c>
      <c r="H59" s="22">
        <v>215</v>
      </c>
      <c r="I59" s="22">
        <v>39192</v>
      </c>
      <c r="J59" s="22">
        <v>24744</v>
      </c>
      <c r="K59" s="22">
        <v>177</v>
      </c>
      <c r="L59" s="19" t="s">
        <v>355</v>
      </c>
      <c r="M59" s="20" t="s">
        <v>21</v>
      </c>
      <c r="N59" s="33">
        <f t="shared" si="0"/>
        <v>8.8283323127168814E-2</v>
      </c>
    </row>
    <row r="60" spans="1:14" ht="15.75" customHeight="1">
      <c r="A60" s="19" t="s">
        <v>94</v>
      </c>
      <c r="B60" s="20" t="s">
        <v>29</v>
      </c>
      <c r="C60" s="21">
        <v>45514</v>
      </c>
      <c r="D60" s="20" t="s">
        <v>15</v>
      </c>
      <c r="E60" s="20" t="s">
        <v>45</v>
      </c>
      <c r="F60" s="22">
        <v>1105</v>
      </c>
      <c r="G60" s="22">
        <v>181</v>
      </c>
      <c r="H60" s="22">
        <v>55</v>
      </c>
      <c r="I60" s="22">
        <v>53581</v>
      </c>
      <c r="J60" s="22">
        <v>74048</v>
      </c>
      <c r="K60" s="22">
        <v>220</v>
      </c>
      <c r="L60" s="19" t="s">
        <v>355</v>
      </c>
      <c r="M60" s="20" t="s">
        <v>21</v>
      </c>
      <c r="N60" s="33">
        <f t="shared" si="0"/>
        <v>2.50275284149232E-2</v>
      </c>
    </row>
    <row r="61" spans="1:14" ht="15.75" customHeight="1">
      <c r="A61" s="19" t="s">
        <v>95</v>
      </c>
      <c r="B61" s="20" t="s">
        <v>29</v>
      </c>
      <c r="C61" s="21">
        <v>45398</v>
      </c>
      <c r="D61" s="20" t="s">
        <v>15</v>
      </c>
      <c r="E61" s="20" t="s">
        <v>16</v>
      </c>
      <c r="F61" s="22">
        <v>4674</v>
      </c>
      <c r="G61" s="22">
        <v>326</v>
      </c>
      <c r="H61" s="22">
        <v>62</v>
      </c>
      <c r="I61" s="22">
        <v>45503</v>
      </c>
      <c r="J61" s="22">
        <v>46814</v>
      </c>
      <c r="K61" s="22">
        <v>116</v>
      </c>
      <c r="L61" s="19" t="s">
        <v>355</v>
      </c>
      <c r="M61" s="20" t="s">
        <v>21</v>
      </c>
      <c r="N61" s="33">
        <f t="shared" si="0"/>
        <v>0.11124541239039185</v>
      </c>
    </row>
    <row r="62" spans="1:14" ht="15.75" customHeight="1">
      <c r="A62" s="19" t="s">
        <v>96</v>
      </c>
      <c r="B62" s="20" t="s">
        <v>29</v>
      </c>
      <c r="C62" s="21">
        <v>45292</v>
      </c>
      <c r="D62" s="20" t="s">
        <v>53</v>
      </c>
      <c r="E62" s="20" t="s">
        <v>19</v>
      </c>
      <c r="F62" s="22">
        <v>3437</v>
      </c>
      <c r="G62" s="22">
        <v>129</v>
      </c>
      <c r="H62" s="22">
        <v>359</v>
      </c>
      <c r="I62" s="22">
        <v>44558</v>
      </c>
      <c r="J62" s="22">
        <v>30854</v>
      </c>
      <c r="K62" s="22">
        <v>171</v>
      </c>
      <c r="L62" s="19" t="s">
        <v>357</v>
      </c>
      <c r="M62" s="20" t="s">
        <v>54</v>
      </c>
      <c r="N62" s="33">
        <f t="shared" si="0"/>
        <v>8.8087436599488311E-2</v>
      </c>
    </row>
    <row r="63" spans="1:14" ht="15.75" customHeight="1">
      <c r="A63" s="19" t="s">
        <v>97</v>
      </c>
      <c r="B63" s="20" t="s">
        <v>23</v>
      </c>
      <c r="C63" s="21">
        <v>45599</v>
      </c>
      <c r="D63" s="20" t="s">
        <v>24</v>
      </c>
      <c r="E63" s="20" t="s">
        <v>27</v>
      </c>
      <c r="F63" s="22">
        <v>1959</v>
      </c>
      <c r="G63" s="22">
        <v>316</v>
      </c>
      <c r="H63" s="22">
        <v>82</v>
      </c>
      <c r="I63" s="22">
        <v>54036</v>
      </c>
      <c r="J63" s="22">
        <v>69015</v>
      </c>
      <c r="K63" s="22">
        <v>182</v>
      </c>
      <c r="L63" s="19" t="s">
        <v>354</v>
      </c>
      <c r="M63" s="20" t="s">
        <v>17</v>
      </c>
      <c r="N63" s="33">
        <f t="shared" si="0"/>
        <v>4.3619068768968837E-2</v>
      </c>
    </row>
    <row r="64" spans="1:14" ht="15.75" customHeight="1">
      <c r="A64" s="19" t="s">
        <v>98</v>
      </c>
      <c r="B64" s="20" t="s">
        <v>23</v>
      </c>
      <c r="C64" s="21">
        <v>45480</v>
      </c>
      <c r="D64" s="20" t="s">
        <v>15</v>
      </c>
      <c r="E64" s="20" t="s">
        <v>25</v>
      </c>
      <c r="F64" s="22">
        <v>1035</v>
      </c>
      <c r="G64" s="22">
        <v>137</v>
      </c>
      <c r="H64" s="22">
        <v>184</v>
      </c>
      <c r="I64" s="22">
        <v>37302</v>
      </c>
      <c r="J64" s="22">
        <v>68953</v>
      </c>
      <c r="K64" s="22">
        <v>237</v>
      </c>
      <c r="L64" s="19" t="s">
        <v>41</v>
      </c>
      <c r="M64" s="20" t="s">
        <v>21</v>
      </c>
      <c r="N64" s="33">
        <f t="shared" si="0"/>
        <v>3.6351938233874857E-2</v>
      </c>
    </row>
    <row r="65" spans="1:14" ht="15.75" customHeight="1">
      <c r="A65" s="19" t="s">
        <v>99</v>
      </c>
      <c r="B65" s="20" t="s">
        <v>23</v>
      </c>
      <c r="C65" s="21">
        <v>45679</v>
      </c>
      <c r="D65" s="20" t="s">
        <v>24</v>
      </c>
      <c r="E65" s="20" t="s">
        <v>25</v>
      </c>
      <c r="F65" s="22">
        <v>4478</v>
      </c>
      <c r="G65" s="22">
        <v>101</v>
      </c>
      <c r="H65" s="22">
        <v>121</v>
      </c>
      <c r="I65" s="22">
        <v>51035</v>
      </c>
      <c r="J65" s="22">
        <v>58207</v>
      </c>
      <c r="K65" s="22">
        <v>205</v>
      </c>
      <c r="L65" s="19" t="s">
        <v>354</v>
      </c>
      <c r="M65" s="20" t="s">
        <v>17</v>
      </c>
      <c r="N65" s="33">
        <f t="shared" si="0"/>
        <v>9.2093661212893113E-2</v>
      </c>
    </row>
    <row r="66" spans="1:14" ht="15.75" customHeight="1">
      <c r="A66" s="19" t="s">
        <v>100</v>
      </c>
      <c r="B66" s="20" t="s">
        <v>29</v>
      </c>
      <c r="C66" s="21">
        <v>45438</v>
      </c>
      <c r="D66" s="20" t="s">
        <v>15</v>
      </c>
      <c r="E66" s="20" t="s">
        <v>45</v>
      </c>
      <c r="F66" s="22">
        <v>1488</v>
      </c>
      <c r="G66" s="22">
        <v>327</v>
      </c>
      <c r="H66" s="22">
        <v>110</v>
      </c>
      <c r="I66" s="22">
        <v>53805</v>
      </c>
      <c r="J66" s="22">
        <v>30239</v>
      </c>
      <c r="K66" s="22">
        <v>109</v>
      </c>
      <c r="L66" s="19" t="s">
        <v>355</v>
      </c>
      <c r="M66" s="20" t="s">
        <v>21</v>
      </c>
      <c r="N66" s="33">
        <f t="shared" si="0"/>
        <v>3.5777344113000653E-2</v>
      </c>
    </row>
    <row r="67" spans="1:14" ht="15.75" customHeight="1">
      <c r="A67" s="19" t="s">
        <v>101</v>
      </c>
      <c r="B67" s="20" t="s">
        <v>14</v>
      </c>
      <c r="C67" s="21">
        <v>45763</v>
      </c>
      <c r="D67" s="20" t="s">
        <v>15</v>
      </c>
      <c r="E67" s="20" t="s">
        <v>27</v>
      </c>
      <c r="F67" s="22">
        <v>4836</v>
      </c>
      <c r="G67" s="22">
        <v>331</v>
      </c>
      <c r="H67" s="22">
        <v>140</v>
      </c>
      <c r="I67" s="22">
        <v>58792</v>
      </c>
      <c r="J67" s="22">
        <v>47711</v>
      </c>
      <c r="K67" s="22">
        <v>227</v>
      </c>
      <c r="L67" s="19" t="s">
        <v>353</v>
      </c>
      <c r="M67" s="20" t="s">
        <v>17</v>
      </c>
      <c r="N67" s="33">
        <f t="shared" ref="N67:N130" si="1">(F67+G67+H67)/I67</f>
        <v>9.0267383317458164E-2</v>
      </c>
    </row>
    <row r="68" spans="1:14" ht="15.75" customHeight="1">
      <c r="A68" s="19" t="s">
        <v>102</v>
      </c>
      <c r="B68" s="20" t="s">
        <v>29</v>
      </c>
      <c r="C68" s="21">
        <v>45384</v>
      </c>
      <c r="D68" s="20" t="s">
        <v>53</v>
      </c>
      <c r="E68" s="20" t="s">
        <v>47</v>
      </c>
      <c r="F68" s="22">
        <v>4563</v>
      </c>
      <c r="G68" s="22">
        <v>488</v>
      </c>
      <c r="H68" s="22">
        <v>356</v>
      </c>
      <c r="I68" s="22">
        <v>30619</v>
      </c>
      <c r="J68" s="22">
        <v>23328</v>
      </c>
      <c r="K68" s="22">
        <v>267</v>
      </c>
      <c r="L68" s="19" t="s">
        <v>357</v>
      </c>
      <c r="M68" s="20" t="s">
        <v>54</v>
      </c>
      <c r="N68" s="33">
        <f t="shared" si="1"/>
        <v>0.17658969920637513</v>
      </c>
    </row>
    <row r="69" spans="1:14" ht="15.75" customHeight="1">
      <c r="A69" s="19" t="s">
        <v>103</v>
      </c>
      <c r="B69" s="20" t="s">
        <v>23</v>
      </c>
      <c r="C69" s="21">
        <v>45379</v>
      </c>
      <c r="D69" s="20" t="s">
        <v>15</v>
      </c>
      <c r="E69" s="20" t="s">
        <v>30</v>
      </c>
      <c r="F69" s="22">
        <v>3276</v>
      </c>
      <c r="G69" s="22">
        <v>421</v>
      </c>
      <c r="H69" s="22">
        <v>114</v>
      </c>
      <c r="I69" s="22">
        <v>20580</v>
      </c>
      <c r="J69" s="22">
        <v>30324</v>
      </c>
      <c r="K69" s="22">
        <v>221</v>
      </c>
      <c r="L69" s="19" t="s">
        <v>41</v>
      </c>
      <c r="M69" s="20" t="s">
        <v>21</v>
      </c>
      <c r="N69" s="33">
        <f t="shared" si="1"/>
        <v>0.18517978620019437</v>
      </c>
    </row>
    <row r="70" spans="1:14" ht="15.75" customHeight="1">
      <c r="A70" s="19" t="s">
        <v>104</v>
      </c>
      <c r="B70" s="20" t="s">
        <v>23</v>
      </c>
      <c r="C70" s="21">
        <v>45643</v>
      </c>
      <c r="D70" s="20" t="s">
        <v>24</v>
      </c>
      <c r="E70" s="20" t="s">
        <v>30</v>
      </c>
      <c r="F70" s="22">
        <v>1316</v>
      </c>
      <c r="G70" s="22">
        <v>472</v>
      </c>
      <c r="H70" s="22">
        <v>286</v>
      </c>
      <c r="I70" s="22">
        <v>44692</v>
      </c>
      <c r="J70" s="22">
        <v>53343</v>
      </c>
      <c r="K70" s="22">
        <v>227</v>
      </c>
      <c r="L70" s="19" t="s">
        <v>356</v>
      </c>
      <c r="M70" s="20" t="s">
        <v>17</v>
      </c>
      <c r="N70" s="33">
        <f t="shared" si="1"/>
        <v>4.6406515707509172E-2</v>
      </c>
    </row>
    <row r="71" spans="1:14" ht="15.75" customHeight="1">
      <c r="A71" s="19" t="s">
        <v>105</v>
      </c>
      <c r="B71" s="20" t="s">
        <v>23</v>
      </c>
      <c r="C71" s="21">
        <v>45662</v>
      </c>
      <c r="D71" s="20" t="s">
        <v>15</v>
      </c>
      <c r="E71" s="20" t="s">
        <v>27</v>
      </c>
      <c r="F71" s="22">
        <v>4811</v>
      </c>
      <c r="G71" s="22">
        <v>473</v>
      </c>
      <c r="H71" s="22">
        <v>254</v>
      </c>
      <c r="I71" s="22">
        <v>51964</v>
      </c>
      <c r="J71" s="22">
        <v>68795</v>
      </c>
      <c r="K71" s="22">
        <v>107</v>
      </c>
      <c r="L71" s="19" t="s">
        <v>38</v>
      </c>
      <c r="M71" s="20" t="s">
        <v>17</v>
      </c>
      <c r="N71" s="33">
        <f t="shared" si="1"/>
        <v>0.10657378184897237</v>
      </c>
    </row>
    <row r="72" spans="1:14" ht="15.75" customHeight="1">
      <c r="A72" s="19" t="s">
        <v>106</v>
      </c>
      <c r="B72" s="20" t="s">
        <v>23</v>
      </c>
      <c r="C72" s="21">
        <v>45302</v>
      </c>
      <c r="D72" s="20" t="s">
        <v>15</v>
      </c>
      <c r="E72" s="20" t="s">
        <v>32</v>
      </c>
      <c r="F72" s="22">
        <v>4218</v>
      </c>
      <c r="G72" s="22">
        <v>247</v>
      </c>
      <c r="H72" s="22">
        <v>183</v>
      </c>
      <c r="I72" s="22">
        <v>28914</v>
      </c>
      <c r="J72" s="22">
        <v>18310</v>
      </c>
      <c r="K72" s="22">
        <v>135</v>
      </c>
      <c r="L72" s="19" t="s">
        <v>41</v>
      </c>
      <c r="M72" s="20" t="s">
        <v>21</v>
      </c>
      <c r="N72" s="33">
        <f t="shared" si="1"/>
        <v>0.1607525766064882</v>
      </c>
    </row>
    <row r="73" spans="1:14" ht="15.75" customHeight="1">
      <c r="A73" s="19" t="s">
        <v>107</v>
      </c>
      <c r="B73" s="20" t="s">
        <v>14</v>
      </c>
      <c r="C73" s="21">
        <v>45576</v>
      </c>
      <c r="D73" s="20" t="s">
        <v>15</v>
      </c>
      <c r="E73" s="20" t="s">
        <v>45</v>
      </c>
      <c r="F73" s="22">
        <v>1360</v>
      </c>
      <c r="G73" s="22">
        <v>249</v>
      </c>
      <c r="H73" s="22">
        <v>52</v>
      </c>
      <c r="I73" s="22">
        <v>20368</v>
      </c>
      <c r="J73" s="22">
        <v>42152</v>
      </c>
      <c r="K73" s="22">
        <v>193</v>
      </c>
      <c r="L73" s="19" t="s">
        <v>20</v>
      </c>
      <c r="M73" s="20" t="s">
        <v>21</v>
      </c>
      <c r="N73" s="33">
        <f t="shared" si="1"/>
        <v>8.1549489395129612E-2</v>
      </c>
    </row>
    <row r="74" spans="1:14" ht="15.75" customHeight="1">
      <c r="A74" s="19" t="s">
        <v>108</v>
      </c>
      <c r="B74" s="20" t="s">
        <v>29</v>
      </c>
      <c r="C74" s="21">
        <v>45783</v>
      </c>
      <c r="D74" s="20" t="s">
        <v>53</v>
      </c>
      <c r="E74" s="20" t="s">
        <v>16</v>
      </c>
      <c r="F74" s="22">
        <v>1085</v>
      </c>
      <c r="G74" s="22">
        <v>496</v>
      </c>
      <c r="H74" s="22">
        <v>320</v>
      </c>
      <c r="I74" s="22">
        <v>36528</v>
      </c>
      <c r="J74" s="22">
        <v>38599</v>
      </c>
      <c r="K74" s="22">
        <v>270</v>
      </c>
      <c r="L74" s="19" t="s">
        <v>357</v>
      </c>
      <c r="M74" s="20" t="s">
        <v>54</v>
      </c>
      <c r="N74" s="33">
        <f t="shared" si="1"/>
        <v>5.2042268944371438E-2</v>
      </c>
    </row>
    <row r="75" spans="1:14" ht="15.75" customHeight="1">
      <c r="A75" s="19" t="s">
        <v>109</v>
      </c>
      <c r="B75" s="20" t="s">
        <v>23</v>
      </c>
      <c r="C75" s="21">
        <v>45431</v>
      </c>
      <c r="D75" s="20" t="s">
        <v>24</v>
      </c>
      <c r="E75" s="20" t="s">
        <v>34</v>
      </c>
      <c r="F75" s="22">
        <v>1763</v>
      </c>
      <c r="G75" s="22">
        <v>206</v>
      </c>
      <c r="H75" s="22">
        <v>187</v>
      </c>
      <c r="I75" s="22">
        <v>53342</v>
      </c>
      <c r="J75" s="22">
        <v>25095</v>
      </c>
      <c r="K75" s="22">
        <v>88</v>
      </c>
      <c r="L75" s="19" t="s">
        <v>356</v>
      </c>
      <c r="M75" s="20" t="s">
        <v>17</v>
      </c>
      <c r="N75" s="33">
        <f t="shared" si="1"/>
        <v>4.0418432004799221E-2</v>
      </c>
    </row>
    <row r="76" spans="1:14" ht="15.75" customHeight="1">
      <c r="A76" s="19" t="s">
        <v>110</v>
      </c>
      <c r="B76" s="20" t="s">
        <v>23</v>
      </c>
      <c r="C76" s="21">
        <v>45313</v>
      </c>
      <c r="D76" s="20" t="s">
        <v>24</v>
      </c>
      <c r="E76" s="20" t="s">
        <v>45</v>
      </c>
      <c r="F76" s="22">
        <v>1554</v>
      </c>
      <c r="G76" s="22">
        <v>455</v>
      </c>
      <c r="H76" s="22">
        <v>158</v>
      </c>
      <c r="I76" s="22">
        <v>41947</v>
      </c>
      <c r="J76" s="22">
        <v>48578</v>
      </c>
      <c r="K76" s="22">
        <v>101</v>
      </c>
      <c r="L76" s="19" t="s">
        <v>353</v>
      </c>
      <c r="M76" s="20" t="s">
        <v>17</v>
      </c>
      <c r="N76" s="33">
        <f t="shared" si="1"/>
        <v>5.1660428636136076E-2</v>
      </c>
    </row>
    <row r="77" spans="1:14" ht="15.75" customHeight="1">
      <c r="A77" s="19" t="s">
        <v>111</v>
      </c>
      <c r="B77" s="20" t="s">
        <v>14</v>
      </c>
      <c r="C77" s="21">
        <v>45487</v>
      </c>
      <c r="D77" s="20" t="s">
        <v>15</v>
      </c>
      <c r="E77" s="20" t="s">
        <v>27</v>
      </c>
      <c r="F77" s="22">
        <v>2464</v>
      </c>
      <c r="G77" s="22">
        <v>401</v>
      </c>
      <c r="H77" s="22">
        <v>78</v>
      </c>
      <c r="I77" s="22">
        <v>38665</v>
      </c>
      <c r="J77" s="22">
        <v>73593</v>
      </c>
      <c r="K77" s="22">
        <v>207</v>
      </c>
      <c r="L77" s="19" t="s">
        <v>20</v>
      </c>
      <c r="M77" s="20" t="s">
        <v>21</v>
      </c>
      <c r="N77" s="33">
        <f t="shared" si="1"/>
        <v>7.611534979956032E-2</v>
      </c>
    </row>
    <row r="78" spans="1:14" ht="15.75" customHeight="1">
      <c r="A78" s="19" t="s">
        <v>112</v>
      </c>
      <c r="B78" s="20" t="s">
        <v>23</v>
      </c>
      <c r="C78" s="21">
        <v>45805</v>
      </c>
      <c r="D78" s="20" t="s">
        <v>15</v>
      </c>
      <c r="E78" s="20" t="s">
        <v>45</v>
      </c>
      <c r="F78" s="22">
        <v>2418</v>
      </c>
      <c r="G78" s="22">
        <v>161</v>
      </c>
      <c r="H78" s="22">
        <v>360</v>
      </c>
      <c r="I78" s="22">
        <v>30589</v>
      </c>
      <c r="J78" s="22">
        <v>41383</v>
      </c>
      <c r="K78" s="22">
        <v>88</v>
      </c>
      <c r="L78" s="19" t="s">
        <v>38</v>
      </c>
      <c r="M78" s="20" t="s">
        <v>17</v>
      </c>
      <c r="N78" s="33">
        <f t="shared" si="1"/>
        <v>9.6080290300434801E-2</v>
      </c>
    </row>
    <row r="79" spans="1:14" ht="15.75" customHeight="1">
      <c r="A79" s="19" t="s">
        <v>113</v>
      </c>
      <c r="B79" s="20" t="s">
        <v>23</v>
      </c>
      <c r="C79" s="21">
        <v>45678</v>
      </c>
      <c r="D79" s="20" t="s">
        <v>24</v>
      </c>
      <c r="E79" s="20" t="s">
        <v>16</v>
      </c>
      <c r="F79" s="22">
        <v>2494</v>
      </c>
      <c r="G79" s="22">
        <v>494</v>
      </c>
      <c r="H79" s="22">
        <v>55</v>
      </c>
      <c r="I79" s="22">
        <v>22580</v>
      </c>
      <c r="J79" s="22">
        <v>22214</v>
      </c>
      <c r="K79" s="22">
        <v>109</v>
      </c>
      <c r="L79" s="19" t="s">
        <v>354</v>
      </c>
      <c r="M79" s="20" t="s">
        <v>17</v>
      </c>
      <c r="N79" s="33">
        <f t="shared" si="1"/>
        <v>0.13476527900797167</v>
      </c>
    </row>
    <row r="80" spans="1:14" ht="15.75" customHeight="1">
      <c r="A80" s="19" t="s">
        <v>114</v>
      </c>
      <c r="B80" s="20" t="s">
        <v>29</v>
      </c>
      <c r="C80" s="21">
        <v>45304</v>
      </c>
      <c r="D80" s="20" t="s">
        <v>53</v>
      </c>
      <c r="E80" s="20" t="s">
        <v>25</v>
      </c>
      <c r="F80" s="22">
        <v>4781</v>
      </c>
      <c r="G80" s="22">
        <v>191</v>
      </c>
      <c r="H80" s="22">
        <v>122</v>
      </c>
      <c r="I80" s="22">
        <v>35535</v>
      </c>
      <c r="J80" s="22">
        <v>50777</v>
      </c>
      <c r="K80" s="22">
        <v>128</v>
      </c>
      <c r="L80" s="19" t="s">
        <v>357</v>
      </c>
      <c r="M80" s="20" t="s">
        <v>54</v>
      </c>
      <c r="N80" s="33">
        <f t="shared" si="1"/>
        <v>0.14335162515829464</v>
      </c>
    </row>
    <row r="81" spans="1:14" ht="15.75" customHeight="1">
      <c r="A81" s="19" t="s">
        <v>115</v>
      </c>
      <c r="B81" s="20" t="s">
        <v>14</v>
      </c>
      <c r="C81" s="21">
        <v>45825</v>
      </c>
      <c r="D81" s="20" t="s">
        <v>15</v>
      </c>
      <c r="E81" s="20" t="s">
        <v>30</v>
      </c>
      <c r="F81" s="22">
        <v>2284</v>
      </c>
      <c r="G81" s="22">
        <v>187</v>
      </c>
      <c r="H81" s="22">
        <v>260</v>
      </c>
      <c r="I81" s="22">
        <v>37400</v>
      </c>
      <c r="J81" s="22">
        <v>65014</v>
      </c>
      <c r="K81" s="22">
        <v>157</v>
      </c>
      <c r="L81" s="19" t="s">
        <v>353</v>
      </c>
      <c r="M81" s="20" t="s">
        <v>17</v>
      </c>
      <c r="N81" s="33">
        <f t="shared" si="1"/>
        <v>7.3021390374331557E-2</v>
      </c>
    </row>
    <row r="82" spans="1:14" ht="15.75" customHeight="1">
      <c r="A82" s="19" t="s">
        <v>116</v>
      </c>
      <c r="B82" s="20" t="s">
        <v>23</v>
      </c>
      <c r="C82" s="21">
        <v>45723</v>
      </c>
      <c r="D82" s="20" t="s">
        <v>15</v>
      </c>
      <c r="E82" s="20" t="s">
        <v>34</v>
      </c>
      <c r="F82" s="22">
        <v>4234</v>
      </c>
      <c r="G82" s="22">
        <v>486</v>
      </c>
      <c r="H82" s="22">
        <v>276</v>
      </c>
      <c r="I82" s="22">
        <v>56623</v>
      </c>
      <c r="J82" s="22">
        <v>41343</v>
      </c>
      <c r="K82" s="22">
        <v>184</v>
      </c>
      <c r="L82" s="19" t="s">
        <v>41</v>
      </c>
      <c r="M82" s="20" t="s">
        <v>21</v>
      </c>
      <c r="N82" s="33">
        <f t="shared" si="1"/>
        <v>8.8232696960599044E-2</v>
      </c>
    </row>
    <row r="83" spans="1:14" ht="15.75" customHeight="1">
      <c r="A83" s="19" t="s">
        <v>117</v>
      </c>
      <c r="B83" s="20" t="s">
        <v>14</v>
      </c>
      <c r="C83" s="21">
        <v>45530</v>
      </c>
      <c r="D83" s="20" t="s">
        <v>15</v>
      </c>
      <c r="E83" s="20" t="s">
        <v>47</v>
      </c>
      <c r="F83" s="22">
        <v>2102</v>
      </c>
      <c r="G83" s="22">
        <v>181</v>
      </c>
      <c r="H83" s="22">
        <v>306</v>
      </c>
      <c r="I83" s="22">
        <v>43650</v>
      </c>
      <c r="J83" s="22">
        <v>50079</v>
      </c>
      <c r="K83" s="22">
        <v>182</v>
      </c>
      <c r="L83" s="19" t="s">
        <v>20</v>
      </c>
      <c r="M83" s="20" t="s">
        <v>21</v>
      </c>
      <c r="N83" s="33">
        <f t="shared" si="1"/>
        <v>5.9312714776632303E-2</v>
      </c>
    </row>
    <row r="84" spans="1:14" ht="15.75" customHeight="1">
      <c r="A84" s="19" t="s">
        <v>118</v>
      </c>
      <c r="B84" s="20" t="s">
        <v>23</v>
      </c>
      <c r="C84" s="21">
        <v>45660</v>
      </c>
      <c r="D84" s="20" t="s">
        <v>24</v>
      </c>
      <c r="E84" s="20" t="s">
        <v>34</v>
      </c>
      <c r="F84" s="22">
        <v>4845</v>
      </c>
      <c r="G84" s="22">
        <v>158</v>
      </c>
      <c r="H84" s="22">
        <v>84</v>
      </c>
      <c r="I84" s="22">
        <v>34578</v>
      </c>
      <c r="J84" s="22">
        <v>51480</v>
      </c>
      <c r="K84" s="22">
        <v>180</v>
      </c>
      <c r="L84" s="19" t="s">
        <v>353</v>
      </c>
      <c r="M84" s="20" t="s">
        <v>17</v>
      </c>
      <c r="N84" s="33">
        <f t="shared" si="1"/>
        <v>0.1471166637746544</v>
      </c>
    </row>
    <row r="85" spans="1:14" ht="15.75" customHeight="1">
      <c r="A85" s="19" t="s">
        <v>119</v>
      </c>
      <c r="B85" s="20" t="s">
        <v>23</v>
      </c>
      <c r="C85" s="21">
        <v>45507</v>
      </c>
      <c r="D85" s="20" t="s">
        <v>15</v>
      </c>
      <c r="E85" s="20" t="s">
        <v>47</v>
      </c>
      <c r="F85" s="22">
        <v>4247</v>
      </c>
      <c r="G85" s="22">
        <v>390</v>
      </c>
      <c r="H85" s="22">
        <v>213</v>
      </c>
      <c r="I85" s="22">
        <v>29785</v>
      </c>
      <c r="J85" s="22">
        <v>57768</v>
      </c>
      <c r="K85" s="22">
        <v>122</v>
      </c>
      <c r="L85" s="19" t="s">
        <v>38</v>
      </c>
      <c r="M85" s="20" t="s">
        <v>17</v>
      </c>
      <c r="N85" s="33">
        <f t="shared" si="1"/>
        <v>0.16283364109451065</v>
      </c>
    </row>
    <row r="86" spans="1:14" ht="15.75" customHeight="1">
      <c r="A86" s="19" t="s">
        <v>120</v>
      </c>
      <c r="B86" s="20" t="s">
        <v>14</v>
      </c>
      <c r="C86" s="21">
        <v>45522</v>
      </c>
      <c r="D86" s="20" t="s">
        <v>15</v>
      </c>
      <c r="E86" s="20" t="s">
        <v>19</v>
      </c>
      <c r="F86" s="22">
        <v>2965</v>
      </c>
      <c r="G86" s="22">
        <v>328</v>
      </c>
      <c r="H86" s="22">
        <v>171</v>
      </c>
      <c r="I86" s="22">
        <v>57685</v>
      </c>
      <c r="J86" s="22">
        <v>67536</v>
      </c>
      <c r="K86" s="22">
        <v>264</v>
      </c>
      <c r="L86" s="19" t="s">
        <v>353</v>
      </c>
      <c r="M86" s="20" t="s">
        <v>17</v>
      </c>
      <c r="N86" s="33">
        <f t="shared" si="1"/>
        <v>6.0050273034584378E-2</v>
      </c>
    </row>
    <row r="87" spans="1:14" ht="15.75" customHeight="1">
      <c r="A87" s="19" t="s">
        <v>121</v>
      </c>
      <c r="B87" s="20" t="s">
        <v>23</v>
      </c>
      <c r="C87" s="21">
        <v>45791</v>
      </c>
      <c r="D87" s="20" t="s">
        <v>24</v>
      </c>
      <c r="E87" s="20" t="s">
        <v>27</v>
      </c>
      <c r="F87" s="22">
        <v>1371</v>
      </c>
      <c r="G87" s="22">
        <v>139</v>
      </c>
      <c r="H87" s="22">
        <v>96</v>
      </c>
      <c r="I87" s="22">
        <v>36140</v>
      </c>
      <c r="J87" s="22">
        <v>39395</v>
      </c>
      <c r="K87" s="22">
        <v>169</v>
      </c>
      <c r="L87" s="19" t="s">
        <v>353</v>
      </c>
      <c r="M87" s="20" t="s">
        <v>17</v>
      </c>
      <c r="N87" s="33">
        <f t="shared" si="1"/>
        <v>4.4438295517432211E-2</v>
      </c>
    </row>
    <row r="88" spans="1:14" ht="15.75" customHeight="1">
      <c r="A88" s="19" t="s">
        <v>122</v>
      </c>
      <c r="B88" s="20" t="s">
        <v>23</v>
      </c>
      <c r="C88" s="21">
        <v>45405</v>
      </c>
      <c r="D88" s="20" t="s">
        <v>24</v>
      </c>
      <c r="E88" s="20" t="s">
        <v>16</v>
      </c>
      <c r="F88" s="22">
        <v>2683</v>
      </c>
      <c r="G88" s="22">
        <v>496</v>
      </c>
      <c r="H88" s="22">
        <v>89</v>
      </c>
      <c r="I88" s="22">
        <v>53435</v>
      </c>
      <c r="J88" s="22">
        <v>30334</v>
      </c>
      <c r="K88" s="22">
        <v>160</v>
      </c>
      <c r="L88" s="19" t="s">
        <v>353</v>
      </c>
      <c r="M88" s="20" t="s">
        <v>17</v>
      </c>
      <c r="N88" s="33">
        <f t="shared" si="1"/>
        <v>6.1158416768035934E-2</v>
      </c>
    </row>
    <row r="89" spans="1:14" ht="15.75" customHeight="1">
      <c r="A89" s="19" t="s">
        <v>123</v>
      </c>
      <c r="B89" s="20" t="s">
        <v>23</v>
      </c>
      <c r="C89" s="21">
        <v>45705</v>
      </c>
      <c r="D89" s="20" t="s">
        <v>24</v>
      </c>
      <c r="E89" s="20" t="s">
        <v>32</v>
      </c>
      <c r="F89" s="22">
        <v>4796</v>
      </c>
      <c r="G89" s="22">
        <v>427</v>
      </c>
      <c r="H89" s="22">
        <v>339</v>
      </c>
      <c r="I89" s="22">
        <v>30752</v>
      </c>
      <c r="J89" s="22">
        <v>33870</v>
      </c>
      <c r="K89" s="22">
        <v>298</v>
      </c>
      <c r="L89" s="19" t="s">
        <v>353</v>
      </c>
      <c r="M89" s="20" t="s">
        <v>17</v>
      </c>
      <c r="N89" s="33">
        <f t="shared" si="1"/>
        <v>0.18086628511966701</v>
      </c>
    </row>
    <row r="90" spans="1:14" ht="15.75" customHeight="1">
      <c r="A90" s="19" t="s">
        <v>124</v>
      </c>
      <c r="B90" s="20" t="s">
        <v>14</v>
      </c>
      <c r="C90" s="21">
        <v>45630</v>
      </c>
      <c r="D90" s="20" t="s">
        <v>15</v>
      </c>
      <c r="E90" s="20" t="s">
        <v>27</v>
      </c>
      <c r="F90" s="22">
        <v>2601</v>
      </c>
      <c r="G90" s="22">
        <v>336</v>
      </c>
      <c r="H90" s="22">
        <v>260</v>
      </c>
      <c r="I90" s="22">
        <v>32368</v>
      </c>
      <c r="J90" s="22">
        <v>49028</v>
      </c>
      <c r="K90" s="22">
        <v>120</v>
      </c>
      <c r="L90" s="19" t="s">
        <v>353</v>
      </c>
      <c r="M90" s="20" t="s">
        <v>17</v>
      </c>
      <c r="N90" s="33">
        <f t="shared" si="1"/>
        <v>9.8770390509144837E-2</v>
      </c>
    </row>
    <row r="91" spans="1:14" ht="15.75" customHeight="1">
      <c r="A91" s="19" t="s">
        <v>125</v>
      </c>
      <c r="B91" s="20" t="s">
        <v>23</v>
      </c>
      <c r="C91" s="21">
        <v>45495</v>
      </c>
      <c r="D91" s="20" t="s">
        <v>24</v>
      </c>
      <c r="E91" s="20" t="s">
        <v>27</v>
      </c>
      <c r="F91" s="22">
        <v>3336</v>
      </c>
      <c r="G91" s="22">
        <v>229</v>
      </c>
      <c r="H91" s="22">
        <v>337</v>
      </c>
      <c r="I91" s="22">
        <v>22117</v>
      </c>
      <c r="J91" s="22">
        <v>26205</v>
      </c>
      <c r="K91" s="22">
        <v>160</v>
      </c>
      <c r="L91" s="19" t="s">
        <v>354</v>
      </c>
      <c r="M91" s="20" t="s">
        <v>17</v>
      </c>
      <c r="N91" s="33">
        <f t="shared" si="1"/>
        <v>0.17642537414658407</v>
      </c>
    </row>
    <row r="92" spans="1:14" ht="15.75" customHeight="1">
      <c r="A92" s="19" t="s">
        <v>126</v>
      </c>
      <c r="B92" s="20" t="s">
        <v>23</v>
      </c>
      <c r="C92" s="21">
        <v>45774</v>
      </c>
      <c r="D92" s="20" t="s">
        <v>15</v>
      </c>
      <c r="E92" s="20" t="s">
        <v>19</v>
      </c>
      <c r="F92" s="22">
        <v>1165</v>
      </c>
      <c r="G92" s="22">
        <v>294</v>
      </c>
      <c r="H92" s="22">
        <v>163</v>
      </c>
      <c r="I92" s="22">
        <v>20659</v>
      </c>
      <c r="J92" s="22">
        <v>45926</v>
      </c>
      <c r="K92" s="22">
        <v>111</v>
      </c>
      <c r="L92" s="19" t="s">
        <v>41</v>
      </c>
      <c r="M92" s="20" t="s">
        <v>21</v>
      </c>
      <c r="N92" s="33">
        <f t="shared" si="1"/>
        <v>7.8512996756861422E-2</v>
      </c>
    </row>
    <row r="93" spans="1:14" ht="15.75" customHeight="1">
      <c r="A93" s="19" t="s">
        <v>127</v>
      </c>
      <c r="B93" s="20" t="s">
        <v>29</v>
      </c>
      <c r="C93" s="21">
        <v>45376</v>
      </c>
      <c r="D93" s="20" t="s">
        <v>53</v>
      </c>
      <c r="E93" s="20" t="s">
        <v>19</v>
      </c>
      <c r="F93" s="22">
        <v>1948</v>
      </c>
      <c r="G93" s="22">
        <v>155</v>
      </c>
      <c r="H93" s="22">
        <v>315</v>
      </c>
      <c r="I93" s="22">
        <v>30321</v>
      </c>
      <c r="J93" s="22">
        <v>57121</v>
      </c>
      <c r="K93" s="22">
        <v>82</v>
      </c>
      <c r="L93" s="19" t="s">
        <v>357</v>
      </c>
      <c r="M93" s="20" t="s">
        <v>54</v>
      </c>
      <c r="N93" s="33">
        <f t="shared" si="1"/>
        <v>7.974671020085089E-2</v>
      </c>
    </row>
    <row r="94" spans="1:14" ht="15.75" customHeight="1">
      <c r="A94" s="19" t="s">
        <v>128</v>
      </c>
      <c r="B94" s="20" t="s">
        <v>14</v>
      </c>
      <c r="C94" s="21">
        <v>45351</v>
      </c>
      <c r="D94" s="20" t="s">
        <v>15</v>
      </c>
      <c r="E94" s="20" t="s">
        <v>45</v>
      </c>
      <c r="F94" s="22">
        <v>1100</v>
      </c>
      <c r="G94" s="22">
        <v>229</v>
      </c>
      <c r="H94" s="22">
        <v>312</v>
      </c>
      <c r="I94" s="22">
        <v>25641</v>
      </c>
      <c r="J94" s="22">
        <v>34601</v>
      </c>
      <c r="K94" s="22">
        <v>169</v>
      </c>
      <c r="L94" s="19" t="s">
        <v>20</v>
      </c>
      <c r="M94" s="20" t="s">
        <v>21</v>
      </c>
      <c r="N94" s="33">
        <f t="shared" si="1"/>
        <v>6.3999063999063993E-2</v>
      </c>
    </row>
    <row r="95" spans="1:14" ht="15.75" customHeight="1">
      <c r="A95" s="19" t="s">
        <v>129</v>
      </c>
      <c r="B95" s="20" t="s">
        <v>23</v>
      </c>
      <c r="C95" s="21">
        <v>45609</v>
      </c>
      <c r="D95" s="20" t="s">
        <v>24</v>
      </c>
      <c r="E95" s="20" t="s">
        <v>37</v>
      </c>
      <c r="F95" s="22">
        <v>4628</v>
      </c>
      <c r="G95" s="22">
        <v>257</v>
      </c>
      <c r="H95" s="22">
        <v>397</v>
      </c>
      <c r="I95" s="22">
        <v>36686</v>
      </c>
      <c r="J95" s="22">
        <v>54683</v>
      </c>
      <c r="K95" s="22">
        <v>98</v>
      </c>
      <c r="L95" s="19" t="s">
        <v>353</v>
      </c>
      <c r="M95" s="20" t="s">
        <v>17</v>
      </c>
      <c r="N95" s="33">
        <f t="shared" si="1"/>
        <v>0.1439786294499264</v>
      </c>
    </row>
    <row r="96" spans="1:14" ht="15.75" customHeight="1">
      <c r="A96" s="19" t="s">
        <v>130</v>
      </c>
      <c r="B96" s="20" t="s">
        <v>14</v>
      </c>
      <c r="C96" s="21">
        <v>45373</v>
      </c>
      <c r="D96" s="20" t="s">
        <v>24</v>
      </c>
      <c r="E96" s="20" t="s">
        <v>16</v>
      </c>
      <c r="F96" s="22">
        <v>2319</v>
      </c>
      <c r="G96" s="22">
        <v>484</v>
      </c>
      <c r="H96" s="22">
        <v>193</v>
      </c>
      <c r="I96" s="22">
        <v>21202</v>
      </c>
      <c r="J96" s="22">
        <v>18091</v>
      </c>
      <c r="K96" s="22">
        <v>241</v>
      </c>
      <c r="L96" s="19" t="s">
        <v>38</v>
      </c>
      <c r="M96" s="20" t="s">
        <v>51</v>
      </c>
      <c r="N96" s="33">
        <f t="shared" si="1"/>
        <v>0.14130742382794076</v>
      </c>
    </row>
    <row r="97" spans="1:14" ht="15.75" customHeight="1">
      <c r="A97" s="19" t="s">
        <v>131</v>
      </c>
      <c r="B97" s="20" t="s">
        <v>23</v>
      </c>
      <c r="C97" s="21">
        <v>45367</v>
      </c>
      <c r="D97" s="20" t="s">
        <v>24</v>
      </c>
      <c r="E97" s="20" t="s">
        <v>27</v>
      </c>
      <c r="F97" s="22">
        <v>2895</v>
      </c>
      <c r="G97" s="22">
        <v>292</v>
      </c>
      <c r="H97" s="22">
        <v>90</v>
      </c>
      <c r="I97" s="22">
        <v>24223</v>
      </c>
      <c r="J97" s="22">
        <v>54626</v>
      </c>
      <c r="K97" s="22">
        <v>114</v>
      </c>
      <c r="L97" s="19" t="s">
        <v>353</v>
      </c>
      <c r="M97" s="20" t="s">
        <v>17</v>
      </c>
      <c r="N97" s="33">
        <f t="shared" si="1"/>
        <v>0.13528464682326713</v>
      </c>
    </row>
    <row r="98" spans="1:14" ht="15.75" customHeight="1">
      <c r="A98" s="19" t="s">
        <v>132</v>
      </c>
      <c r="B98" s="20" t="s">
        <v>14</v>
      </c>
      <c r="C98" s="21">
        <v>45317</v>
      </c>
      <c r="D98" s="20" t="s">
        <v>15</v>
      </c>
      <c r="E98" s="20" t="s">
        <v>32</v>
      </c>
      <c r="F98" s="22">
        <v>3878</v>
      </c>
      <c r="G98" s="22">
        <v>431</v>
      </c>
      <c r="H98" s="22">
        <v>97</v>
      </c>
      <c r="I98" s="22">
        <v>41763</v>
      </c>
      <c r="J98" s="22">
        <v>29729</v>
      </c>
      <c r="K98" s="22">
        <v>191</v>
      </c>
      <c r="L98" s="19" t="s">
        <v>20</v>
      </c>
      <c r="M98" s="20" t="s">
        <v>21</v>
      </c>
      <c r="N98" s="33">
        <f t="shared" si="1"/>
        <v>0.10550008380623997</v>
      </c>
    </row>
    <row r="99" spans="1:14" ht="15.75" customHeight="1">
      <c r="A99" s="19" t="s">
        <v>133</v>
      </c>
      <c r="B99" s="20" t="s">
        <v>23</v>
      </c>
      <c r="C99" s="21">
        <v>45366</v>
      </c>
      <c r="D99" s="20" t="s">
        <v>24</v>
      </c>
      <c r="E99" s="20" t="s">
        <v>34</v>
      </c>
      <c r="F99" s="22">
        <v>4969</v>
      </c>
      <c r="G99" s="22">
        <v>433</v>
      </c>
      <c r="H99" s="22">
        <v>237</v>
      </c>
      <c r="I99" s="22">
        <v>59552</v>
      </c>
      <c r="J99" s="22">
        <v>23885</v>
      </c>
      <c r="K99" s="22">
        <v>157</v>
      </c>
      <c r="L99" s="19" t="s">
        <v>356</v>
      </c>
      <c r="M99" s="20" t="s">
        <v>17</v>
      </c>
      <c r="N99" s="33">
        <f t="shared" si="1"/>
        <v>9.4690354648038683E-2</v>
      </c>
    </row>
    <row r="100" spans="1:14" ht="15.75" customHeight="1">
      <c r="A100" s="19" t="s">
        <v>134</v>
      </c>
      <c r="B100" s="20" t="s">
        <v>23</v>
      </c>
      <c r="C100" s="21">
        <v>45580</v>
      </c>
      <c r="D100" s="20" t="s">
        <v>15</v>
      </c>
      <c r="E100" s="20" t="s">
        <v>27</v>
      </c>
      <c r="F100" s="22">
        <v>1984</v>
      </c>
      <c r="G100" s="22">
        <v>481</v>
      </c>
      <c r="H100" s="22">
        <v>356</v>
      </c>
      <c r="I100" s="22">
        <v>40681</v>
      </c>
      <c r="J100" s="22">
        <v>63111</v>
      </c>
      <c r="K100" s="22">
        <v>258</v>
      </c>
      <c r="L100" s="19" t="s">
        <v>38</v>
      </c>
      <c r="M100" s="20" t="s">
        <v>17</v>
      </c>
      <c r="N100" s="33">
        <f t="shared" si="1"/>
        <v>6.934441139598338E-2</v>
      </c>
    </row>
    <row r="101" spans="1:14" ht="15.75" customHeight="1">
      <c r="A101" s="19" t="s">
        <v>135</v>
      </c>
      <c r="B101" s="20" t="s">
        <v>14</v>
      </c>
      <c r="C101" s="21">
        <v>45494</v>
      </c>
      <c r="D101" s="20" t="s">
        <v>15</v>
      </c>
      <c r="E101" s="20" t="s">
        <v>16</v>
      </c>
      <c r="F101" s="22">
        <v>3004</v>
      </c>
      <c r="G101" s="22">
        <v>415</v>
      </c>
      <c r="H101" s="22">
        <v>218</v>
      </c>
      <c r="I101" s="22">
        <v>36090</v>
      </c>
      <c r="J101" s="22">
        <v>37073</v>
      </c>
      <c r="K101" s="22">
        <v>181</v>
      </c>
      <c r="L101" s="19" t="s">
        <v>20</v>
      </c>
      <c r="M101" s="20" t="s">
        <v>21</v>
      </c>
      <c r="N101" s="33">
        <f t="shared" si="1"/>
        <v>0.10077583818232197</v>
      </c>
    </row>
    <row r="102" spans="1:14" ht="15.75" customHeight="1">
      <c r="A102" s="19" t="s">
        <v>136</v>
      </c>
      <c r="B102" s="20" t="s">
        <v>23</v>
      </c>
      <c r="C102" s="21">
        <v>45577</v>
      </c>
      <c r="D102" s="20" t="s">
        <v>15</v>
      </c>
      <c r="E102" s="20" t="s">
        <v>34</v>
      </c>
      <c r="F102" s="22">
        <v>3169</v>
      </c>
      <c r="G102" s="22">
        <v>386</v>
      </c>
      <c r="H102" s="22">
        <v>175</v>
      </c>
      <c r="I102" s="22">
        <v>45012</v>
      </c>
      <c r="J102" s="22">
        <v>38508</v>
      </c>
      <c r="K102" s="22">
        <v>218</v>
      </c>
      <c r="L102" s="19" t="s">
        <v>38</v>
      </c>
      <c r="M102" s="20" t="s">
        <v>17</v>
      </c>
      <c r="N102" s="33">
        <f t="shared" si="1"/>
        <v>8.2866791077934779E-2</v>
      </c>
    </row>
    <row r="103" spans="1:14" ht="15.75" customHeight="1">
      <c r="A103" s="19" t="s">
        <v>137</v>
      </c>
      <c r="B103" s="20" t="s">
        <v>23</v>
      </c>
      <c r="C103" s="21">
        <v>45591</v>
      </c>
      <c r="D103" s="20" t="s">
        <v>15</v>
      </c>
      <c r="E103" s="20" t="s">
        <v>16</v>
      </c>
      <c r="F103" s="22">
        <v>3036</v>
      </c>
      <c r="G103" s="22">
        <v>293</v>
      </c>
      <c r="H103" s="22">
        <v>115</v>
      </c>
      <c r="I103" s="22">
        <v>23776</v>
      </c>
      <c r="J103" s="22">
        <v>46386</v>
      </c>
      <c r="K103" s="22">
        <v>282</v>
      </c>
      <c r="L103" s="19" t="s">
        <v>38</v>
      </c>
      <c r="M103" s="20" t="s">
        <v>17</v>
      </c>
      <c r="N103" s="33">
        <f t="shared" si="1"/>
        <v>0.14485195154777927</v>
      </c>
    </row>
    <row r="104" spans="1:14" ht="15.75" customHeight="1">
      <c r="A104" s="19" t="s">
        <v>138</v>
      </c>
      <c r="B104" s="20" t="s">
        <v>14</v>
      </c>
      <c r="C104" s="21">
        <v>45336</v>
      </c>
      <c r="D104" s="20" t="s">
        <v>15</v>
      </c>
      <c r="E104" s="20" t="s">
        <v>30</v>
      </c>
      <c r="F104" s="22">
        <v>1830</v>
      </c>
      <c r="G104" s="22">
        <v>112</v>
      </c>
      <c r="H104" s="22">
        <v>181</v>
      </c>
      <c r="I104" s="22">
        <v>31870</v>
      </c>
      <c r="J104" s="22">
        <v>55742</v>
      </c>
      <c r="K104" s="22">
        <v>263</v>
      </c>
      <c r="L104" s="19" t="s">
        <v>353</v>
      </c>
      <c r="M104" s="20" t="s">
        <v>17</v>
      </c>
      <c r="N104" s="33">
        <f t="shared" si="1"/>
        <v>6.6614370881706936E-2</v>
      </c>
    </row>
    <row r="105" spans="1:14" ht="15.75" customHeight="1">
      <c r="A105" s="19" t="s">
        <v>139</v>
      </c>
      <c r="B105" s="20" t="s">
        <v>23</v>
      </c>
      <c r="C105" s="21">
        <v>45413</v>
      </c>
      <c r="D105" s="20" t="s">
        <v>24</v>
      </c>
      <c r="E105" s="20" t="s">
        <v>32</v>
      </c>
      <c r="F105" s="22">
        <v>2587</v>
      </c>
      <c r="G105" s="22">
        <v>447</v>
      </c>
      <c r="H105" s="22">
        <v>183</v>
      </c>
      <c r="I105" s="22">
        <v>36266</v>
      </c>
      <c r="J105" s="22">
        <v>32877</v>
      </c>
      <c r="K105" s="22">
        <v>132</v>
      </c>
      <c r="L105" s="19" t="s">
        <v>356</v>
      </c>
      <c r="M105" s="20" t="s">
        <v>17</v>
      </c>
      <c r="N105" s="33">
        <f t="shared" si="1"/>
        <v>8.8705674736667947E-2</v>
      </c>
    </row>
    <row r="106" spans="1:14" ht="15.75" customHeight="1">
      <c r="A106" s="19" t="s">
        <v>140</v>
      </c>
      <c r="B106" s="20" t="s">
        <v>23</v>
      </c>
      <c r="C106" s="21">
        <v>45553</v>
      </c>
      <c r="D106" s="20" t="s">
        <v>15</v>
      </c>
      <c r="E106" s="20" t="s">
        <v>16</v>
      </c>
      <c r="F106" s="22">
        <v>2878</v>
      </c>
      <c r="G106" s="22">
        <v>265</v>
      </c>
      <c r="H106" s="22">
        <v>91</v>
      </c>
      <c r="I106" s="22">
        <v>52090</v>
      </c>
      <c r="J106" s="22">
        <v>28924</v>
      </c>
      <c r="K106" s="22">
        <v>133</v>
      </c>
      <c r="L106" s="19" t="s">
        <v>38</v>
      </c>
      <c r="M106" s="20" t="s">
        <v>17</v>
      </c>
      <c r="N106" s="33">
        <f t="shared" si="1"/>
        <v>6.2084853138798232E-2</v>
      </c>
    </row>
    <row r="107" spans="1:14" ht="15.75" customHeight="1">
      <c r="A107" s="19" t="s">
        <v>141</v>
      </c>
      <c r="B107" s="20" t="s">
        <v>23</v>
      </c>
      <c r="C107" s="21">
        <v>45677</v>
      </c>
      <c r="D107" s="20" t="s">
        <v>24</v>
      </c>
      <c r="E107" s="20" t="s">
        <v>25</v>
      </c>
      <c r="F107" s="22">
        <v>4619</v>
      </c>
      <c r="G107" s="22">
        <v>272</v>
      </c>
      <c r="H107" s="22">
        <v>57</v>
      </c>
      <c r="I107" s="22">
        <v>21334</v>
      </c>
      <c r="J107" s="22">
        <v>46292</v>
      </c>
      <c r="K107" s="22">
        <v>91</v>
      </c>
      <c r="L107" s="19" t="s">
        <v>353</v>
      </c>
      <c r="M107" s="20" t="s">
        <v>17</v>
      </c>
      <c r="N107" s="33">
        <f t="shared" si="1"/>
        <v>0.23193025217961938</v>
      </c>
    </row>
    <row r="108" spans="1:14" ht="15.75" customHeight="1">
      <c r="A108" s="19" t="s">
        <v>142</v>
      </c>
      <c r="B108" s="20" t="s">
        <v>23</v>
      </c>
      <c r="C108" s="21">
        <v>45670</v>
      </c>
      <c r="D108" s="20" t="s">
        <v>15</v>
      </c>
      <c r="E108" s="20" t="s">
        <v>30</v>
      </c>
      <c r="F108" s="22">
        <v>4090</v>
      </c>
      <c r="G108" s="22">
        <v>209</v>
      </c>
      <c r="H108" s="22">
        <v>278</v>
      </c>
      <c r="I108" s="22">
        <v>52853</v>
      </c>
      <c r="J108" s="22">
        <v>57084</v>
      </c>
      <c r="K108" s="22">
        <v>102</v>
      </c>
      <c r="L108" s="19" t="s">
        <v>41</v>
      </c>
      <c r="M108" s="20" t="s">
        <v>21</v>
      </c>
      <c r="N108" s="33">
        <f t="shared" si="1"/>
        <v>8.6598679355949518E-2</v>
      </c>
    </row>
    <row r="109" spans="1:14" ht="15.75" customHeight="1">
      <c r="A109" s="19" t="s">
        <v>143</v>
      </c>
      <c r="B109" s="20" t="s">
        <v>29</v>
      </c>
      <c r="C109" s="21">
        <v>45542</v>
      </c>
      <c r="D109" s="20" t="s">
        <v>53</v>
      </c>
      <c r="E109" s="20" t="s">
        <v>30</v>
      </c>
      <c r="F109" s="22">
        <v>3882</v>
      </c>
      <c r="G109" s="22">
        <v>342</v>
      </c>
      <c r="H109" s="22">
        <v>374</v>
      </c>
      <c r="I109" s="22">
        <v>41991</v>
      </c>
      <c r="J109" s="22">
        <v>48554</v>
      </c>
      <c r="K109" s="22">
        <v>118</v>
      </c>
      <c r="L109" s="19" t="s">
        <v>357</v>
      </c>
      <c r="M109" s="20" t="s">
        <v>54</v>
      </c>
      <c r="N109" s="33">
        <f t="shared" si="1"/>
        <v>0.10949965468790931</v>
      </c>
    </row>
    <row r="110" spans="1:14" ht="15.75" customHeight="1">
      <c r="A110" s="19" t="s">
        <v>144</v>
      </c>
      <c r="B110" s="20" t="s">
        <v>14</v>
      </c>
      <c r="C110" s="21">
        <v>45617</v>
      </c>
      <c r="D110" s="20" t="s">
        <v>15</v>
      </c>
      <c r="E110" s="20" t="s">
        <v>30</v>
      </c>
      <c r="F110" s="22">
        <v>4581</v>
      </c>
      <c r="G110" s="22">
        <v>181</v>
      </c>
      <c r="H110" s="22">
        <v>112</v>
      </c>
      <c r="I110" s="22">
        <v>35221</v>
      </c>
      <c r="J110" s="22">
        <v>28797</v>
      </c>
      <c r="K110" s="22">
        <v>164</v>
      </c>
      <c r="L110" s="19" t="s">
        <v>353</v>
      </c>
      <c r="M110" s="20" t="s">
        <v>17</v>
      </c>
      <c r="N110" s="33">
        <f t="shared" si="1"/>
        <v>0.13838335084182732</v>
      </c>
    </row>
    <row r="111" spans="1:14" ht="15.75" customHeight="1">
      <c r="A111" s="19" t="s">
        <v>145</v>
      </c>
      <c r="B111" s="20" t="s">
        <v>14</v>
      </c>
      <c r="C111" s="21">
        <v>45469</v>
      </c>
      <c r="D111" s="20" t="s">
        <v>15</v>
      </c>
      <c r="E111" s="20" t="s">
        <v>25</v>
      </c>
      <c r="F111" s="22">
        <v>3253</v>
      </c>
      <c r="G111" s="22">
        <v>483</v>
      </c>
      <c r="H111" s="22">
        <v>336</v>
      </c>
      <c r="I111" s="22">
        <v>25397</v>
      </c>
      <c r="J111" s="22">
        <v>51485</v>
      </c>
      <c r="K111" s="22">
        <v>131</v>
      </c>
      <c r="L111" s="19" t="s">
        <v>20</v>
      </c>
      <c r="M111" s="20" t="s">
        <v>21</v>
      </c>
      <c r="N111" s="33">
        <f t="shared" si="1"/>
        <v>0.16033389770445328</v>
      </c>
    </row>
    <row r="112" spans="1:14" ht="15.75" customHeight="1">
      <c r="A112" s="19" t="s">
        <v>146</v>
      </c>
      <c r="B112" s="20" t="s">
        <v>29</v>
      </c>
      <c r="C112" s="21">
        <v>45493</v>
      </c>
      <c r="D112" s="20" t="s">
        <v>53</v>
      </c>
      <c r="E112" s="20" t="s">
        <v>30</v>
      </c>
      <c r="F112" s="22">
        <v>4955</v>
      </c>
      <c r="G112" s="22">
        <v>299</v>
      </c>
      <c r="H112" s="22">
        <v>345</v>
      </c>
      <c r="I112" s="22">
        <v>33644</v>
      </c>
      <c r="J112" s="22">
        <v>43547</v>
      </c>
      <c r="K112" s="22">
        <v>194</v>
      </c>
      <c r="L112" s="19" t="s">
        <v>357</v>
      </c>
      <c r="M112" s="20" t="s">
        <v>54</v>
      </c>
      <c r="N112" s="33">
        <f t="shared" si="1"/>
        <v>0.16641897515158721</v>
      </c>
    </row>
    <row r="113" spans="1:14" ht="15.75" customHeight="1">
      <c r="A113" s="19" t="s">
        <v>147</v>
      </c>
      <c r="B113" s="20" t="s">
        <v>14</v>
      </c>
      <c r="C113" s="21">
        <v>45704</v>
      </c>
      <c r="D113" s="20" t="s">
        <v>15</v>
      </c>
      <c r="E113" s="20" t="s">
        <v>47</v>
      </c>
      <c r="F113" s="22">
        <v>1333</v>
      </c>
      <c r="G113" s="22">
        <v>286</v>
      </c>
      <c r="H113" s="22">
        <v>298</v>
      </c>
      <c r="I113" s="22">
        <v>36174</v>
      </c>
      <c r="J113" s="22">
        <v>34517</v>
      </c>
      <c r="K113" s="22">
        <v>170</v>
      </c>
      <c r="L113" s="19" t="s">
        <v>353</v>
      </c>
      <c r="M113" s="20" t="s">
        <v>17</v>
      </c>
      <c r="N113" s="33">
        <f t="shared" si="1"/>
        <v>5.2993862995521647E-2</v>
      </c>
    </row>
    <row r="114" spans="1:14" ht="15.75" customHeight="1">
      <c r="A114" s="19" t="s">
        <v>148</v>
      </c>
      <c r="B114" s="20" t="s">
        <v>14</v>
      </c>
      <c r="C114" s="21">
        <v>45544</v>
      </c>
      <c r="D114" s="20" t="s">
        <v>15</v>
      </c>
      <c r="E114" s="20" t="s">
        <v>25</v>
      </c>
      <c r="F114" s="22">
        <v>1616</v>
      </c>
      <c r="G114" s="22">
        <v>360</v>
      </c>
      <c r="H114" s="22">
        <v>180</v>
      </c>
      <c r="I114" s="22">
        <v>54342</v>
      </c>
      <c r="J114" s="22">
        <v>18796</v>
      </c>
      <c r="K114" s="22">
        <v>282</v>
      </c>
      <c r="L114" s="19" t="s">
        <v>353</v>
      </c>
      <c r="M114" s="20" t="s">
        <v>17</v>
      </c>
      <c r="N114" s="33">
        <f t="shared" si="1"/>
        <v>3.9674653122814763E-2</v>
      </c>
    </row>
    <row r="115" spans="1:14" ht="15.75" customHeight="1">
      <c r="A115" s="19" t="s">
        <v>149</v>
      </c>
      <c r="B115" s="20" t="s">
        <v>23</v>
      </c>
      <c r="C115" s="21">
        <v>45489</v>
      </c>
      <c r="D115" s="20" t="s">
        <v>15</v>
      </c>
      <c r="E115" s="20" t="s">
        <v>37</v>
      </c>
      <c r="F115" s="22">
        <v>1803</v>
      </c>
      <c r="G115" s="22">
        <v>273</v>
      </c>
      <c r="H115" s="22">
        <v>287</v>
      </c>
      <c r="I115" s="22">
        <v>46176</v>
      </c>
      <c r="J115" s="22">
        <v>25488</v>
      </c>
      <c r="K115" s="22">
        <v>141</v>
      </c>
      <c r="L115" s="19" t="s">
        <v>38</v>
      </c>
      <c r="M115" s="20" t="s">
        <v>17</v>
      </c>
      <c r="N115" s="33">
        <f t="shared" si="1"/>
        <v>5.1173769923769923E-2</v>
      </c>
    </row>
    <row r="116" spans="1:14" ht="15.75" customHeight="1">
      <c r="A116" s="19" t="s">
        <v>150</v>
      </c>
      <c r="B116" s="20" t="s">
        <v>14</v>
      </c>
      <c r="C116" s="21">
        <v>45762</v>
      </c>
      <c r="D116" s="20" t="s">
        <v>15</v>
      </c>
      <c r="E116" s="20" t="s">
        <v>19</v>
      </c>
      <c r="F116" s="22">
        <v>4177</v>
      </c>
      <c r="G116" s="22">
        <v>489</v>
      </c>
      <c r="H116" s="22">
        <v>331</v>
      </c>
      <c r="I116" s="22">
        <v>57451</v>
      </c>
      <c r="J116" s="22">
        <v>73793</v>
      </c>
      <c r="K116" s="22">
        <v>251</v>
      </c>
      <c r="L116" s="19" t="s">
        <v>20</v>
      </c>
      <c r="M116" s="20" t="s">
        <v>21</v>
      </c>
      <c r="N116" s="33">
        <f t="shared" si="1"/>
        <v>8.6978468608031198E-2</v>
      </c>
    </row>
    <row r="117" spans="1:14" ht="15.75" customHeight="1">
      <c r="A117" s="19" t="s">
        <v>151</v>
      </c>
      <c r="B117" s="20" t="s">
        <v>14</v>
      </c>
      <c r="C117" s="21">
        <v>45781</v>
      </c>
      <c r="D117" s="20" t="s">
        <v>24</v>
      </c>
      <c r="E117" s="20" t="s">
        <v>25</v>
      </c>
      <c r="F117" s="22">
        <v>1311</v>
      </c>
      <c r="G117" s="22">
        <v>181</v>
      </c>
      <c r="H117" s="22">
        <v>361</v>
      </c>
      <c r="I117" s="22">
        <v>37148</v>
      </c>
      <c r="J117" s="22">
        <v>44875</v>
      </c>
      <c r="K117" s="22">
        <v>245</v>
      </c>
      <c r="L117" s="19" t="s">
        <v>38</v>
      </c>
      <c r="M117" s="20" t="s">
        <v>51</v>
      </c>
      <c r="N117" s="33">
        <f t="shared" si="1"/>
        <v>4.9881554861634543E-2</v>
      </c>
    </row>
    <row r="118" spans="1:14" ht="15.75" customHeight="1">
      <c r="A118" s="19" t="s">
        <v>152</v>
      </c>
      <c r="B118" s="20" t="s">
        <v>14</v>
      </c>
      <c r="C118" s="21">
        <v>45340</v>
      </c>
      <c r="D118" s="20" t="s">
        <v>24</v>
      </c>
      <c r="E118" s="20" t="s">
        <v>45</v>
      </c>
      <c r="F118" s="22">
        <v>1516</v>
      </c>
      <c r="G118" s="22">
        <v>215</v>
      </c>
      <c r="H118" s="22">
        <v>332</v>
      </c>
      <c r="I118" s="22">
        <v>58981</v>
      </c>
      <c r="J118" s="22">
        <v>36118</v>
      </c>
      <c r="K118" s="22">
        <v>211</v>
      </c>
      <c r="L118" s="19" t="s">
        <v>38</v>
      </c>
      <c r="M118" s="20" t="s">
        <v>51</v>
      </c>
      <c r="N118" s="33">
        <f t="shared" si="1"/>
        <v>3.4977365592309385E-2</v>
      </c>
    </row>
    <row r="119" spans="1:14" ht="15.75" customHeight="1">
      <c r="A119" s="19" t="s">
        <v>153</v>
      </c>
      <c r="B119" s="20" t="s">
        <v>23</v>
      </c>
      <c r="C119" s="21">
        <v>45428</v>
      </c>
      <c r="D119" s="20" t="s">
        <v>24</v>
      </c>
      <c r="E119" s="20" t="s">
        <v>30</v>
      </c>
      <c r="F119" s="22">
        <v>2023</v>
      </c>
      <c r="G119" s="22">
        <v>124</v>
      </c>
      <c r="H119" s="22">
        <v>99</v>
      </c>
      <c r="I119" s="22">
        <v>54524</v>
      </c>
      <c r="J119" s="22">
        <v>34790</v>
      </c>
      <c r="K119" s="22">
        <v>195</v>
      </c>
      <c r="L119" s="19" t="s">
        <v>356</v>
      </c>
      <c r="M119" s="20" t="s">
        <v>17</v>
      </c>
      <c r="N119" s="33">
        <f t="shared" si="1"/>
        <v>4.1192869195216787E-2</v>
      </c>
    </row>
    <row r="120" spans="1:14" ht="15.75" customHeight="1">
      <c r="A120" s="19" t="s">
        <v>154</v>
      </c>
      <c r="B120" s="20" t="s">
        <v>23</v>
      </c>
      <c r="C120" s="21">
        <v>45806</v>
      </c>
      <c r="D120" s="20" t="s">
        <v>24</v>
      </c>
      <c r="E120" s="20" t="s">
        <v>30</v>
      </c>
      <c r="F120" s="22">
        <v>2134</v>
      </c>
      <c r="G120" s="22">
        <v>322</v>
      </c>
      <c r="H120" s="22">
        <v>114</v>
      </c>
      <c r="I120" s="22">
        <v>44338</v>
      </c>
      <c r="J120" s="22">
        <v>52165</v>
      </c>
      <c r="K120" s="22">
        <v>176</v>
      </c>
      <c r="L120" s="19" t="s">
        <v>354</v>
      </c>
      <c r="M120" s="20" t="s">
        <v>17</v>
      </c>
      <c r="N120" s="33">
        <f t="shared" si="1"/>
        <v>5.7963823356939871E-2</v>
      </c>
    </row>
    <row r="121" spans="1:14" ht="15.75" customHeight="1">
      <c r="A121" s="19" t="s">
        <v>155</v>
      </c>
      <c r="B121" s="20" t="s">
        <v>14</v>
      </c>
      <c r="C121" s="21">
        <v>45674</v>
      </c>
      <c r="D121" s="20" t="s">
        <v>15</v>
      </c>
      <c r="E121" s="20" t="s">
        <v>37</v>
      </c>
      <c r="F121" s="22">
        <v>2266</v>
      </c>
      <c r="G121" s="22">
        <v>126</v>
      </c>
      <c r="H121" s="22">
        <v>140</v>
      </c>
      <c r="I121" s="22">
        <v>53759</v>
      </c>
      <c r="J121" s="22">
        <v>46834</v>
      </c>
      <c r="K121" s="22">
        <v>277</v>
      </c>
      <c r="L121" s="19" t="s">
        <v>20</v>
      </c>
      <c r="M121" s="20" t="s">
        <v>21</v>
      </c>
      <c r="N121" s="33">
        <f t="shared" si="1"/>
        <v>4.7099090384865788E-2</v>
      </c>
    </row>
    <row r="122" spans="1:14" ht="15.75" customHeight="1">
      <c r="A122" s="19" t="s">
        <v>156</v>
      </c>
      <c r="B122" s="20" t="s">
        <v>14</v>
      </c>
      <c r="C122" s="21">
        <v>45777</v>
      </c>
      <c r="D122" s="20" t="s">
        <v>24</v>
      </c>
      <c r="E122" s="20" t="s">
        <v>25</v>
      </c>
      <c r="F122" s="22">
        <v>3916</v>
      </c>
      <c r="G122" s="22">
        <v>459</v>
      </c>
      <c r="H122" s="22">
        <v>229</v>
      </c>
      <c r="I122" s="22">
        <v>48989</v>
      </c>
      <c r="J122" s="22">
        <v>39768</v>
      </c>
      <c r="K122" s="22">
        <v>200</v>
      </c>
      <c r="L122" s="19" t="s">
        <v>38</v>
      </c>
      <c r="M122" s="20" t="s">
        <v>51</v>
      </c>
      <c r="N122" s="33">
        <f t="shared" si="1"/>
        <v>9.3980281287635997E-2</v>
      </c>
    </row>
    <row r="123" spans="1:14" ht="15.75" customHeight="1">
      <c r="A123" s="19" t="s">
        <v>157</v>
      </c>
      <c r="B123" s="20" t="s">
        <v>23</v>
      </c>
      <c r="C123" s="21">
        <v>45346</v>
      </c>
      <c r="D123" s="20" t="s">
        <v>24</v>
      </c>
      <c r="E123" s="20" t="s">
        <v>30</v>
      </c>
      <c r="F123" s="22">
        <v>1022</v>
      </c>
      <c r="G123" s="22">
        <v>463</v>
      </c>
      <c r="H123" s="22">
        <v>360</v>
      </c>
      <c r="I123" s="22">
        <v>51468</v>
      </c>
      <c r="J123" s="22">
        <v>24279</v>
      </c>
      <c r="K123" s="22">
        <v>230</v>
      </c>
      <c r="L123" s="19" t="s">
        <v>356</v>
      </c>
      <c r="M123" s="20" t="s">
        <v>17</v>
      </c>
      <c r="N123" s="33">
        <f t="shared" si="1"/>
        <v>3.5847516903707161E-2</v>
      </c>
    </row>
    <row r="124" spans="1:14" ht="15.75" customHeight="1">
      <c r="A124" s="19" t="s">
        <v>158</v>
      </c>
      <c r="B124" s="20" t="s">
        <v>29</v>
      </c>
      <c r="C124" s="21">
        <v>45424</v>
      </c>
      <c r="D124" s="20" t="s">
        <v>15</v>
      </c>
      <c r="E124" s="20" t="s">
        <v>45</v>
      </c>
      <c r="F124" s="22">
        <v>2911</v>
      </c>
      <c r="G124" s="22">
        <v>467</v>
      </c>
      <c r="H124" s="22">
        <v>94</v>
      </c>
      <c r="I124" s="22">
        <v>59083</v>
      </c>
      <c r="J124" s="22">
        <v>49762</v>
      </c>
      <c r="K124" s="22">
        <v>236</v>
      </c>
      <c r="L124" s="19" t="s">
        <v>355</v>
      </c>
      <c r="M124" s="20" t="s">
        <v>21</v>
      </c>
      <c r="N124" s="33">
        <f t="shared" si="1"/>
        <v>5.8764788517847777E-2</v>
      </c>
    </row>
    <row r="125" spans="1:14" ht="15.75" customHeight="1">
      <c r="A125" s="19" t="s">
        <v>159</v>
      </c>
      <c r="B125" s="20" t="s">
        <v>23</v>
      </c>
      <c r="C125" s="21">
        <v>45421</v>
      </c>
      <c r="D125" s="20" t="s">
        <v>24</v>
      </c>
      <c r="E125" s="20" t="s">
        <v>25</v>
      </c>
      <c r="F125" s="22">
        <v>3277</v>
      </c>
      <c r="G125" s="22">
        <v>423</v>
      </c>
      <c r="H125" s="22">
        <v>259</v>
      </c>
      <c r="I125" s="22">
        <v>46328</v>
      </c>
      <c r="J125" s="22">
        <v>44293</v>
      </c>
      <c r="K125" s="22">
        <v>299</v>
      </c>
      <c r="L125" s="19" t="s">
        <v>353</v>
      </c>
      <c r="M125" s="20" t="s">
        <v>17</v>
      </c>
      <c r="N125" s="33">
        <f t="shared" si="1"/>
        <v>8.5455879813503707E-2</v>
      </c>
    </row>
    <row r="126" spans="1:14" ht="15.75" customHeight="1">
      <c r="A126" s="19" t="s">
        <v>160</v>
      </c>
      <c r="B126" s="20" t="s">
        <v>23</v>
      </c>
      <c r="C126" s="21">
        <v>45602</v>
      </c>
      <c r="D126" s="20" t="s">
        <v>15</v>
      </c>
      <c r="E126" s="20" t="s">
        <v>45</v>
      </c>
      <c r="F126" s="22">
        <v>2956</v>
      </c>
      <c r="G126" s="22">
        <v>381</v>
      </c>
      <c r="H126" s="22">
        <v>345</v>
      </c>
      <c r="I126" s="22">
        <v>33347</v>
      </c>
      <c r="J126" s="22">
        <v>22558</v>
      </c>
      <c r="K126" s="22">
        <v>173</v>
      </c>
      <c r="L126" s="19" t="s">
        <v>38</v>
      </c>
      <c r="M126" s="20" t="s">
        <v>17</v>
      </c>
      <c r="N126" s="33">
        <f t="shared" si="1"/>
        <v>0.11041472996071611</v>
      </c>
    </row>
    <row r="127" spans="1:14" ht="15.75" customHeight="1">
      <c r="A127" s="19" t="s">
        <v>161</v>
      </c>
      <c r="B127" s="20" t="s">
        <v>23</v>
      </c>
      <c r="C127" s="21">
        <v>45295</v>
      </c>
      <c r="D127" s="20" t="s">
        <v>24</v>
      </c>
      <c r="E127" s="20" t="s">
        <v>32</v>
      </c>
      <c r="F127" s="22">
        <v>3208</v>
      </c>
      <c r="G127" s="22">
        <v>476</v>
      </c>
      <c r="H127" s="22">
        <v>277</v>
      </c>
      <c r="I127" s="22">
        <v>56072</v>
      </c>
      <c r="J127" s="22">
        <v>21061</v>
      </c>
      <c r="K127" s="22">
        <v>113</v>
      </c>
      <c r="L127" s="19" t="s">
        <v>354</v>
      </c>
      <c r="M127" s="20" t="s">
        <v>17</v>
      </c>
      <c r="N127" s="33">
        <f t="shared" si="1"/>
        <v>7.064131830503638E-2</v>
      </c>
    </row>
    <row r="128" spans="1:14" ht="15.75" customHeight="1">
      <c r="A128" s="19" t="s">
        <v>162</v>
      </c>
      <c r="B128" s="20" t="s">
        <v>23</v>
      </c>
      <c r="C128" s="21">
        <v>45319</v>
      </c>
      <c r="D128" s="20" t="s">
        <v>15</v>
      </c>
      <c r="E128" s="20" t="s">
        <v>30</v>
      </c>
      <c r="F128" s="22">
        <v>1456</v>
      </c>
      <c r="G128" s="22">
        <v>265</v>
      </c>
      <c r="H128" s="22">
        <v>137</v>
      </c>
      <c r="I128" s="22">
        <v>53485</v>
      </c>
      <c r="J128" s="22">
        <v>59729</v>
      </c>
      <c r="K128" s="22">
        <v>145</v>
      </c>
      <c r="L128" s="19" t="s">
        <v>41</v>
      </c>
      <c r="M128" s="20" t="s">
        <v>21</v>
      </c>
      <c r="N128" s="33">
        <f t="shared" si="1"/>
        <v>3.4738711788351875E-2</v>
      </c>
    </row>
    <row r="129" spans="1:14" ht="15.75" customHeight="1">
      <c r="A129" s="19" t="s">
        <v>163</v>
      </c>
      <c r="B129" s="20" t="s">
        <v>14</v>
      </c>
      <c r="C129" s="21">
        <v>45344</v>
      </c>
      <c r="D129" s="20" t="s">
        <v>15</v>
      </c>
      <c r="E129" s="20" t="s">
        <v>25</v>
      </c>
      <c r="F129" s="22">
        <v>1902</v>
      </c>
      <c r="G129" s="22">
        <v>394</v>
      </c>
      <c r="H129" s="22">
        <v>279</v>
      </c>
      <c r="I129" s="22">
        <v>24615</v>
      </c>
      <c r="J129" s="22">
        <v>51330</v>
      </c>
      <c r="K129" s="22">
        <v>176</v>
      </c>
      <c r="L129" s="19" t="s">
        <v>353</v>
      </c>
      <c r="M129" s="20" t="s">
        <v>17</v>
      </c>
      <c r="N129" s="33">
        <f t="shared" si="1"/>
        <v>0.10461100954702417</v>
      </c>
    </row>
    <row r="130" spans="1:14" ht="15.75" customHeight="1">
      <c r="A130" s="19" t="s">
        <v>164</v>
      </c>
      <c r="B130" s="20" t="s">
        <v>23</v>
      </c>
      <c r="C130" s="21">
        <v>45839</v>
      </c>
      <c r="D130" s="20" t="s">
        <v>24</v>
      </c>
      <c r="E130" s="20" t="s">
        <v>19</v>
      </c>
      <c r="F130" s="22">
        <v>3219</v>
      </c>
      <c r="G130" s="22">
        <v>424</v>
      </c>
      <c r="H130" s="22">
        <v>267</v>
      </c>
      <c r="I130" s="22">
        <v>48879</v>
      </c>
      <c r="J130" s="22">
        <v>37691</v>
      </c>
      <c r="K130" s="22">
        <v>224</v>
      </c>
      <c r="L130" s="19" t="s">
        <v>356</v>
      </c>
      <c r="M130" s="20" t="s">
        <v>17</v>
      </c>
      <c r="N130" s="33">
        <f t="shared" si="1"/>
        <v>7.9993453221219743E-2</v>
      </c>
    </row>
    <row r="131" spans="1:14" ht="15.75" customHeight="1">
      <c r="A131" s="19" t="s">
        <v>165</v>
      </c>
      <c r="B131" s="20" t="s">
        <v>29</v>
      </c>
      <c r="C131" s="21">
        <v>45301</v>
      </c>
      <c r="D131" s="20" t="s">
        <v>15</v>
      </c>
      <c r="E131" s="20" t="s">
        <v>19</v>
      </c>
      <c r="F131" s="22">
        <v>1261</v>
      </c>
      <c r="G131" s="22">
        <v>190</v>
      </c>
      <c r="H131" s="22">
        <v>233</v>
      </c>
      <c r="I131" s="22">
        <v>59888</v>
      </c>
      <c r="J131" s="22">
        <v>51449</v>
      </c>
      <c r="K131" s="22">
        <v>205</v>
      </c>
      <c r="L131" s="19" t="s">
        <v>355</v>
      </c>
      <c r="M131" s="20" t="s">
        <v>21</v>
      </c>
      <c r="N131" s="33">
        <f t="shared" ref="N131:N194" si="2">(F131+G131+H131)/I131</f>
        <v>2.811915575741384E-2</v>
      </c>
    </row>
    <row r="132" spans="1:14" ht="15.75" customHeight="1">
      <c r="A132" s="19" t="s">
        <v>166</v>
      </c>
      <c r="B132" s="20" t="s">
        <v>23</v>
      </c>
      <c r="C132" s="21">
        <v>45736</v>
      </c>
      <c r="D132" s="20" t="s">
        <v>15</v>
      </c>
      <c r="E132" s="20" t="s">
        <v>47</v>
      </c>
      <c r="F132" s="22">
        <v>1564</v>
      </c>
      <c r="G132" s="22">
        <v>362</v>
      </c>
      <c r="H132" s="22">
        <v>371</v>
      </c>
      <c r="I132" s="22">
        <v>42075</v>
      </c>
      <c r="J132" s="22">
        <v>66659</v>
      </c>
      <c r="K132" s="22">
        <v>205</v>
      </c>
      <c r="L132" s="19" t="s">
        <v>41</v>
      </c>
      <c r="M132" s="20" t="s">
        <v>21</v>
      </c>
      <c r="N132" s="33">
        <f t="shared" si="2"/>
        <v>5.4592988710635768E-2</v>
      </c>
    </row>
    <row r="133" spans="1:14" ht="15.75" customHeight="1">
      <c r="A133" s="19" t="s">
        <v>167</v>
      </c>
      <c r="B133" s="20" t="s">
        <v>23</v>
      </c>
      <c r="C133" s="21">
        <v>45563</v>
      </c>
      <c r="D133" s="20" t="s">
        <v>15</v>
      </c>
      <c r="E133" s="20" t="s">
        <v>32</v>
      </c>
      <c r="F133" s="22">
        <v>4006</v>
      </c>
      <c r="G133" s="22">
        <v>420</v>
      </c>
      <c r="H133" s="22">
        <v>194</v>
      </c>
      <c r="I133" s="22">
        <v>49964</v>
      </c>
      <c r="J133" s="22">
        <v>20685</v>
      </c>
      <c r="K133" s="22">
        <v>148</v>
      </c>
      <c r="L133" s="19" t="s">
        <v>38</v>
      </c>
      <c r="M133" s="20" t="s">
        <v>17</v>
      </c>
      <c r="N133" s="33">
        <f t="shared" si="2"/>
        <v>9.2466575934672959E-2</v>
      </c>
    </row>
    <row r="134" spans="1:14" ht="15.75" customHeight="1">
      <c r="A134" s="19" t="s">
        <v>168</v>
      </c>
      <c r="B134" s="20" t="s">
        <v>29</v>
      </c>
      <c r="C134" s="21">
        <v>45318</v>
      </c>
      <c r="D134" s="20" t="s">
        <v>15</v>
      </c>
      <c r="E134" s="20" t="s">
        <v>47</v>
      </c>
      <c r="F134" s="22">
        <v>1976</v>
      </c>
      <c r="G134" s="22">
        <v>262</v>
      </c>
      <c r="H134" s="22">
        <v>218</v>
      </c>
      <c r="I134" s="22">
        <v>51696</v>
      </c>
      <c r="J134" s="22">
        <v>44846</v>
      </c>
      <c r="K134" s="22">
        <v>139</v>
      </c>
      <c r="L134" s="19" t="s">
        <v>355</v>
      </c>
      <c r="M134" s="20" t="s">
        <v>21</v>
      </c>
      <c r="N134" s="33">
        <f t="shared" si="2"/>
        <v>4.7508511296812134E-2</v>
      </c>
    </row>
    <row r="135" spans="1:14" ht="15.75" customHeight="1">
      <c r="A135" s="19" t="s">
        <v>169</v>
      </c>
      <c r="B135" s="20" t="s">
        <v>23</v>
      </c>
      <c r="C135" s="21">
        <v>45792</v>
      </c>
      <c r="D135" s="20" t="s">
        <v>15</v>
      </c>
      <c r="E135" s="20" t="s">
        <v>25</v>
      </c>
      <c r="F135" s="22">
        <v>1583</v>
      </c>
      <c r="G135" s="22">
        <v>433</v>
      </c>
      <c r="H135" s="22">
        <v>249</v>
      </c>
      <c r="I135" s="22">
        <v>30256</v>
      </c>
      <c r="J135" s="22">
        <v>47066</v>
      </c>
      <c r="K135" s="22">
        <v>196</v>
      </c>
      <c r="L135" s="19" t="s">
        <v>38</v>
      </c>
      <c r="M135" s="20" t="s">
        <v>17</v>
      </c>
      <c r="N135" s="33">
        <f t="shared" si="2"/>
        <v>7.4861184558434685E-2</v>
      </c>
    </row>
    <row r="136" spans="1:14" ht="15.75" customHeight="1">
      <c r="A136" s="19" t="s">
        <v>170</v>
      </c>
      <c r="B136" s="20" t="s">
        <v>23</v>
      </c>
      <c r="C136" s="21">
        <v>45569</v>
      </c>
      <c r="D136" s="20" t="s">
        <v>24</v>
      </c>
      <c r="E136" s="20" t="s">
        <v>19</v>
      </c>
      <c r="F136" s="22">
        <v>2870</v>
      </c>
      <c r="G136" s="22">
        <v>380</v>
      </c>
      <c r="H136" s="22">
        <v>393</v>
      </c>
      <c r="I136" s="22">
        <v>37621</v>
      </c>
      <c r="J136" s="22">
        <v>71794</v>
      </c>
      <c r="K136" s="22">
        <v>127</v>
      </c>
      <c r="L136" s="19" t="s">
        <v>354</v>
      </c>
      <c r="M136" s="20" t="s">
        <v>17</v>
      </c>
      <c r="N136" s="33">
        <f t="shared" si="2"/>
        <v>9.6834214933149046E-2</v>
      </c>
    </row>
    <row r="137" spans="1:14" ht="15.75" customHeight="1">
      <c r="A137" s="19" t="s">
        <v>171</v>
      </c>
      <c r="B137" s="20" t="s">
        <v>23</v>
      </c>
      <c r="C137" s="21">
        <v>45615</v>
      </c>
      <c r="D137" s="20" t="s">
        <v>15</v>
      </c>
      <c r="E137" s="20" t="s">
        <v>37</v>
      </c>
      <c r="F137" s="22">
        <v>3728</v>
      </c>
      <c r="G137" s="22">
        <v>271</v>
      </c>
      <c r="H137" s="22">
        <v>275</v>
      </c>
      <c r="I137" s="22">
        <v>22827</v>
      </c>
      <c r="J137" s="22">
        <v>37034</v>
      </c>
      <c r="K137" s="22">
        <v>199</v>
      </c>
      <c r="L137" s="19" t="s">
        <v>38</v>
      </c>
      <c r="M137" s="20" t="s">
        <v>17</v>
      </c>
      <c r="N137" s="33">
        <f t="shared" si="2"/>
        <v>0.18723441538528934</v>
      </c>
    </row>
    <row r="138" spans="1:14" ht="15.75" customHeight="1">
      <c r="A138" s="19" t="s">
        <v>172</v>
      </c>
      <c r="B138" s="20" t="s">
        <v>23</v>
      </c>
      <c r="C138" s="21">
        <v>45387</v>
      </c>
      <c r="D138" s="20" t="s">
        <v>24</v>
      </c>
      <c r="E138" s="20" t="s">
        <v>25</v>
      </c>
      <c r="F138" s="22">
        <v>4965</v>
      </c>
      <c r="G138" s="22">
        <v>175</v>
      </c>
      <c r="H138" s="22">
        <v>307</v>
      </c>
      <c r="I138" s="22">
        <v>32793</v>
      </c>
      <c r="J138" s="22">
        <v>43412</v>
      </c>
      <c r="K138" s="22">
        <v>296</v>
      </c>
      <c r="L138" s="19" t="s">
        <v>353</v>
      </c>
      <c r="M138" s="20" t="s">
        <v>17</v>
      </c>
      <c r="N138" s="33">
        <f t="shared" si="2"/>
        <v>0.16610252187966945</v>
      </c>
    </row>
    <row r="139" spans="1:14" ht="15.75" customHeight="1">
      <c r="A139" s="19" t="s">
        <v>173</v>
      </c>
      <c r="B139" s="20" t="s">
        <v>23</v>
      </c>
      <c r="C139" s="21">
        <v>45624</v>
      </c>
      <c r="D139" s="20" t="s">
        <v>24</v>
      </c>
      <c r="E139" s="20" t="s">
        <v>25</v>
      </c>
      <c r="F139" s="22">
        <v>1131</v>
      </c>
      <c r="G139" s="22">
        <v>100</v>
      </c>
      <c r="H139" s="22">
        <v>116</v>
      </c>
      <c r="I139" s="22">
        <v>48437</v>
      </c>
      <c r="J139" s="22">
        <v>72704</v>
      </c>
      <c r="K139" s="22">
        <v>236</v>
      </c>
      <c r="L139" s="19" t="s">
        <v>356</v>
      </c>
      <c r="M139" s="20" t="s">
        <v>17</v>
      </c>
      <c r="N139" s="33">
        <f t="shared" si="2"/>
        <v>2.7809319322005904E-2</v>
      </c>
    </row>
    <row r="140" spans="1:14" ht="15.75" customHeight="1">
      <c r="A140" s="19" t="s">
        <v>174</v>
      </c>
      <c r="B140" s="20" t="s">
        <v>23</v>
      </c>
      <c r="C140" s="21">
        <v>45725</v>
      </c>
      <c r="D140" s="20" t="s">
        <v>15</v>
      </c>
      <c r="E140" s="20" t="s">
        <v>47</v>
      </c>
      <c r="F140" s="22">
        <v>2754</v>
      </c>
      <c r="G140" s="22">
        <v>215</v>
      </c>
      <c r="H140" s="22">
        <v>264</v>
      </c>
      <c r="I140" s="22">
        <v>27762</v>
      </c>
      <c r="J140" s="22">
        <v>70203</v>
      </c>
      <c r="K140" s="22">
        <v>289</v>
      </c>
      <c r="L140" s="19" t="s">
        <v>38</v>
      </c>
      <c r="M140" s="20" t="s">
        <v>17</v>
      </c>
      <c r="N140" s="33">
        <f t="shared" si="2"/>
        <v>0.11645414595490239</v>
      </c>
    </row>
    <row r="141" spans="1:14" ht="15.75" customHeight="1">
      <c r="A141" s="19" t="s">
        <v>175</v>
      </c>
      <c r="B141" s="20" t="s">
        <v>23</v>
      </c>
      <c r="C141" s="21">
        <v>45531</v>
      </c>
      <c r="D141" s="20" t="s">
        <v>24</v>
      </c>
      <c r="E141" s="20" t="s">
        <v>25</v>
      </c>
      <c r="F141" s="22">
        <v>1856</v>
      </c>
      <c r="G141" s="22">
        <v>357</v>
      </c>
      <c r="H141" s="22">
        <v>348</v>
      </c>
      <c r="I141" s="22">
        <v>29428</v>
      </c>
      <c r="J141" s="22">
        <v>70206</v>
      </c>
      <c r="K141" s="22">
        <v>236</v>
      </c>
      <c r="L141" s="19" t="s">
        <v>354</v>
      </c>
      <c r="M141" s="20" t="s">
        <v>17</v>
      </c>
      <c r="N141" s="33">
        <f t="shared" si="2"/>
        <v>8.702596166915863E-2</v>
      </c>
    </row>
    <row r="142" spans="1:14" ht="15.75" customHeight="1">
      <c r="A142" s="19" t="s">
        <v>176</v>
      </c>
      <c r="B142" s="20" t="s">
        <v>29</v>
      </c>
      <c r="C142" s="21">
        <v>45566</v>
      </c>
      <c r="D142" s="20" t="s">
        <v>53</v>
      </c>
      <c r="E142" s="20" t="s">
        <v>19</v>
      </c>
      <c r="F142" s="22">
        <v>3543</v>
      </c>
      <c r="G142" s="22">
        <v>334</v>
      </c>
      <c r="H142" s="22">
        <v>218</v>
      </c>
      <c r="I142" s="22">
        <v>58007</v>
      </c>
      <c r="J142" s="22">
        <v>24792</v>
      </c>
      <c r="K142" s="22">
        <v>273</v>
      </c>
      <c r="L142" s="19" t="s">
        <v>357</v>
      </c>
      <c r="M142" s="20" t="s">
        <v>54</v>
      </c>
      <c r="N142" s="33">
        <f t="shared" si="2"/>
        <v>7.0594928198320889E-2</v>
      </c>
    </row>
    <row r="143" spans="1:14" ht="15.75" customHeight="1">
      <c r="A143" s="19" t="s">
        <v>177</v>
      </c>
      <c r="B143" s="20" t="s">
        <v>14</v>
      </c>
      <c r="C143" s="21">
        <v>45647</v>
      </c>
      <c r="D143" s="20" t="s">
        <v>24</v>
      </c>
      <c r="E143" s="20" t="s">
        <v>25</v>
      </c>
      <c r="F143" s="22">
        <v>4563</v>
      </c>
      <c r="G143" s="22">
        <v>398</v>
      </c>
      <c r="H143" s="22">
        <v>163</v>
      </c>
      <c r="I143" s="22">
        <v>43679</v>
      </c>
      <c r="J143" s="22">
        <v>48760</v>
      </c>
      <c r="K143" s="22">
        <v>92</v>
      </c>
      <c r="L143" s="19" t="s">
        <v>38</v>
      </c>
      <c r="M143" s="20" t="s">
        <v>51</v>
      </c>
      <c r="N143" s="33">
        <f t="shared" si="2"/>
        <v>0.11731037798484398</v>
      </c>
    </row>
    <row r="144" spans="1:14" ht="15.75" customHeight="1">
      <c r="A144" s="19" t="s">
        <v>178</v>
      </c>
      <c r="B144" s="20" t="s">
        <v>14</v>
      </c>
      <c r="C144" s="21">
        <v>45460</v>
      </c>
      <c r="D144" s="20" t="s">
        <v>15</v>
      </c>
      <c r="E144" s="20" t="s">
        <v>16</v>
      </c>
      <c r="F144" s="22">
        <v>4283</v>
      </c>
      <c r="G144" s="22">
        <v>471</v>
      </c>
      <c r="H144" s="22">
        <v>156</v>
      </c>
      <c r="I144" s="22">
        <v>53004</v>
      </c>
      <c r="J144" s="22">
        <v>25678</v>
      </c>
      <c r="K144" s="22">
        <v>105</v>
      </c>
      <c r="L144" s="19" t="s">
        <v>20</v>
      </c>
      <c r="M144" s="20" t="s">
        <v>21</v>
      </c>
      <c r="N144" s="33">
        <f t="shared" si="2"/>
        <v>9.2634518149573616E-2</v>
      </c>
    </row>
    <row r="145" spans="1:14" ht="15.75" customHeight="1">
      <c r="A145" s="19" t="s">
        <v>179</v>
      </c>
      <c r="B145" s="20" t="s">
        <v>14</v>
      </c>
      <c r="C145" s="21">
        <v>45702</v>
      </c>
      <c r="D145" s="20" t="s">
        <v>15</v>
      </c>
      <c r="E145" s="20" t="s">
        <v>16</v>
      </c>
      <c r="F145" s="22">
        <v>2329</v>
      </c>
      <c r="G145" s="22">
        <v>373</v>
      </c>
      <c r="H145" s="22">
        <v>291</v>
      </c>
      <c r="I145" s="22">
        <v>49577</v>
      </c>
      <c r="J145" s="22">
        <v>28002</v>
      </c>
      <c r="K145" s="22">
        <v>82</v>
      </c>
      <c r="L145" s="19" t="s">
        <v>353</v>
      </c>
      <c r="M145" s="20" t="s">
        <v>17</v>
      </c>
      <c r="N145" s="33">
        <f t="shared" si="2"/>
        <v>6.0370736430199488E-2</v>
      </c>
    </row>
    <row r="146" spans="1:14" ht="15.75" customHeight="1">
      <c r="A146" s="19" t="s">
        <v>180</v>
      </c>
      <c r="B146" s="20" t="s">
        <v>23</v>
      </c>
      <c r="C146" s="21">
        <v>45805</v>
      </c>
      <c r="D146" s="20" t="s">
        <v>24</v>
      </c>
      <c r="E146" s="20" t="s">
        <v>37</v>
      </c>
      <c r="F146" s="22">
        <v>4287</v>
      </c>
      <c r="G146" s="22">
        <v>273</v>
      </c>
      <c r="H146" s="22">
        <v>122</v>
      </c>
      <c r="I146" s="22">
        <v>40792</v>
      </c>
      <c r="J146" s="22">
        <v>23878</v>
      </c>
      <c r="K146" s="22">
        <v>277</v>
      </c>
      <c r="L146" s="19" t="s">
        <v>354</v>
      </c>
      <c r="M146" s="20" t="s">
        <v>17</v>
      </c>
      <c r="N146" s="33">
        <f t="shared" si="2"/>
        <v>0.11477740733477153</v>
      </c>
    </row>
    <row r="147" spans="1:14" ht="15.75" customHeight="1">
      <c r="A147" s="19" t="s">
        <v>181</v>
      </c>
      <c r="B147" s="20" t="s">
        <v>14</v>
      </c>
      <c r="C147" s="21">
        <v>45799</v>
      </c>
      <c r="D147" s="20" t="s">
        <v>15</v>
      </c>
      <c r="E147" s="20" t="s">
        <v>16</v>
      </c>
      <c r="F147" s="22">
        <v>2633</v>
      </c>
      <c r="G147" s="22">
        <v>318</v>
      </c>
      <c r="H147" s="22">
        <v>380</v>
      </c>
      <c r="I147" s="22">
        <v>40869</v>
      </c>
      <c r="J147" s="22">
        <v>64474</v>
      </c>
      <c r="K147" s="22">
        <v>245</v>
      </c>
      <c r="L147" s="19" t="s">
        <v>20</v>
      </c>
      <c r="M147" s="20" t="s">
        <v>21</v>
      </c>
      <c r="N147" s="33">
        <f t="shared" si="2"/>
        <v>8.1504318676747664E-2</v>
      </c>
    </row>
    <row r="148" spans="1:14" ht="15.75" customHeight="1">
      <c r="A148" s="19" t="s">
        <v>182</v>
      </c>
      <c r="B148" s="20" t="s">
        <v>23</v>
      </c>
      <c r="C148" s="21">
        <v>45312</v>
      </c>
      <c r="D148" s="20" t="s">
        <v>24</v>
      </c>
      <c r="E148" s="20" t="s">
        <v>16</v>
      </c>
      <c r="F148" s="22">
        <v>2383</v>
      </c>
      <c r="G148" s="22">
        <v>136</v>
      </c>
      <c r="H148" s="22">
        <v>302</v>
      </c>
      <c r="I148" s="22">
        <v>39187</v>
      </c>
      <c r="J148" s="22">
        <v>22133</v>
      </c>
      <c r="K148" s="22">
        <v>208</v>
      </c>
      <c r="L148" s="19" t="s">
        <v>354</v>
      </c>
      <c r="M148" s="20" t="s">
        <v>17</v>
      </c>
      <c r="N148" s="33">
        <f t="shared" si="2"/>
        <v>7.1988159338556151E-2</v>
      </c>
    </row>
    <row r="149" spans="1:14" ht="15.75" customHeight="1">
      <c r="A149" s="19" t="s">
        <v>183</v>
      </c>
      <c r="B149" s="20" t="s">
        <v>23</v>
      </c>
      <c r="C149" s="21">
        <v>45696</v>
      </c>
      <c r="D149" s="20" t="s">
        <v>24</v>
      </c>
      <c r="E149" s="20" t="s">
        <v>47</v>
      </c>
      <c r="F149" s="22">
        <v>4752</v>
      </c>
      <c r="G149" s="22">
        <v>334</v>
      </c>
      <c r="H149" s="22">
        <v>56</v>
      </c>
      <c r="I149" s="22">
        <v>48017</v>
      </c>
      <c r="J149" s="22">
        <v>55534</v>
      </c>
      <c r="K149" s="22">
        <v>270</v>
      </c>
      <c r="L149" s="19" t="s">
        <v>356</v>
      </c>
      <c r="M149" s="20" t="s">
        <v>17</v>
      </c>
      <c r="N149" s="33">
        <f t="shared" si="2"/>
        <v>0.10708707332819627</v>
      </c>
    </row>
    <row r="150" spans="1:14" ht="15.75" customHeight="1">
      <c r="A150" s="19" t="s">
        <v>184</v>
      </c>
      <c r="B150" s="20" t="s">
        <v>23</v>
      </c>
      <c r="C150" s="21">
        <v>45760</v>
      </c>
      <c r="D150" s="20" t="s">
        <v>15</v>
      </c>
      <c r="E150" s="20" t="s">
        <v>45</v>
      </c>
      <c r="F150" s="22">
        <v>3890</v>
      </c>
      <c r="G150" s="22">
        <v>408</v>
      </c>
      <c r="H150" s="22">
        <v>338</v>
      </c>
      <c r="I150" s="22">
        <v>56994</v>
      </c>
      <c r="J150" s="22">
        <v>32621</v>
      </c>
      <c r="K150" s="22">
        <v>286</v>
      </c>
      <c r="L150" s="19" t="s">
        <v>41</v>
      </c>
      <c r="M150" s="20" t="s">
        <v>21</v>
      </c>
      <c r="N150" s="33">
        <f t="shared" si="2"/>
        <v>8.1341895638137346E-2</v>
      </c>
    </row>
    <row r="151" spans="1:14" ht="15.75" customHeight="1">
      <c r="A151" s="19" t="s">
        <v>185</v>
      </c>
      <c r="B151" s="20" t="s">
        <v>23</v>
      </c>
      <c r="C151" s="21">
        <v>45442</v>
      </c>
      <c r="D151" s="20" t="s">
        <v>24</v>
      </c>
      <c r="E151" s="20" t="s">
        <v>47</v>
      </c>
      <c r="F151" s="22">
        <v>2311</v>
      </c>
      <c r="G151" s="22">
        <v>207</v>
      </c>
      <c r="H151" s="22">
        <v>363</v>
      </c>
      <c r="I151" s="22">
        <v>30349</v>
      </c>
      <c r="J151" s="22">
        <v>32925</v>
      </c>
      <c r="K151" s="22">
        <v>88</v>
      </c>
      <c r="L151" s="19" t="s">
        <v>354</v>
      </c>
      <c r="M151" s="20" t="s">
        <v>17</v>
      </c>
      <c r="N151" s="33">
        <f t="shared" si="2"/>
        <v>9.4928992718046723E-2</v>
      </c>
    </row>
    <row r="152" spans="1:14" ht="15.75" customHeight="1">
      <c r="A152" s="19" t="s">
        <v>186</v>
      </c>
      <c r="B152" s="20" t="s">
        <v>14</v>
      </c>
      <c r="C152" s="21">
        <v>45516</v>
      </c>
      <c r="D152" s="20" t="s">
        <v>24</v>
      </c>
      <c r="E152" s="20" t="s">
        <v>16</v>
      </c>
      <c r="F152" s="22">
        <v>2962</v>
      </c>
      <c r="G152" s="22">
        <v>400</v>
      </c>
      <c r="H152" s="22">
        <v>280</v>
      </c>
      <c r="I152" s="22">
        <v>52508</v>
      </c>
      <c r="J152" s="22">
        <v>58329</v>
      </c>
      <c r="K152" s="22">
        <v>219</v>
      </c>
      <c r="L152" s="19" t="s">
        <v>38</v>
      </c>
      <c r="M152" s="20" t="s">
        <v>51</v>
      </c>
      <c r="N152" s="33">
        <f t="shared" si="2"/>
        <v>6.9360859297630834E-2</v>
      </c>
    </row>
    <row r="153" spans="1:14" ht="15.75" customHeight="1">
      <c r="A153" s="19" t="s">
        <v>187</v>
      </c>
      <c r="B153" s="20" t="s">
        <v>14</v>
      </c>
      <c r="C153" s="21">
        <v>45562</v>
      </c>
      <c r="D153" s="20" t="s">
        <v>15</v>
      </c>
      <c r="E153" s="20" t="s">
        <v>16</v>
      </c>
      <c r="F153" s="22">
        <v>3118</v>
      </c>
      <c r="G153" s="22">
        <v>116</v>
      </c>
      <c r="H153" s="22">
        <v>195</v>
      </c>
      <c r="I153" s="22">
        <v>37100</v>
      </c>
      <c r="J153" s="22">
        <v>62629</v>
      </c>
      <c r="K153" s="22">
        <v>272</v>
      </c>
      <c r="L153" s="19" t="s">
        <v>20</v>
      </c>
      <c r="M153" s="20" t="s">
        <v>21</v>
      </c>
      <c r="N153" s="33">
        <f t="shared" si="2"/>
        <v>9.2425876010781671E-2</v>
      </c>
    </row>
    <row r="154" spans="1:14" ht="15.75" customHeight="1">
      <c r="A154" s="19" t="s">
        <v>188</v>
      </c>
      <c r="B154" s="20" t="s">
        <v>23</v>
      </c>
      <c r="C154" s="21">
        <v>45819</v>
      </c>
      <c r="D154" s="20" t="s">
        <v>24</v>
      </c>
      <c r="E154" s="20" t="s">
        <v>19</v>
      </c>
      <c r="F154" s="22">
        <v>3805</v>
      </c>
      <c r="G154" s="22">
        <v>453</v>
      </c>
      <c r="H154" s="22">
        <v>63</v>
      </c>
      <c r="I154" s="22">
        <v>52395</v>
      </c>
      <c r="J154" s="22">
        <v>72934</v>
      </c>
      <c r="K154" s="22">
        <v>87</v>
      </c>
      <c r="L154" s="19" t="s">
        <v>356</v>
      </c>
      <c r="M154" s="20" t="s">
        <v>17</v>
      </c>
      <c r="N154" s="33">
        <f t="shared" si="2"/>
        <v>8.2469701307376658E-2</v>
      </c>
    </row>
    <row r="155" spans="1:14" ht="15.75" customHeight="1">
      <c r="A155" s="19" t="s">
        <v>189</v>
      </c>
      <c r="B155" s="20" t="s">
        <v>14</v>
      </c>
      <c r="C155" s="21">
        <v>45615</v>
      </c>
      <c r="D155" s="20" t="s">
        <v>15</v>
      </c>
      <c r="E155" s="20" t="s">
        <v>32</v>
      </c>
      <c r="F155" s="22">
        <v>2525</v>
      </c>
      <c r="G155" s="22">
        <v>272</v>
      </c>
      <c r="H155" s="22">
        <v>294</v>
      </c>
      <c r="I155" s="22">
        <v>51875</v>
      </c>
      <c r="J155" s="22">
        <v>24732</v>
      </c>
      <c r="K155" s="22">
        <v>92</v>
      </c>
      <c r="L155" s="19" t="s">
        <v>20</v>
      </c>
      <c r="M155" s="20" t="s">
        <v>21</v>
      </c>
      <c r="N155" s="33">
        <f t="shared" si="2"/>
        <v>5.9585542168674697E-2</v>
      </c>
    </row>
    <row r="156" spans="1:14" ht="15.75" customHeight="1">
      <c r="A156" s="19" t="s">
        <v>190</v>
      </c>
      <c r="B156" s="20" t="s">
        <v>14</v>
      </c>
      <c r="C156" s="21">
        <v>45407</v>
      </c>
      <c r="D156" s="20" t="s">
        <v>15</v>
      </c>
      <c r="E156" s="20" t="s">
        <v>30</v>
      </c>
      <c r="F156" s="22">
        <v>3563</v>
      </c>
      <c r="G156" s="22">
        <v>483</v>
      </c>
      <c r="H156" s="22">
        <v>227</v>
      </c>
      <c r="I156" s="22">
        <v>41085</v>
      </c>
      <c r="J156" s="22">
        <v>26393</v>
      </c>
      <c r="K156" s="22">
        <v>236</v>
      </c>
      <c r="L156" s="19" t="s">
        <v>353</v>
      </c>
      <c r="M156" s="20" t="s">
        <v>17</v>
      </c>
      <c r="N156" s="33">
        <f t="shared" si="2"/>
        <v>0.10400389436534015</v>
      </c>
    </row>
    <row r="157" spans="1:14" ht="15.75" customHeight="1">
      <c r="A157" s="19" t="s">
        <v>191</v>
      </c>
      <c r="B157" s="20" t="s">
        <v>29</v>
      </c>
      <c r="C157" s="21">
        <v>45538</v>
      </c>
      <c r="D157" s="20" t="s">
        <v>53</v>
      </c>
      <c r="E157" s="20" t="s">
        <v>32</v>
      </c>
      <c r="F157" s="22">
        <v>1437</v>
      </c>
      <c r="G157" s="22">
        <v>494</v>
      </c>
      <c r="H157" s="22">
        <v>129</v>
      </c>
      <c r="I157" s="22">
        <v>53048</v>
      </c>
      <c r="J157" s="22">
        <v>44090</v>
      </c>
      <c r="K157" s="22">
        <v>230</v>
      </c>
      <c r="L157" s="19" t="s">
        <v>357</v>
      </c>
      <c r="M157" s="20" t="s">
        <v>54</v>
      </c>
      <c r="N157" s="33">
        <f t="shared" si="2"/>
        <v>3.8832755240536872E-2</v>
      </c>
    </row>
    <row r="158" spans="1:14" ht="15.75" customHeight="1">
      <c r="A158" s="19" t="s">
        <v>192</v>
      </c>
      <c r="B158" s="20" t="s">
        <v>29</v>
      </c>
      <c r="C158" s="21">
        <v>45718</v>
      </c>
      <c r="D158" s="20" t="s">
        <v>15</v>
      </c>
      <c r="E158" s="20" t="s">
        <v>45</v>
      </c>
      <c r="F158" s="22">
        <v>4425</v>
      </c>
      <c r="G158" s="22">
        <v>185</v>
      </c>
      <c r="H158" s="22">
        <v>162</v>
      </c>
      <c r="I158" s="22">
        <v>24610</v>
      </c>
      <c r="J158" s="22">
        <v>21342</v>
      </c>
      <c r="K158" s="22">
        <v>158</v>
      </c>
      <c r="L158" s="19" t="s">
        <v>355</v>
      </c>
      <c r="M158" s="20" t="s">
        <v>21</v>
      </c>
      <c r="N158" s="33">
        <f t="shared" si="2"/>
        <v>0.19390491670052823</v>
      </c>
    </row>
    <row r="159" spans="1:14" ht="15.75" customHeight="1">
      <c r="A159" s="19" t="s">
        <v>193</v>
      </c>
      <c r="B159" s="20" t="s">
        <v>23</v>
      </c>
      <c r="C159" s="21">
        <v>45737</v>
      </c>
      <c r="D159" s="20" t="s">
        <v>24</v>
      </c>
      <c r="E159" s="20" t="s">
        <v>25</v>
      </c>
      <c r="F159" s="22">
        <v>4609</v>
      </c>
      <c r="G159" s="22">
        <v>427</v>
      </c>
      <c r="H159" s="22">
        <v>395</v>
      </c>
      <c r="I159" s="22">
        <v>33698</v>
      </c>
      <c r="J159" s="22">
        <v>29259</v>
      </c>
      <c r="K159" s="22">
        <v>216</v>
      </c>
      <c r="L159" s="19" t="s">
        <v>356</v>
      </c>
      <c r="M159" s="20" t="s">
        <v>17</v>
      </c>
      <c r="N159" s="33">
        <f t="shared" si="2"/>
        <v>0.16116683482699271</v>
      </c>
    </row>
    <row r="160" spans="1:14" ht="15.75" customHeight="1">
      <c r="A160" s="19" t="s">
        <v>194</v>
      </c>
      <c r="B160" s="20" t="s">
        <v>14</v>
      </c>
      <c r="C160" s="21">
        <v>45394</v>
      </c>
      <c r="D160" s="20" t="s">
        <v>24</v>
      </c>
      <c r="E160" s="20" t="s">
        <v>34</v>
      </c>
      <c r="F160" s="22">
        <v>1558</v>
      </c>
      <c r="G160" s="22">
        <v>352</v>
      </c>
      <c r="H160" s="22">
        <v>202</v>
      </c>
      <c r="I160" s="22">
        <v>25405</v>
      </c>
      <c r="J160" s="22">
        <v>69941</v>
      </c>
      <c r="K160" s="22">
        <v>219</v>
      </c>
      <c r="L160" s="19" t="s">
        <v>38</v>
      </c>
      <c r="M160" s="20" t="s">
        <v>51</v>
      </c>
      <c r="N160" s="33">
        <f t="shared" si="2"/>
        <v>8.3133241487896081E-2</v>
      </c>
    </row>
    <row r="161" spans="1:14" ht="15.75" customHeight="1">
      <c r="A161" s="19" t="s">
        <v>195</v>
      </c>
      <c r="B161" s="20" t="s">
        <v>29</v>
      </c>
      <c r="C161" s="21">
        <v>45330</v>
      </c>
      <c r="D161" s="20" t="s">
        <v>53</v>
      </c>
      <c r="E161" s="20" t="s">
        <v>37</v>
      </c>
      <c r="F161" s="22">
        <v>1889</v>
      </c>
      <c r="G161" s="22">
        <v>298</v>
      </c>
      <c r="H161" s="22">
        <v>122</v>
      </c>
      <c r="I161" s="22">
        <v>46225</v>
      </c>
      <c r="J161" s="22">
        <v>74305</v>
      </c>
      <c r="K161" s="22">
        <v>293</v>
      </c>
      <c r="L161" s="19" t="s">
        <v>357</v>
      </c>
      <c r="M161" s="20" t="s">
        <v>54</v>
      </c>
      <c r="N161" s="33">
        <f t="shared" si="2"/>
        <v>4.9951325040562468E-2</v>
      </c>
    </row>
    <row r="162" spans="1:14" ht="15.75" customHeight="1">
      <c r="A162" s="19" t="s">
        <v>196</v>
      </c>
      <c r="B162" s="20" t="s">
        <v>14</v>
      </c>
      <c r="C162" s="21">
        <v>45803</v>
      </c>
      <c r="D162" s="20" t="s">
        <v>15</v>
      </c>
      <c r="E162" s="20" t="s">
        <v>16</v>
      </c>
      <c r="F162" s="22">
        <v>3086</v>
      </c>
      <c r="G162" s="22">
        <v>148</v>
      </c>
      <c r="H162" s="22">
        <v>310</v>
      </c>
      <c r="I162" s="22">
        <v>22824</v>
      </c>
      <c r="J162" s="22">
        <v>58103</v>
      </c>
      <c r="K162" s="22">
        <v>275</v>
      </c>
      <c r="L162" s="19" t="s">
        <v>20</v>
      </c>
      <c r="M162" s="20" t="s">
        <v>21</v>
      </c>
      <c r="N162" s="33">
        <f t="shared" si="2"/>
        <v>0.1552751489660007</v>
      </c>
    </row>
    <row r="163" spans="1:14" ht="15.75" customHeight="1">
      <c r="A163" s="19" t="s">
        <v>197</v>
      </c>
      <c r="B163" s="20" t="s">
        <v>14</v>
      </c>
      <c r="C163" s="21">
        <v>45610</v>
      </c>
      <c r="D163" s="20" t="s">
        <v>15</v>
      </c>
      <c r="E163" s="20" t="s">
        <v>30</v>
      </c>
      <c r="F163" s="22">
        <v>2422</v>
      </c>
      <c r="G163" s="22">
        <v>318</v>
      </c>
      <c r="H163" s="22">
        <v>118</v>
      </c>
      <c r="I163" s="22">
        <v>25386</v>
      </c>
      <c r="J163" s="22">
        <v>20873</v>
      </c>
      <c r="K163" s="22">
        <v>100</v>
      </c>
      <c r="L163" s="19" t="s">
        <v>353</v>
      </c>
      <c r="M163" s="20" t="s">
        <v>17</v>
      </c>
      <c r="N163" s="33">
        <f t="shared" si="2"/>
        <v>0.11258173796580792</v>
      </c>
    </row>
    <row r="164" spans="1:14" ht="15.75" customHeight="1">
      <c r="A164" s="19" t="s">
        <v>198</v>
      </c>
      <c r="B164" s="20" t="s">
        <v>29</v>
      </c>
      <c r="C164" s="21">
        <v>45513</v>
      </c>
      <c r="D164" s="20" t="s">
        <v>53</v>
      </c>
      <c r="E164" s="20" t="s">
        <v>45</v>
      </c>
      <c r="F164" s="22">
        <v>3414</v>
      </c>
      <c r="G164" s="22">
        <v>154</v>
      </c>
      <c r="H164" s="22">
        <v>204</v>
      </c>
      <c r="I164" s="22">
        <v>34146</v>
      </c>
      <c r="J164" s="22">
        <v>44633</v>
      </c>
      <c r="K164" s="22">
        <v>256</v>
      </c>
      <c r="L164" s="19" t="s">
        <v>357</v>
      </c>
      <c r="M164" s="20" t="s">
        <v>54</v>
      </c>
      <c r="N164" s="33">
        <f t="shared" si="2"/>
        <v>0.11046681895390383</v>
      </c>
    </row>
    <row r="165" spans="1:14" ht="15.75" customHeight="1">
      <c r="A165" s="19" t="s">
        <v>199</v>
      </c>
      <c r="B165" s="20" t="s">
        <v>14</v>
      </c>
      <c r="C165" s="21">
        <v>45835</v>
      </c>
      <c r="D165" s="20" t="s">
        <v>24</v>
      </c>
      <c r="E165" s="20" t="s">
        <v>32</v>
      </c>
      <c r="F165" s="22">
        <v>1342</v>
      </c>
      <c r="G165" s="22">
        <v>332</v>
      </c>
      <c r="H165" s="22">
        <v>163</v>
      </c>
      <c r="I165" s="22">
        <v>51712</v>
      </c>
      <c r="J165" s="22">
        <v>57922</v>
      </c>
      <c r="K165" s="22">
        <v>168</v>
      </c>
      <c r="L165" s="19" t="s">
        <v>38</v>
      </c>
      <c r="M165" s="20" t="s">
        <v>51</v>
      </c>
      <c r="N165" s="33">
        <f t="shared" si="2"/>
        <v>3.5523669554455448E-2</v>
      </c>
    </row>
    <row r="166" spans="1:14" ht="15.75" customHeight="1">
      <c r="A166" s="19" t="s">
        <v>200</v>
      </c>
      <c r="B166" s="20" t="s">
        <v>14</v>
      </c>
      <c r="C166" s="21">
        <v>45420</v>
      </c>
      <c r="D166" s="20" t="s">
        <v>24</v>
      </c>
      <c r="E166" s="20" t="s">
        <v>30</v>
      </c>
      <c r="F166" s="22">
        <v>2414</v>
      </c>
      <c r="G166" s="22">
        <v>220</v>
      </c>
      <c r="H166" s="22">
        <v>280</v>
      </c>
      <c r="I166" s="22">
        <v>27355</v>
      </c>
      <c r="J166" s="22">
        <v>50562</v>
      </c>
      <c r="K166" s="22">
        <v>258</v>
      </c>
      <c r="L166" s="19" t="s">
        <v>38</v>
      </c>
      <c r="M166" s="20" t="s">
        <v>51</v>
      </c>
      <c r="N166" s="33">
        <f t="shared" si="2"/>
        <v>0.10652531529884847</v>
      </c>
    </row>
    <row r="167" spans="1:14" ht="15.75" customHeight="1">
      <c r="A167" s="19" t="s">
        <v>201</v>
      </c>
      <c r="B167" s="20" t="s">
        <v>14</v>
      </c>
      <c r="C167" s="21">
        <v>45387</v>
      </c>
      <c r="D167" s="20" t="s">
        <v>15</v>
      </c>
      <c r="E167" s="20" t="s">
        <v>25</v>
      </c>
      <c r="F167" s="22">
        <v>4383</v>
      </c>
      <c r="G167" s="22">
        <v>352</v>
      </c>
      <c r="H167" s="22">
        <v>176</v>
      </c>
      <c r="I167" s="22">
        <v>53239</v>
      </c>
      <c r="J167" s="22">
        <v>34168</v>
      </c>
      <c r="K167" s="22">
        <v>288</v>
      </c>
      <c r="L167" s="19" t="s">
        <v>20</v>
      </c>
      <c r="M167" s="20" t="s">
        <v>21</v>
      </c>
      <c r="N167" s="33">
        <f t="shared" si="2"/>
        <v>9.2244407295403744E-2</v>
      </c>
    </row>
    <row r="168" spans="1:14" ht="15.75" customHeight="1">
      <c r="A168" s="19" t="s">
        <v>202</v>
      </c>
      <c r="B168" s="20" t="s">
        <v>29</v>
      </c>
      <c r="C168" s="21">
        <v>45684</v>
      </c>
      <c r="D168" s="20" t="s">
        <v>15</v>
      </c>
      <c r="E168" s="20" t="s">
        <v>27</v>
      </c>
      <c r="F168" s="22">
        <v>4294</v>
      </c>
      <c r="G168" s="22">
        <v>423</v>
      </c>
      <c r="H168" s="22">
        <v>93</v>
      </c>
      <c r="I168" s="22">
        <v>29828</v>
      </c>
      <c r="J168" s="22">
        <v>73144</v>
      </c>
      <c r="K168" s="22">
        <v>298</v>
      </c>
      <c r="L168" s="19" t="s">
        <v>355</v>
      </c>
      <c r="M168" s="20" t="s">
        <v>21</v>
      </c>
      <c r="N168" s="33">
        <f t="shared" si="2"/>
        <v>0.1612578785034196</v>
      </c>
    </row>
    <row r="169" spans="1:14" ht="15.75" customHeight="1">
      <c r="A169" s="19" t="s">
        <v>203</v>
      </c>
      <c r="B169" s="20" t="s">
        <v>14</v>
      </c>
      <c r="C169" s="21">
        <v>45385</v>
      </c>
      <c r="D169" s="20" t="s">
        <v>15</v>
      </c>
      <c r="E169" s="20" t="s">
        <v>37</v>
      </c>
      <c r="F169" s="22">
        <v>2762</v>
      </c>
      <c r="G169" s="22">
        <v>339</v>
      </c>
      <c r="H169" s="22">
        <v>323</v>
      </c>
      <c r="I169" s="22">
        <v>33757</v>
      </c>
      <c r="J169" s="22">
        <v>68511</v>
      </c>
      <c r="K169" s="22">
        <v>121</v>
      </c>
      <c r="L169" s="19" t="s">
        <v>353</v>
      </c>
      <c r="M169" s="20" t="s">
        <v>17</v>
      </c>
      <c r="N169" s="33">
        <f t="shared" si="2"/>
        <v>0.10143081434961637</v>
      </c>
    </row>
    <row r="170" spans="1:14" ht="15.75" customHeight="1">
      <c r="A170" s="19" t="s">
        <v>204</v>
      </c>
      <c r="B170" s="20" t="s">
        <v>29</v>
      </c>
      <c r="C170" s="21">
        <v>45660</v>
      </c>
      <c r="D170" s="20" t="s">
        <v>15</v>
      </c>
      <c r="E170" s="20" t="s">
        <v>25</v>
      </c>
      <c r="F170" s="22">
        <v>3782</v>
      </c>
      <c r="G170" s="22">
        <v>484</v>
      </c>
      <c r="H170" s="22">
        <v>144</v>
      </c>
      <c r="I170" s="22">
        <v>52172</v>
      </c>
      <c r="J170" s="22">
        <v>59386</v>
      </c>
      <c r="K170" s="22">
        <v>175</v>
      </c>
      <c r="L170" s="19" t="s">
        <v>355</v>
      </c>
      <c r="M170" s="20" t="s">
        <v>21</v>
      </c>
      <c r="N170" s="33">
        <f t="shared" si="2"/>
        <v>8.4528099363643333E-2</v>
      </c>
    </row>
    <row r="171" spans="1:14" ht="15.75" customHeight="1">
      <c r="A171" s="19" t="s">
        <v>205</v>
      </c>
      <c r="B171" s="20" t="s">
        <v>23</v>
      </c>
      <c r="C171" s="21">
        <v>45619</v>
      </c>
      <c r="D171" s="20" t="s">
        <v>15</v>
      </c>
      <c r="E171" s="20" t="s">
        <v>25</v>
      </c>
      <c r="F171" s="22">
        <v>4318</v>
      </c>
      <c r="G171" s="22">
        <v>371</v>
      </c>
      <c r="H171" s="22">
        <v>329</v>
      </c>
      <c r="I171" s="22">
        <v>32347</v>
      </c>
      <c r="J171" s="22">
        <v>68956</v>
      </c>
      <c r="K171" s="22">
        <v>259</v>
      </c>
      <c r="L171" s="19" t="s">
        <v>41</v>
      </c>
      <c r="M171" s="20" t="s">
        <v>21</v>
      </c>
      <c r="N171" s="33">
        <f t="shared" si="2"/>
        <v>0.15513030574705536</v>
      </c>
    </row>
    <row r="172" spans="1:14" ht="15.75" customHeight="1">
      <c r="A172" s="19" t="s">
        <v>206</v>
      </c>
      <c r="B172" s="20" t="s">
        <v>14</v>
      </c>
      <c r="C172" s="21">
        <v>45536</v>
      </c>
      <c r="D172" s="20" t="s">
        <v>24</v>
      </c>
      <c r="E172" s="20" t="s">
        <v>27</v>
      </c>
      <c r="F172" s="22">
        <v>2335</v>
      </c>
      <c r="G172" s="22">
        <v>150</v>
      </c>
      <c r="H172" s="22">
        <v>75</v>
      </c>
      <c r="I172" s="22">
        <v>26114</v>
      </c>
      <c r="J172" s="22">
        <v>57549</v>
      </c>
      <c r="K172" s="22">
        <v>135</v>
      </c>
      <c r="L172" s="19" t="s">
        <v>38</v>
      </c>
      <c r="M172" s="20" t="s">
        <v>51</v>
      </c>
      <c r="N172" s="33">
        <f t="shared" si="2"/>
        <v>9.8031707130274953E-2</v>
      </c>
    </row>
    <row r="173" spans="1:14" ht="15.75" customHeight="1">
      <c r="A173" s="19" t="s">
        <v>207</v>
      </c>
      <c r="B173" s="20" t="s">
        <v>29</v>
      </c>
      <c r="C173" s="21">
        <v>45400</v>
      </c>
      <c r="D173" s="20" t="s">
        <v>15</v>
      </c>
      <c r="E173" s="20" t="s">
        <v>19</v>
      </c>
      <c r="F173" s="22">
        <v>4023</v>
      </c>
      <c r="G173" s="22">
        <v>293</v>
      </c>
      <c r="H173" s="22">
        <v>91</v>
      </c>
      <c r="I173" s="22">
        <v>26795</v>
      </c>
      <c r="J173" s="22">
        <v>28924</v>
      </c>
      <c r="K173" s="22">
        <v>278</v>
      </c>
      <c r="L173" s="19" t="s">
        <v>355</v>
      </c>
      <c r="M173" s="20" t="s">
        <v>21</v>
      </c>
      <c r="N173" s="33">
        <f t="shared" si="2"/>
        <v>0.16447098339242397</v>
      </c>
    </row>
    <row r="174" spans="1:14" ht="15.75" customHeight="1">
      <c r="A174" s="19" t="s">
        <v>208</v>
      </c>
      <c r="B174" s="20" t="s">
        <v>14</v>
      </c>
      <c r="C174" s="21">
        <v>45447</v>
      </c>
      <c r="D174" s="20" t="s">
        <v>15</v>
      </c>
      <c r="E174" s="20" t="s">
        <v>34</v>
      </c>
      <c r="F174" s="22">
        <v>3948</v>
      </c>
      <c r="G174" s="22">
        <v>151</v>
      </c>
      <c r="H174" s="22">
        <v>249</v>
      </c>
      <c r="I174" s="22">
        <v>43147</v>
      </c>
      <c r="J174" s="22">
        <v>63136</v>
      </c>
      <c r="K174" s="22">
        <v>230</v>
      </c>
      <c r="L174" s="19" t="s">
        <v>20</v>
      </c>
      <c r="M174" s="20" t="s">
        <v>21</v>
      </c>
      <c r="N174" s="33">
        <f t="shared" si="2"/>
        <v>0.10077178019329269</v>
      </c>
    </row>
    <row r="175" spans="1:14" ht="15.75" customHeight="1">
      <c r="A175" s="19" t="s">
        <v>209</v>
      </c>
      <c r="B175" s="20" t="s">
        <v>29</v>
      </c>
      <c r="C175" s="21">
        <v>45749</v>
      </c>
      <c r="D175" s="20" t="s">
        <v>15</v>
      </c>
      <c r="E175" s="20" t="s">
        <v>27</v>
      </c>
      <c r="F175" s="22">
        <v>4598</v>
      </c>
      <c r="G175" s="22">
        <v>455</v>
      </c>
      <c r="H175" s="22">
        <v>378</v>
      </c>
      <c r="I175" s="22">
        <v>52952</v>
      </c>
      <c r="J175" s="22">
        <v>58504</v>
      </c>
      <c r="K175" s="22">
        <v>269</v>
      </c>
      <c r="L175" s="19" t="s">
        <v>355</v>
      </c>
      <c r="M175" s="20" t="s">
        <v>21</v>
      </c>
      <c r="N175" s="33">
        <f t="shared" si="2"/>
        <v>0.10256458679558846</v>
      </c>
    </row>
    <row r="176" spans="1:14" ht="15.75" customHeight="1">
      <c r="A176" s="19" t="s">
        <v>210</v>
      </c>
      <c r="B176" s="20" t="s">
        <v>23</v>
      </c>
      <c r="C176" s="21">
        <v>45748</v>
      </c>
      <c r="D176" s="20" t="s">
        <v>24</v>
      </c>
      <c r="E176" s="20" t="s">
        <v>30</v>
      </c>
      <c r="F176" s="22">
        <v>2665</v>
      </c>
      <c r="G176" s="22">
        <v>143</v>
      </c>
      <c r="H176" s="22">
        <v>315</v>
      </c>
      <c r="I176" s="22">
        <v>54808</v>
      </c>
      <c r="J176" s="22">
        <v>29818</v>
      </c>
      <c r="K176" s="22">
        <v>98</v>
      </c>
      <c r="L176" s="19" t="s">
        <v>356</v>
      </c>
      <c r="M176" s="20" t="s">
        <v>17</v>
      </c>
      <c r="N176" s="33">
        <f t="shared" si="2"/>
        <v>5.6980732739746021E-2</v>
      </c>
    </row>
    <row r="177" spans="1:14" ht="15.75" customHeight="1">
      <c r="A177" s="19" t="s">
        <v>211</v>
      </c>
      <c r="B177" s="20" t="s">
        <v>14</v>
      </c>
      <c r="C177" s="21">
        <v>45475</v>
      </c>
      <c r="D177" s="20" t="s">
        <v>15</v>
      </c>
      <c r="E177" s="20" t="s">
        <v>37</v>
      </c>
      <c r="F177" s="22">
        <v>3469</v>
      </c>
      <c r="G177" s="22">
        <v>371</v>
      </c>
      <c r="H177" s="22">
        <v>76</v>
      </c>
      <c r="I177" s="22">
        <v>46493</v>
      </c>
      <c r="J177" s="22">
        <v>26906</v>
      </c>
      <c r="K177" s="22">
        <v>150</v>
      </c>
      <c r="L177" s="19" t="s">
        <v>353</v>
      </c>
      <c r="M177" s="20" t="s">
        <v>17</v>
      </c>
      <c r="N177" s="33">
        <f t="shared" si="2"/>
        <v>8.4227733207149463E-2</v>
      </c>
    </row>
    <row r="178" spans="1:14" ht="15.75" customHeight="1">
      <c r="A178" s="19" t="s">
        <v>212</v>
      </c>
      <c r="B178" s="20" t="s">
        <v>23</v>
      </c>
      <c r="C178" s="21">
        <v>45606</v>
      </c>
      <c r="D178" s="20" t="s">
        <v>15</v>
      </c>
      <c r="E178" s="20" t="s">
        <v>19</v>
      </c>
      <c r="F178" s="22">
        <v>4823</v>
      </c>
      <c r="G178" s="22">
        <v>489</v>
      </c>
      <c r="H178" s="22">
        <v>302</v>
      </c>
      <c r="I178" s="22">
        <v>32470</v>
      </c>
      <c r="J178" s="22">
        <v>31861</v>
      </c>
      <c r="K178" s="22">
        <v>178</v>
      </c>
      <c r="L178" s="19" t="s">
        <v>41</v>
      </c>
      <c r="M178" s="20" t="s">
        <v>21</v>
      </c>
      <c r="N178" s="33">
        <f t="shared" si="2"/>
        <v>0.1728980597474592</v>
      </c>
    </row>
    <row r="179" spans="1:14" ht="15.75" customHeight="1">
      <c r="A179" s="19" t="s">
        <v>213</v>
      </c>
      <c r="B179" s="20" t="s">
        <v>14</v>
      </c>
      <c r="C179" s="21">
        <v>45640</v>
      </c>
      <c r="D179" s="20" t="s">
        <v>24</v>
      </c>
      <c r="E179" s="20" t="s">
        <v>45</v>
      </c>
      <c r="F179" s="22">
        <v>3812</v>
      </c>
      <c r="G179" s="22">
        <v>321</v>
      </c>
      <c r="H179" s="22">
        <v>289</v>
      </c>
      <c r="I179" s="22">
        <v>59838</v>
      </c>
      <c r="J179" s="22">
        <v>36337</v>
      </c>
      <c r="K179" s="22">
        <v>161</v>
      </c>
      <c r="L179" s="19" t="s">
        <v>38</v>
      </c>
      <c r="M179" s="20" t="s">
        <v>51</v>
      </c>
      <c r="N179" s="33">
        <f t="shared" si="2"/>
        <v>7.3899528727564417E-2</v>
      </c>
    </row>
    <row r="180" spans="1:14" ht="15.75" customHeight="1">
      <c r="A180" s="19" t="s">
        <v>214</v>
      </c>
      <c r="B180" s="20" t="s">
        <v>23</v>
      </c>
      <c r="C180" s="21">
        <v>45615</v>
      </c>
      <c r="D180" s="20" t="s">
        <v>15</v>
      </c>
      <c r="E180" s="20" t="s">
        <v>19</v>
      </c>
      <c r="F180" s="22">
        <v>2387</v>
      </c>
      <c r="G180" s="22">
        <v>353</v>
      </c>
      <c r="H180" s="22">
        <v>78</v>
      </c>
      <c r="I180" s="22">
        <v>39745</v>
      </c>
      <c r="J180" s="22">
        <v>69226</v>
      </c>
      <c r="K180" s="22">
        <v>208</v>
      </c>
      <c r="L180" s="19" t="s">
        <v>41</v>
      </c>
      <c r="M180" s="20" t="s">
        <v>21</v>
      </c>
      <c r="N180" s="33">
        <f t="shared" si="2"/>
        <v>7.090200025160398E-2</v>
      </c>
    </row>
    <row r="181" spans="1:14" ht="15.75" customHeight="1">
      <c r="A181" s="19" t="s">
        <v>215</v>
      </c>
      <c r="B181" s="20" t="s">
        <v>23</v>
      </c>
      <c r="C181" s="21">
        <v>45777</v>
      </c>
      <c r="D181" s="20" t="s">
        <v>24</v>
      </c>
      <c r="E181" s="20" t="s">
        <v>27</v>
      </c>
      <c r="F181" s="22">
        <v>3929</v>
      </c>
      <c r="G181" s="22">
        <v>275</v>
      </c>
      <c r="H181" s="22">
        <v>330</v>
      </c>
      <c r="I181" s="22">
        <v>58329</v>
      </c>
      <c r="J181" s="22">
        <v>33196</v>
      </c>
      <c r="K181" s="22">
        <v>85</v>
      </c>
      <c r="L181" s="19" t="s">
        <v>354</v>
      </c>
      <c r="M181" s="20" t="s">
        <v>17</v>
      </c>
      <c r="N181" s="33">
        <f t="shared" si="2"/>
        <v>7.7731488624869283E-2</v>
      </c>
    </row>
    <row r="182" spans="1:14" ht="15.75" customHeight="1">
      <c r="A182" s="19" t="s">
        <v>216</v>
      </c>
      <c r="B182" s="20" t="s">
        <v>23</v>
      </c>
      <c r="C182" s="21">
        <v>45370</v>
      </c>
      <c r="D182" s="20" t="s">
        <v>15</v>
      </c>
      <c r="E182" s="20" t="s">
        <v>45</v>
      </c>
      <c r="F182" s="22">
        <v>2191</v>
      </c>
      <c r="G182" s="22">
        <v>288</v>
      </c>
      <c r="H182" s="22">
        <v>83</v>
      </c>
      <c r="I182" s="22">
        <v>59606</v>
      </c>
      <c r="J182" s="22">
        <v>24765</v>
      </c>
      <c r="K182" s="22">
        <v>281</v>
      </c>
      <c r="L182" s="19" t="s">
        <v>41</v>
      </c>
      <c r="M182" s="20" t="s">
        <v>21</v>
      </c>
      <c r="N182" s="33">
        <f t="shared" si="2"/>
        <v>4.2982250109049422E-2</v>
      </c>
    </row>
    <row r="183" spans="1:14" ht="15.75" customHeight="1">
      <c r="A183" s="19" t="s">
        <v>217</v>
      </c>
      <c r="B183" s="20" t="s">
        <v>14</v>
      </c>
      <c r="C183" s="21">
        <v>45370</v>
      </c>
      <c r="D183" s="20" t="s">
        <v>15</v>
      </c>
      <c r="E183" s="20" t="s">
        <v>45</v>
      </c>
      <c r="F183" s="22">
        <v>2878</v>
      </c>
      <c r="G183" s="22">
        <v>278</v>
      </c>
      <c r="H183" s="22">
        <v>255</v>
      </c>
      <c r="I183" s="22">
        <v>47235</v>
      </c>
      <c r="J183" s="22">
        <v>57922</v>
      </c>
      <c r="K183" s="22">
        <v>112</v>
      </c>
      <c r="L183" s="19" t="s">
        <v>353</v>
      </c>
      <c r="M183" s="20" t="s">
        <v>17</v>
      </c>
      <c r="N183" s="33">
        <f t="shared" si="2"/>
        <v>7.2213401079707848E-2</v>
      </c>
    </row>
    <row r="184" spans="1:14" ht="15.75" customHeight="1">
      <c r="A184" s="19" t="s">
        <v>218</v>
      </c>
      <c r="B184" s="20" t="s">
        <v>23</v>
      </c>
      <c r="C184" s="21">
        <v>45496</v>
      </c>
      <c r="D184" s="20" t="s">
        <v>15</v>
      </c>
      <c r="E184" s="20" t="s">
        <v>37</v>
      </c>
      <c r="F184" s="22">
        <v>3204</v>
      </c>
      <c r="G184" s="22">
        <v>398</v>
      </c>
      <c r="H184" s="22">
        <v>85</v>
      </c>
      <c r="I184" s="22">
        <v>22020</v>
      </c>
      <c r="J184" s="22">
        <v>58353</v>
      </c>
      <c r="K184" s="22">
        <v>286</v>
      </c>
      <c r="L184" s="19" t="s">
        <v>41</v>
      </c>
      <c r="M184" s="20" t="s">
        <v>21</v>
      </c>
      <c r="N184" s="33">
        <f t="shared" si="2"/>
        <v>0.16743869209809265</v>
      </c>
    </row>
    <row r="185" spans="1:14" ht="15.75" customHeight="1">
      <c r="A185" s="19" t="s">
        <v>219</v>
      </c>
      <c r="B185" s="20" t="s">
        <v>23</v>
      </c>
      <c r="C185" s="21">
        <v>45486</v>
      </c>
      <c r="D185" s="20" t="s">
        <v>24</v>
      </c>
      <c r="E185" s="20" t="s">
        <v>34</v>
      </c>
      <c r="F185" s="22">
        <v>2408</v>
      </c>
      <c r="G185" s="22">
        <v>323</v>
      </c>
      <c r="H185" s="22">
        <v>251</v>
      </c>
      <c r="I185" s="22">
        <v>47599</v>
      </c>
      <c r="J185" s="22">
        <v>35543</v>
      </c>
      <c r="K185" s="22">
        <v>287</v>
      </c>
      <c r="L185" s="19" t="s">
        <v>354</v>
      </c>
      <c r="M185" s="20" t="s">
        <v>17</v>
      </c>
      <c r="N185" s="33">
        <f t="shared" si="2"/>
        <v>6.2648374965860634E-2</v>
      </c>
    </row>
    <row r="186" spans="1:14" ht="15.75" customHeight="1">
      <c r="A186" s="19" t="s">
        <v>220</v>
      </c>
      <c r="B186" s="20" t="s">
        <v>29</v>
      </c>
      <c r="C186" s="21">
        <v>45769</v>
      </c>
      <c r="D186" s="20" t="s">
        <v>53</v>
      </c>
      <c r="E186" s="20" t="s">
        <v>25</v>
      </c>
      <c r="F186" s="22">
        <v>2733</v>
      </c>
      <c r="G186" s="22">
        <v>297</v>
      </c>
      <c r="H186" s="22">
        <v>235</v>
      </c>
      <c r="I186" s="22">
        <v>37980</v>
      </c>
      <c r="J186" s="22">
        <v>33058</v>
      </c>
      <c r="K186" s="22">
        <v>219</v>
      </c>
      <c r="L186" s="19" t="s">
        <v>357</v>
      </c>
      <c r="M186" s="20" t="s">
        <v>54</v>
      </c>
      <c r="N186" s="33">
        <f t="shared" si="2"/>
        <v>8.5966298051606105E-2</v>
      </c>
    </row>
    <row r="187" spans="1:14" ht="15.75" customHeight="1">
      <c r="A187" s="19" t="s">
        <v>221</v>
      </c>
      <c r="B187" s="20" t="s">
        <v>23</v>
      </c>
      <c r="C187" s="21">
        <v>45459</v>
      </c>
      <c r="D187" s="20" t="s">
        <v>24</v>
      </c>
      <c r="E187" s="20" t="s">
        <v>19</v>
      </c>
      <c r="F187" s="22">
        <v>4618</v>
      </c>
      <c r="G187" s="22">
        <v>312</v>
      </c>
      <c r="H187" s="22">
        <v>254</v>
      </c>
      <c r="I187" s="22">
        <v>22571</v>
      </c>
      <c r="J187" s="22">
        <v>29453</v>
      </c>
      <c r="K187" s="22">
        <v>197</v>
      </c>
      <c r="L187" s="19" t="s">
        <v>354</v>
      </c>
      <c r="M187" s="20" t="s">
        <v>17</v>
      </c>
      <c r="N187" s="33">
        <f t="shared" si="2"/>
        <v>0.22967524699836073</v>
      </c>
    </row>
    <row r="188" spans="1:14" ht="15.75" customHeight="1">
      <c r="A188" s="19" t="s">
        <v>222</v>
      </c>
      <c r="B188" s="20" t="s">
        <v>29</v>
      </c>
      <c r="C188" s="21">
        <v>45795</v>
      </c>
      <c r="D188" s="20" t="s">
        <v>53</v>
      </c>
      <c r="E188" s="20" t="s">
        <v>27</v>
      </c>
      <c r="F188" s="22">
        <v>4210</v>
      </c>
      <c r="G188" s="22">
        <v>319</v>
      </c>
      <c r="H188" s="22">
        <v>350</v>
      </c>
      <c r="I188" s="22">
        <v>37762</v>
      </c>
      <c r="J188" s="22">
        <v>55162</v>
      </c>
      <c r="K188" s="22">
        <v>204</v>
      </c>
      <c r="L188" s="19" t="s">
        <v>357</v>
      </c>
      <c r="M188" s="20" t="s">
        <v>54</v>
      </c>
      <c r="N188" s="33">
        <f t="shared" si="2"/>
        <v>0.12920396165457337</v>
      </c>
    </row>
    <row r="189" spans="1:14" ht="15.75" customHeight="1">
      <c r="A189" s="19" t="s">
        <v>223</v>
      </c>
      <c r="B189" s="20" t="s">
        <v>14</v>
      </c>
      <c r="C189" s="21">
        <v>45814</v>
      </c>
      <c r="D189" s="20" t="s">
        <v>15</v>
      </c>
      <c r="E189" s="20" t="s">
        <v>27</v>
      </c>
      <c r="F189" s="22">
        <v>3987</v>
      </c>
      <c r="G189" s="22">
        <v>171</v>
      </c>
      <c r="H189" s="22">
        <v>274</v>
      </c>
      <c r="I189" s="22">
        <v>45122</v>
      </c>
      <c r="J189" s="22">
        <v>65431</v>
      </c>
      <c r="K189" s="22">
        <v>168</v>
      </c>
      <c r="L189" s="19" t="s">
        <v>20</v>
      </c>
      <c r="M189" s="20" t="s">
        <v>21</v>
      </c>
      <c r="N189" s="33">
        <f t="shared" si="2"/>
        <v>9.8222596516111871E-2</v>
      </c>
    </row>
    <row r="190" spans="1:14" ht="15.75" customHeight="1">
      <c r="A190" s="19" t="s">
        <v>224</v>
      </c>
      <c r="B190" s="20" t="s">
        <v>29</v>
      </c>
      <c r="C190" s="21">
        <v>45708</v>
      </c>
      <c r="D190" s="20" t="s">
        <v>53</v>
      </c>
      <c r="E190" s="20" t="s">
        <v>34</v>
      </c>
      <c r="F190" s="22">
        <v>4957</v>
      </c>
      <c r="G190" s="22">
        <v>262</v>
      </c>
      <c r="H190" s="22">
        <v>365</v>
      </c>
      <c r="I190" s="22">
        <v>49199</v>
      </c>
      <c r="J190" s="22">
        <v>40314</v>
      </c>
      <c r="K190" s="22">
        <v>216</v>
      </c>
      <c r="L190" s="19" t="s">
        <v>357</v>
      </c>
      <c r="M190" s="20" t="s">
        <v>54</v>
      </c>
      <c r="N190" s="33">
        <f t="shared" si="2"/>
        <v>0.11349824183418362</v>
      </c>
    </row>
    <row r="191" spans="1:14" ht="15.75" customHeight="1">
      <c r="A191" s="19" t="s">
        <v>225</v>
      </c>
      <c r="B191" s="20" t="s">
        <v>14</v>
      </c>
      <c r="C191" s="21">
        <v>45673</v>
      </c>
      <c r="D191" s="20" t="s">
        <v>15</v>
      </c>
      <c r="E191" s="20" t="s">
        <v>30</v>
      </c>
      <c r="F191" s="22">
        <v>2605</v>
      </c>
      <c r="G191" s="22">
        <v>282</v>
      </c>
      <c r="H191" s="22">
        <v>148</v>
      </c>
      <c r="I191" s="22">
        <v>32201</v>
      </c>
      <c r="J191" s="22">
        <v>49583</v>
      </c>
      <c r="K191" s="22">
        <v>241</v>
      </c>
      <c r="L191" s="19" t="s">
        <v>353</v>
      </c>
      <c r="M191" s="20" t="s">
        <v>17</v>
      </c>
      <c r="N191" s="33">
        <f t="shared" si="2"/>
        <v>9.4251731312692155E-2</v>
      </c>
    </row>
    <row r="192" spans="1:14" ht="15.75" customHeight="1">
      <c r="A192" s="19" t="s">
        <v>226</v>
      </c>
      <c r="B192" s="20" t="s">
        <v>29</v>
      </c>
      <c r="C192" s="21">
        <v>45346</v>
      </c>
      <c r="D192" s="20" t="s">
        <v>53</v>
      </c>
      <c r="E192" s="20" t="s">
        <v>16</v>
      </c>
      <c r="F192" s="22">
        <v>4221</v>
      </c>
      <c r="G192" s="22">
        <v>307</v>
      </c>
      <c r="H192" s="22">
        <v>58</v>
      </c>
      <c r="I192" s="22">
        <v>45080</v>
      </c>
      <c r="J192" s="22">
        <v>37214</v>
      </c>
      <c r="K192" s="22">
        <v>240</v>
      </c>
      <c r="L192" s="19" t="s">
        <v>357</v>
      </c>
      <c r="M192" s="20" t="s">
        <v>54</v>
      </c>
      <c r="N192" s="33">
        <f t="shared" si="2"/>
        <v>0.10173025732031943</v>
      </c>
    </row>
    <row r="193" spans="1:14" ht="15.75" customHeight="1">
      <c r="A193" s="19" t="s">
        <v>227</v>
      </c>
      <c r="B193" s="20" t="s">
        <v>23</v>
      </c>
      <c r="C193" s="21">
        <v>45551</v>
      </c>
      <c r="D193" s="20" t="s">
        <v>24</v>
      </c>
      <c r="E193" s="20" t="s">
        <v>32</v>
      </c>
      <c r="F193" s="22">
        <v>4422</v>
      </c>
      <c r="G193" s="22">
        <v>434</v>
      </c>
      <c r="H193" s="22">
        <v>156</v>
      </c>
      <c r="I193" s="22">
        <v>56165</v>
      </c>
      <c r="J193" s="22">
        <v>52431</v>
      </c>
      <c r="K193" s="22">
        <v>173</v>
      </c>
      <c r="L193" s="19" t="s">
        <v>356</v>
      </c>
      <c r="M193" s="20" t="s">
        <v>17</v>
      </c>
      <c r="N193" s="33">
        <f t="shared" si="2"/>
        <v>8.9237069349238848E-2</v>
      </c>
    </row>
    <row r="194" spans="1:14" ht="15.75" customHeight="1">
      <c r="A194" s="19" t="s">
        <v>228</v>
      </c>
      <c r="B194" s="20" t="s">
        <v>29</v>
      </c>
      <c r="C194" s="21">
        <v>45447</v>
      </c>
      <c r="D194" s="20" t="s">
        <v>53</v>
      </c>
      <c r="E194" s="20" t="s">
        <v>27</v>
      </c>
      <c r="F194" s="22">
        <v>1211</v>
      </c>
      <c r="G194" s="22">
        <v>431</v>
      </c>
      <c r="H194" s="22">
        <v>83</v>
      </c>
      <c r="I194" s="22">
        <v>26532</v>
      </c>
      <c r="J194" s="22">
        <v>47305</v>
      </c>
      <c r="K194" s="22">
        <v>232</v>
      </c>
      <c r="L194" s="19" t="s">
        <v>357</v>
      </c>
      <c r="M194" s="20" t="s">
        <v>54</v>
      </c>
      <c r="N194" s="33">
        <f t="shared" si="2"/>
        <v>6.5015829941203071E-2</v>
      </c>
    </row>
    <row r="195" spans="1:14" ht="15.75" customHeight="1">
      <c r="A195" s="19" t="s">
        <v>229</v>
      </c>
      <c r="B195" s="20" t="s">
        <v>23</v>
      </c>
      <c r="C195" s="21">
        <v>45422</v>
      </c>
      <c r="D195" s="20" t="s">
        <v>24</v>
      </c>
      <c r="E195" s="20" t="s">
        <v>19</v>
      </c>
      <c r="F195" s="22">
        <v>2784</v>
      </c>
      <c r="G195" s="22">
        <v>111</v>
      </c>
      <c r="H195" s="22">
        <v>399</v>
      </c>
      <c r="I195" s="22">
        <v>58366</v>
      </c>
      <c r="J195" s="22">
        <v>69512</v>
      </c>
      <c r="K195" s="22">
        <v>269</v>
      </c>
      <c r="L195" s="19" t="s">
        <v>354</v>
      </c>
      <c r="M195" s="20" t="s">
        <v>17</v>
      </c>
      <c r="N195" s="33">
        <f t="shared" ref="N195:N258" si="3">(F195+G195+H195)/I195</f>
        <v>5.6436966727204191E-2</v>
      </c>
    </row>
    <row r="196" spans="1:14" ht="15.75" customHeight="1">
      <c r="A196" s="19" t="s">
        <v>230</v>
      </c>
      <c r="B196" s="20" t="s">
        <v>29</v>
      </c>
      <c r="C196" s="21">
        <v>45305</v>
      </c>
      <c r="D196" s="20" t="s">
        <v>15</v>
      </c>
      <c r="E196" s="20" t="s">
        <v>25</v>
      </c>
      <c r="F196" s="22">
        <v>3634</v>
      </c>
      <c r="G196" s="22">
        <v>280</v>
      </c>
      <c r="H196" s="22">
        <v>399</v>
      </c>
      <c r="I196" s="22">
        <v>40256</v>
      </c>
      <c r="J196" s="22">
        <v>52605</v>
      </c>
      <c r="K196" s="22">
        <v>213</v>
      </c>
      <c r="L196" s="19" t="s">
        <v>355</v>
      </c>
      <c r="M196" s="20" t="s">
        <v>21</v>
      </c>
      <c r="N196" s="33">
        <f t="shared" si="3"/>
        <v>0.10713930842607314</v>
      </c>
    </row>
    <row r="197" spans="1:14" ht="15.75" customHeight="1">
      <c r="A197" s="19" t="s">
        <v>231</v>
      </c>
      <c r="B197" s="20" t="s">
        <v>14</v>
      </c>
      <c r="C197" s="21">
        <v>45669</v>
      </c>
      <c r="D197" s="20" t="s">
        <v>15</v>
      </c>
      <c r="E197" s="20" t="s">
        <v>45</v>
      </c>
      <c r="F197" s="22">
        <v>1771</v>
      </c>
      <c r="G197" s="22">
        <v>487</v>
      </c>
      <c r="H197" s="22">
        <v>272</v>
      </c>
      <c r="I197" s="22">
        <v>48810</v>
      </c>
      <c r="J197" s="22">
        <v>48084</v>
      </c>
      <c r="K197" s="22">
        <v>272</v>
      </c>
      <c r="L197" s="19" t="s">
        <v>353</v>
      </c>
      <c r="M197" s="20" t="s">
        <v>17</v>
      </c>
      <c r="N197" s="33">
        <f t="shared" si="3"/>
        <v>5.1833640647408315E-2</v>
      </c>
    </row>
    <row r="198" spans="1:14" ht="15.75" customHeight="1">
      <c r="A198" s="19" t="s">
        <v>232</v>
      </c>
      <c r="B198" s="20" t="s">
        <v>29</v>
      </c>
      <c r="C198" s="21">
        <v>45634</v>
      </c>
      <c r="D198" s="20" t="s">
        <v>15</v>
      </c>
      <c r="E198" s="20" t="s">
        <v>37</v>
      </c>
      <c r="F198" s="22">
        <v>1424</v>
      </c>
      <c r="G198" s="22">
        <v>396</v>
      </c>
      <c r="H198" s="22">
        <v>312</v>
      </c>
      <c r="I198" s="22">
        <v>59517</v>
      </c>
      <c r="J198" s="22">
        <v>46102</v>
      </c>
      <c r="K198" s="22">
        <v>239</v>
      </c>
      <c r="L198" s="19" t="s">
        <v>355</v>
      </c>
      <c r="M198" s="20" t="s">
        <v>21</v>
      </c>
      <c r="N198" s="33">
        <f t="shared" si="3"/>
        <v>3.5821698002251455E-2</v>
      </c>
    </row>
    <row r="199" spans="1:14" ht="15.75" customHeight="1">
      <c r="A199" s="19" t="s">
        <v>233</v>
      </c>
      <c r="B199" s="20" t="s">
        <v>23</v>
      </c>
      <c r="C199" s="21">
        <v>45689</v>
      </c>
      <c r="D199" s="20" t="s">
        <v>24</v>
      </c>
      <c r="E199" s="20" t="s">
        <v>37</v>
      </c>
      <c r="F199" s="22">
        <v>1079</v>
      </c>
      <c r="G199" s="22">
        <v>265</v>
      </c>
      <c r="H199" s="22">
        <v>190</v>
      </c>
      <c r="I199" s="22">
        <v>43786</v>
      </c>
      <c r="J199" s="22">
        <v>72428</v>
      </c>
      <c r="K199" s="22">
        <v>222</v>
      </c>
      <c r="L199" s="19" t="s">
        <v>353</v>
      </c>
      <c r="M199" s="20" t="s">
        <v>17</v>
      </c>
      <c r="N199" s="33">
        <f t="shared" si="3"/>
        <v>3.5034029141734799E-2</v>
      </c>
    </row>
    <row r="200" spans="1:14" ht="15.75" customHeight="1">
      <c r="A200" s="19" t="s">
        <v>234</v>
      </c>
      <c r="B200" s="20" t="s">
        <v>23</v>
      </c>
      <c r="C200" s="21">
        <v>45484</v>
      </c>
      <c r="D200" s="20" t="s">
        <v>24</v>
      </c>
      <c r="E200" s="20" t="s">
        <v>34</v>
      </c>
      <c r="F200" s="22">
        <v>4247</v>
      </c>
      <c r="G200" s="22">
        <v>179</v>
      </c>
      <c r="H200" s="22">
        <v>175</v>
      </c>
      <c r="I200" s="22">
        <v>32991</v>
      </c>
      <c r="J200" s="22">
        <v>70120</v>
      </c>
      <c r="K200" s="22">
        <v>276</v>
      </c>
      <c r="L200" s="19" t="s">
        <v>353</v>
      </c>
      <c r="M200" s="20" t="s">
        <v>17</v>
      </c>
      <c r="N200" s="33">
        <f t="shared" si="3"/>
        <v>0.13946227759085811</v>
      </c>
    </row>
    <row r="201" spans="1:14" ht="15.75" customHeight="1">
      <c r="A201" s="19" t="s">
        <v>235</v>
      </c>
      <c r="B201" s="20" t="s">
        <v>23</v>
      </c>
      <c r="C201" s="21">
        <v>45369</v>
      </c>
      <c r="D201" s="20" t="s">
        <v>15</v>
      </c>
      <c r="E201" s="20" t="s">
        <v>25</v>
      </c>
      <c r="F201" s="22">
        <v>2033</v>
      </c>
      <c r="G201" s="22">
        <v>420</v>
      </c>
      <c r="H201" s="22">
        <v>94</v>
      </c>
      <c r="I201" s="22">
        <v>56290</v>
      </c>
      <c r="J201" s="22">
        <v>57391</v>
      </c>
      <c r="K201" s="22">
        <v>196</v>
      </c>
      <c r="L201" s="19" t="s">
        <v>38</v>
      </c>
      <c r="M201" s="20" t="s">
        <v>17</v>
      </c>
      <c r="N201" s="33">
        <f t="shared" si="3"/>
        <v>4.5247823769763724E-2</v>
      </c>
    </row>
    <row r="202" spans="1:14" ht="15.75" customHeight="1">
      <c r="A202" s="19" t="s">
        <v>236</v>
      </c>
      <c r="B202" s="20" t="s">
        <v>23</v>
      </c>
      <c r="C202" s="21">
        <v>45547</v>
      </c>
      <c r="D202" s="20" t="s">
        <v>24</v>
      </c>
      <c r="E202" s="20" t="s">
        <v>27</v>
      </c>
      <c r="F202" s="22">
        <v>1839</v>
      </c>
      <c r="G202" s="22">
        <v>223</v>
      </c>
      <c r="H202" s="22">
        <v>171</v>
      </c>
      <c r="I202" s="22">
        <v>35459</v>
      </c>
      <c r="J202" s="22">
        <v>69988</v>
      </c>
      <c r="K202" s="22">
        <v>114</v>
      </c>
      <c r="L202" s="19" t="s">
        <v>354</v>
      </c>
      <c r="M202" s="20" t="s">
        <v>17</v>
      </c>
      <c r="N202" s="33">
        <f t="shared" si="3"/>
        <v>6.2974139146620034E-2</v>
      </c>
    </row>
    <row r="203" spans="1:14" ht="15.75" customHeight="1">
      <c r="A203" s="19" t="s">
        <v>237</v>
      </c>
      <c r="B203" s="20" t="s">
        <v>23</v>
      </c>
      <c r="C203" s="21">
        <v>45302</v>
      </c>
      <c r="D203" s="20" t="s">
        <v>24</v>
      </c>
      <c r="E203" s="20" t="s">
        <v>27</v>
      </c>
      <c r="F203" s="22">
        <v>2340</v>
      </c>
      <c r="G203" s="22">
        <v>141</v>
      </c>
      <c r="H203" s="22">
        <v>206</v>
      </c>
      <c r="I203" s="22">
        <v>24916</v>
      </c>
      <c r="J203" s="22">
        <v>30582</v>
      </c>
      <c r="K203" s="22">
        <v>157</v>
      </c>
      <c r="L203" s="19" t="s">
        <v>353</v>
      </c>
      <c r="M203" s="20" t="s">
        <v>17</v>
      </c>
      <c r="N203" s="33">
        <f t="shared" si="3"/>
        <v>0.10784235029699792</v>
      </c>
    </row>
    <row r="204" spans="1:14" ht="15.75" customHeight="1">
      <c r="A204" s="19" t="s">
        <v>238</v>
      </c>
      <c r="B204" s="20" t="s">
        <v>14</v>
      </c>
      <c r="C204" s="21">
        <v>45571</v>
      </c>
      <c r="D204" s="20" t="s">
        <v>15</v>
      </c>
      <c r="E204" s="20" t="s">
        <v>37</v>
      </c>
      <c r="F204" s="22">
        <v>2080</v>
      </c>
      <c r="G204" s="22">
        <v>389</v>
      </c>
      <c r="H204" s="22">
        <v>92</v>
      </c>
      <c r="I204" s="22">
        <v>30971</v>
      </c>
      <c r="J204" s="22">
        <v>25347</v>
      </c>
      <c r="K204" s="22">
        <v>111</v>
      </c>
      <c r="L204" s="19" t="s">
        <v>20</v>
      </c>
      <c r="M204" s="20" t="s">
        <v>21</v>
      </c>
      <c r="N204" s="33">
        <f t="shared" si="3"/>
        <v>8.2690258629040073E-2</v>
      </c>
    </row>
    <row r="205" spans="1:14" ht="15.75" customHeight="1">
      <c r="A205" s="19" t="s">
        <v>239</v>
      </c>
      <c r="B205" s="20" t="s">
        <v>23</v>
      </c>
      <c r="C205" s="21">
        <v>45656</v>
      </c>
      <c r="D205" s="20" t="s">
        <v>15</v>
      </c>
      <c r="E205" s="20" t="s">
        <v>34</v>
      </c>
      <c r="F205" s="22">
        <v>4214</v>
      </c>
      <c r="G205" s="22">
        <v>286</v>
      </c>
      <c r="H205" s="22">
        <v>127</v>
      </c>
      <c r="I205" s="22">
        <v>47293</v>
      </c>
      <c r="J205" s="22">
        <v>27184</v>
      </c>
      <c r="K205" s="22">
        <v>232</v>
      </c>
      <c r="L205" s="19" t="s">
        <v>38</v>
      </c>
      <c r="M205" s="20" t="s">
        <v>17</v>
      </c>
      <c r="N205" s="33">
        <f t="shared" si="3"/>
        <v>9.7836889180216949E-2</v>
      </c>
    </row>
    <row r="206" spans="1:14" ht="15.75" customHeight="1">
      <c r="A206" s="19" t="s">
        <v>240</v>
      </c>
      <c r="B206" s="20" t="s">
        <v>23</v>
      </c>
      <c r="C206" s="21">
        <v>45763</v>
      </c>
      <c r="D206" s="20" t="s">
        <v>15</v>
      </c>
      <c r="E206" s="20" t="s">
        <v>27</v>
      </c>
      <c r="F206" s="22">
        <v>3792</v>
      </c>
      <c r="G206" s="22">
        <v>315</v>
      </c>
      <c r="H206" s="22">
        <v>120</v>
      </c>
      <c r="I206" s="22">
        <v>54592</v>
      </c>
      <c r="J206" s="22">
        <v>67886</v>
      </c>
      <c r="K206" s="22">
        <v>117</v>
      </c>
      <c r="L206" s="19" t="s">
        <v>41</v>
      </c>
      <c r="M206" s="20" t="s">
        <v>21</v>
      </c>
      <c r="N206" s="33">
        <f t="shared" si="3"/>
        <v>7.7428927315357568E-2</v>
      </c>
    </row>
    <row r="207" spans="1:14" ht="15.75" customHeight="1">
      <c r="A207" s="19" t="s">
        <v>241</v>
      </c>
      <c r="B207" s="20" t="s">
        <v>23</v>
      </c>
      <c r="C207" s="21">
        <v>45525</v>
      </c>
      <c r="D207" s="20" t="s">
        <v>24</v>
      </c>
      <c r="E207" s="20" t="s">
        <v>19</v>
      </c>
      <c r="F207" s="22">
        <v>3989</v>
      </c>
      <c r="G207" s="22">
        <v>476</v>
      </c>
      <c r="H207" s="22">
        <v>128</v>
      </c>
      <c r="I207" s="22">
        <v>57569</v>
      </c>
      <c r="J207" s="22">
        <v>40193</v>
      </c>
      <c r="K207" s="22">
        <v>222</v>
      </c>
      <c r="L207" s="19" t="s">
        <v>356</v>
      </c>
      <c r="M207" s="20" t="s">
        <v>17</v>
      </c>
      <c r="N207" s="33">
        <f t="shared" si="3"/>
        <v>7.9782521843353188E-2</v>
      </c>
    </row>
    <row r="208" spans="1:14" ht="15.75" customHeight="1">
      <c r="A208" s="19" t="s">
        <v>242</v>
      </c>
      <c r="B208" s="20" t="s">
        <v>23</v>
      </c>
      <c r="C208" s="21">
        <v>45387</v>
      </c>
      <c r="D208" s="20" t="s">
        <v>24</v>
      </c>
      <c r="E208" s="20" t="s">
        <v>27</v>
      </c>
      <c r="F208" s="22">
        <v>2857</v>
      </c>
      <c r="G208" s="22">
        <v>443</v>
      </c>
      <c r="H208" s="22">
        <v>359</v>
      </c>
      <c r="I208" s="22">
        <v>51519</v>
      </c>
      <c r="J208" s="22">
        <v>28256</v>
      </c>
      <c r="K208" s="22">
        <v>155</v>
      </c>
      <c r="L208" s="19" t="s">
        <v>353</v>
      </c>
      <c r="M208" s="20" t="s">
        <v>17</v>
      </c>
      <c r="N208" s="33">
        <f t="shared" si="3"/>
        <v>7.1022341272152026E-2</v>
      </c>
    </row>
    <row r="209" spans="1:14" ht="15.75" customHeight="1">
      <c r="A209" s="19" t="s">
        <v>243</v>
      </c>
      <c r="B209" s="20" t="s">
        <v>23</v>
      </c>
      <c r="C209" s="21">
        <v>45754</v>
      </c>
      <c r="D209" s="20" t="s">
        <v>15</v>
      </c>
      <c r="E209" s="20" t="s">
        <v>45</v>
      </c>
      <c r="F209" s="22">
        <v>1403</v>
      </c>
      <c r="G209" s="22">
        <v>385</v>
      </c>
      <c r="H209" s="22">
        <v>344</v>
      </c>
      <c r="I209" s="22">
        <v>54223</v>
      </c>
      <c r="J209" s="22">
        <v>72595</v>
      </c>
      <c r="K209" s="22">
        <v>239</v>
      </c>
      <c r="L209" s="19" t="s">
        <v>41</v>
      </c>
      <c r="M209" s="20" t="s">
        <v>21</v>
      </c>
      <c r="N209" s="33">
        <f t="shared" si="3"/>
        <v>3.9319108127547353E-2</v>
      </c>
    </row>
    <row r="210" spans="1:14" ht="15.75" customHeight="1">
      <c r="A210" s="19" t="s">
        <v>244</v>
      </c>
      <c r="B210" s="20" t="s">
        <v>23</v>
      </c>
      <c r="C210" s="21">
        <v>45492</v>
      </c>
      <c r="D210" s="20" t="s">
        <v>24</v>
      </c>
      <c r="E210" s="20" t="s">
        <v>32</v>
      </c>
      <c r="F210" s="22">
        <v>3071</v>
      </c>
      <c r="G210" s="22">
        <v>126</v>
      </c>
      <c r="H210" s="22">
        <v>200</v>
      </c>
      <c r="I210" s="22">
        <v>44013</v>
      </c>
      <c r="J210" s="22">
        <v>44679</v>
      </c>
      <c r="K210" s="22">
        <v>118</v>
      </c>
      <c r="L210" s="19" t="s">
        <v>356</v>
      </c>
      <c r="M210" s="20" t="s">
        <v>17</v>
      </c>
      <c r="N210" s="33">
        <f t="shared" si="3"/>
        <v>7.7181741758116915E-2</v>
      </c>
    </row>
    <row r="211" spans="1:14" ht="15.75" customHeight="1">
      <c r="A211" s="19" t="s">
        <v>245</v>
      </c>
      <c r="B211" s="20" t="s">
        <v>23</v>
      </c>
      <c r="C211" s="21">
        <v>45780</v>
      </c>
      <c r="D211" s="20" t="s">
        <v>24</v>
      </c>
      <c r="E211" s="20" t="s">
        <v>37</v>
      </c>
      <c r="F211" s="22">
        <v>1010</v>
      </c>
      <c r="G211" s="22">
        <v>361</v>
      </c>
      <c r="H211" s="22">
        <v>240</v>
      </c>
      <c r="I211" s="22">
        <v>47229</v>
      </c>
      <c r="J211" s="22">
        <v>72573</v>
      </c>
      <c r="K211" s="22">
        <v>275</v>
      </c>
      <c r="L211" s="19" t="s">
        <v>353</v>
      </c>
      <c r="M211" s="20" t="s">
        <v>17</v>
      </c>
      <c r="N211" s="33">
        <f t="shared" si="3"/>
        <v>3.4110398272247981E-2</v>
      </c>
    </row>
    <row r="212" spans="1:14" ht="15.75" customHeight="1">
      <c r="A212" s="19" t="s">
        <v>246</v>
      </c>
      <c r="B212" s="20" t="s">
        <v>23</v>
      </c>
      <c r="C212" s="21">
        <v>45396</v>
      </c>
      <c r="D212" s="20" t="s">
        <v>24</v>
      </c>
      <c r="E212" s="20" t="s">
        <v>16</v>
      </c>
      <c r="F212" s="22">
        <v>1295</v>
      </c>
      <c r="G212" s="22">
        <v>153</v>
      </c>
      <c r="H212" s="22">
        <v>81</v>
      </c>
      <c r="I212" s="22">
        <v>48350</v>
      </c>
      <c r="J212" s="22">
        <v>61033</v>
      </c>
      <c r="K212" s="22">
        <v>232</v>
      </c>
      <c r="L212" s="19" t="s">
        <v>356</v>
      </c>
      <c r="M212" s="20" t="s">
        <v>17</v>
      </c>
      <c r="N212" s="33">
        <f t="shared" si="3"/>
        <v>3.1623578076525334E-2</v>
      </c>
    </row>
    <row r="213" spans="1:14" ht="15.75" customHeight="1">
      <c r="A213" s="19" t="s">
        <v>247</v>
      </c>
      <c r="B213" s="20" t="s">
        <v>23</v>
      </c>
      <c r="C213" s="21">
        <v>45827</v>
      </c>
      <c r="D213" s="20" t="s">
        <v>24</v>
      </c>
      <c r="E213" s="20" t="s">
        <v>32</v>
      </c>
      <c r="F213" s="22">
        <v>1433</v>
      </c>
      <c r="G213" s="22">
        <v>452</v>
      </c>
      <c r="H213" s="22">
        <v>305</v>
      </c>
      <c r="I213" s="22">
        <v>54541</v>
      </c>
      <c r="J213" s="22">
        <v>63700</v>
      </c>
      <c r="K213" s="22">
        <v>296</v>
      </c>
      <c r="L213" s="19" t="s">
        <v>356</v>
      </c>
      <c r="M213" s="20" t="s">
        <v>17</v>
      </c>
      <c r="N213" s="33">
        <f t="shared" si="3"/>
        <v>4.0153279184466734E-2</v>
      </c>
    </row>
    <row r="214" spans="1:14" ht="15.75" customHeight="1">
      <c r="A214" s="19" t="s">
        <v>248</v>
      </c>
      <c r="B214" s="20" t="s">
        <v>14</v>
      </c>
      <c r="C214" s="21">
        <v>45832</v>
      </c>
      <c r="D214" s="20" t="s">
        <v>24</v>
      </c>
      <c r="E214" s="20" t="s">
        <v>34</v>
      </c>
      <c r="F214" s="22">
        <v>4902</v>
      </c>
      <c r="G214" s="22">
        <v>422</v>
      </c>
      <c r="H214" s="22">
        <v>376</v>
      </c>
      <c r="I214" s="22">
        <v>31674</v>
      </c>
      <c r="J214" s="22">
        <v>53225</v>
      </c>
      <c r="K214" s="22">
        <v>147</v>
      </c>
      <c r="L214" s="19" t="s">
        <v>38</v>
      </c>
      <c r="M214" s="20" t="s">
        <v>51</v>
      </c>
      <c r="N214" s="33">
        <f t="shared" si="3"/>
        <v>0.17995832544042431</v>
      </c>
    </row>
    <row r="215" spans="1:14" ht="15.75" customHeight="1">
      <c r="A215" s="19" t="s">
        <v>249</v>
      </c>
      <c r="B215" s="20" t="s">
        <v>23</v>
      </c>
      <c r="C215" s="21">
        <v>45574</v>
      </c>
      <c r="D215" s="20" t="s">
        <v>15</v>
      </c>
      <c r="E215" s="20" t="s">
        <v>27</v>
      </c>
      <c r="F215" s="22">
        <v>2659</v>
      </c>
      <c r="G215" s="22">
        <v>167</v>
      </c>
      <c r="H215" s="22">
        <v>73</v>
      </c>
      <c r="I215" s="22">
        <v>23090</v>
      </c>
      <c r="J215" s="22">
        <v>25872</v>
      </c>
      <c r="K215" s="22">
        <v>293</v>
      </c>
      <c r="L215" s="19" t="s">
        <v>41</v>
      </c>
      <c r="M215" s="20" t="s">
        <v>21</v>
      </c>
      <c r="N215" s="33">
        <f t="shared" si="3"/>
        <v>0.12555218709398008</v>
      </c>
    </row>
    <row r="216" spans="1:14" ht="15.75" customHeight="1">
      <c r="A216" s="19" t="s">
        <v>250</v>
      </c>
      <c r="B216" s="20" t="s">
        <v>29</v>
      </c>
      <c r="C216" s="21">
        <v>45672</v>
      </c>
      <c r="D216" s="20" t="s">
        <v>15</v>
      </c>
      <c r="E216" s="20" t="s">
        <v>47</v>
      </c>
      <c r="F216" s="22">
        <v>2599</v>
      </c>
      <c r="G216" s="22">
        <v>324</v>
      </c>
      <c r="H216" s="22">
        <v>182</v>
      </c>
      <c r="I216" s="22">
        <v>37525</v>
      </c>
      <c r="J216" s="22">
        <v>37216</v>
      </c>
      <c r="K216" s="22">
        <v>186</v>
      </c>
      <c r="L216" s="19" t="s">
        <v>355</v>
      </c>
      <c r="M216" s="20" t="s">
        <v>21</v>
      </c>
      <c r="N216" s="33">
        <f t="shared" si="3"/>
        <v>8.2744836775483013E-2</v>
      </c>
    </row>
    <row r="217" spans="1:14" ht="15.75" customHeight="1">
      <c r="A217" s="19" t="s">
        <v>251</v>
      </c>
      <c r="B217" s="20" t="s">
        <v>23</v>
      </c>
      <c r="C217" s="21">
        <v>45669</v>
      </c>
      <c r="D217" s="20" t="s">
        <v>15</v>
      </c>
      <c r="E217" s="20" t="s">
        <v>30</v>
      </c>
      <c r="F217" s="22">
        <v>1765</v>
      </c>
      <c r="G217" s="22">
        <v>285</v>
      </c>
      <c r="H217" s="22">
        <v>100</v>
      </c>
      <c r="I217" s="22">
        <v>41313</v>
      </c>
      <c r="J217" s="22">
        <v>56575</v>
      </c>
      <c r="K217" s="22">
        <v>174</v>
      </c>
      <c r="L217" s="19" t="s">
        <v>41</v>
      </c>
      <c r="M217" s="20" t="s">
        <v>21</v>
      </c>
      <c r="N217" s="33">
        <f t="shared" si="3"/>
        <v>5.2041730205988429E-2</v>
      </c>
    </row>
    <row r="218" spans="1:14" ht="15.75" customHeight="1">
      <c r="A218" s="19" t="s">
        <v>252</v>
      </c>
      <c r="B218" s="20" t="s">
        <v>14</v>
      </c>
      <c r="C218" s="21">
        <v>45808</v>
      </c>
      <c r="D218" s="20" t="s">
        <v>15</v>
      </c>
      <c r="E218" s="20" t="s">
        <v>32</v>
      </c>
      <c r="F218" s="22">
        <v>2169</v>
      </c>
      <c r="G218" s="22">
        <v>240</v>
      </c>
      <c r="H218" s="22">
        <v>57</v>
      </c>
      <c r="I218" s="22">
        <v>26109</v>
      </c>
      <c r="J218" s="22">
        <v>46667</v>
      </c>
      <c r="K218" s="22">
        <v>133</v>
      </c>
      <c r="L218" s="19" t="s">
        <v>353</v>
      </c>
      <c r="M218" s="20" t="s">
        <v>17</v>
      </c>
      <c r="N218" s="33">
        <f t="shared" si="3"/>
        <v>9.4450189589796618E-2</v>
      </c>
    </row>
    <row r="219" spans="1:14" ht="15.75" customHeight="1">
      <c r="A219" s="19" t="s">
        <v>253</v>
      </c>
      <c r="B219" s="20" t="s">
        <v>23</v>
      </c>
      <c r="C219" s="21">
        <v>45579</v>
      </c>
      <c r="D219" s="20" t="s">
        <v>24</v>
      </c>
      <c r="E219" s="20" t="s">
        <v>19</v>
      </c>
      <c r="F219" s="22">
        <v>4303</v>
      </c>
      <c r="G219" s="22">
        <v>306</v>
      </c>
      <c r="H219" s="22">
        <v>302</v>
      </c>
      <c r="I219" s="22">
        <v>39575</v>
      </c>
      <c r="J219" s="22">
        <v>33762</v>
      </c>
      <c r="K219" s="22">
        <v>265</v>
      </c>
      <c r="L219" s="19" t="s">
        <v>356</v>
      </c>
      <c r="M219" s="20" t="s">
        <v>17</v>
      </c>
      <c r="N219" s="33">
        <f t="shared" si="3"/>
        <v>0.12409349336702463</v>
      </c>
    </row>
    <row r="220" spans="1:14" ht="15.75" customHeight="1">
      <c r="A220" s="19" t="s">
        <v>254</v>
      </c>
      <c r="B220" s="20" t="s">
        <v>23</v>
      </c>
      <c r="C220" s="21">
        <v>45332</v>
      </c>
      <c r="D220" s="20" t="s">
        <v>15</v>
      </c>
      <c r="E220" s="20" t="s">
        <v>45</v>
      </c>
      <c r="F220" s="22">
        <v>1519</v>
      </c>
      <c r="G220" s="22">
        <v>456</v>
      </c>
      <c r="H220" s="22">
        <v>379</v>
      </c>
      <c r="I220" s="22">
        <v>51611</v>
      </c>
      <c r="J220" s="22">
        <v>45880</v>
      </c>
      <c r="K220" s="22">
        <v>176</v>
      </c>
      <c r="L220" s="19" t="s">
        <v>41</v>
      </c>
      <c r="M220" s="20" t="s">
        <v>21</v>
      </c>
      <c r="N220" s="33">
        <f t="shared" si="3"/>
        <v>4.5610431884675749E-2</v>
      </c>
    </row>
    <row r="221" spans="1:14" ht="15.75" customHeight="1">
      <c r="A221" s="19" t="s">
        <v>255</v>
      </c>
      <c r="B221" s="20" t="s">
        <v>29</v>
      </c>
      <c r="C221" s="21">
        <v>45636</v>
      </c>
      <c r="D221" s="20" t="s">
        <v>15</v>
      </c>
      <c r="E221" s="20" t="s">
        <v>32</v>
      </c>
      <c r="F221" s="22">
        <v>2569</v>
      </c>
      <c r="G221" s="22">
        <v>140</v>
      </c>
      <c r="H221" s="22">
        <v>375</v>
      </c>
      <c r="I221" s="22">
        <v>38372</v>
      </c>
      <c r="J221" s="22">
        <v>22102</v>
      </c>
      <c r="K221" s="22">
        <v>255</v>
      </c>
      <c r="L221" s="19" t="s">
        <v>355</v>
      </c>
      <c r="M221" s="20" t="s">
        <v>21</v>
      </c>
      <c r="N221" s="33">
        <f t="shared" si="3"/>
        <v>8.0371103929948923E-2</v>
      </c>
    </row>
    <row r="222" spans="1:14" ht="15.75" customHeight="1">
      <c r="A222" s="19" t="s">
        <v>256</v>
      </c>
      <c r="B222" s="20" t="s">
        <v>23</v>
      </c>
      <c r="C222" s="21">
        <v>45786</v>
      </c>
      <c r="D222" s="20" t="s">
        <v>24</v>
      </c>
      <c r="E222" s="20" t="s">
        <v>30</v>
      </c>
      <c r="F222" s="22">
        <v>2778</v>
      </c>
      <c r="G222" s="22">
        <v>241</v>
      </c>
      <c r="H222" s="22">
        <v>317</v>
      </c>
      <c r="I222" s="22">
        <v>26247</v>
      </c>
      <c r="J222" s="22">
        <v>20677</v>
      </c>
      <c r="K222" s="22">
        <v>282</v>
      </c>
      <c r="L222" s="19" t="s">
        <v>354</v>
      </c>
      <c r="M222" s="20" t="s">
        <v>17</v>
      </c>
      <c r="N222" s="33">
        <f t="shared" si="3"/>
        <v>0.1271002400274317</v>
      </c>
    </row>
    <row r="223" spans="1:14" ht="15.75" customHeight="1">
      <c r="A223" s="19" t="s">
        <v>257</v>
      </c>
      <c r="B223" s="20" t="s">
        <v>23</v>
      </c>
      <c r="C223" s="21">
        <v>45829</v>
      </c>
      <c r="D223" s="20" t="s">
        <v>15</v>
      </c>
      <c r="E223" s="20" t="s">
        <v>19</v>
      </c>
      <c r="F223" s="22">
        <v>3611</v>
      </c>
      <c r="G223" s="22">
        <v>127</v>
      </c>
      <c r="H223" s="22">
        <v>139</v>
      </c>
      <c r="I223" s="22">
        <v>44768</v>
      </c>
      <c r="J223" s="22">
        <v>29435</v>
      </c>
      <c r="K223" s="22">
        <v>178</v>
      </c>
      <c r="L223" s="19" t="s">
        <v>38</v>
      </c>
      <c r="M223" s="20" t="s">
        <v>17</v>
      </c>
      <c r="N223" s="33">
        <f t="shared" si="3"/>
        <v>8.6602037169406718E-2</v>
      </c>
    </row>
    <row r="224" spans="1:14" ht="15.75" customHeight="1">
      <c r="A224" s="19" t="s">
        <v>258</v>
      </c>
      <c r="B224" s="20" t="s">
        <v>23</v>
      </c>
      <c r="C224" s="21">
        <v>45462</v>
      </c>
      <c r="D224" s="20" t="s">
        <v>15</v>
      </c>
      <c r="E224" s="20" t="s">
        <v>32</v>
      </c>
      <c r="F224" s="22">
        <v>1224</v>
      </c>
      <c r="G224" s="22">
        <v>168</v>
      </c>
      <c r="H224" s="22">
        <v>199</v>
      </c>
      <c r="I224" s="22">
        <v>54232</v>
      </c>
      <c r="J224" s="22">
        <v>52844</v>
      </c>
      <c r="K224" s="22">
        <v>271</v>
      </c>
      <c r="L224" s="19" t="s">
        <v>41</v>
      </c>
      <c r="M224" s="20" t="s">
        <v>21</v>
      </c>
      <c r="N224" s="33">
        <f t="shared" si="3"/>
        <v>2.9336922849977874E-2</v>
      </c>
    </row>
    <row r="225" spans="1:14" ht="15.75" customHeight="1">
      <c r="A225" s="19" t="s">
        <v>259</v>
      </c>
      <c r="B225" s="20" t="s">
        <v>23</v>
      </c>
      <c r="C225" s="21">
        <v>45636</v>
      </c>
      <c r="D225" s="20" t="s">
        <v>15</v>
      </c>
      <c r="E225" s="20" t="s">
        <v>45</v>
      </c>
      <c r="F225" s="22">
        <v>4673</v>
      </c>
      <c r="G225" s="22">
        <v>270</v>
      </c>
      <c r="H225" s="22">
        <v>93</v>
      </c>
      <c r="I225" s="22">
        <v>45260</v>
      </c>
      <c r="J225" s="22">
        <v>57513</v>
      </c>
      <c r="K225" s="22">
        <v>103</v>
      </c>
      <c r="L225" s="19" t="s">
        <v>38</v>
      </c>
      <c r="M225" s="20" t="s">
        <v>17</v>
      </c>
      <c r="N225" s="33">
        <f t="shared" si="3"/>
        <v>0.11126822801590809</v>
      </c>
    </row>
    <row r="226" spans="1:14" ht="15.75" customHeight="1">
      <c r="A226" s="19" t="s">
        <v>260</v>
      </c>
      <c r="B226" s="20" t="s">
        <v>29</v>
      </c>
      <c r="C226" s="21">
        <v>45323</v>
      </c>
      <c r="D226" s="20" t="s">
        <v>15</v>
      </c>
      <c r="E226" s="20" t="s">
        <v>27</v>
      </c>
      <c r="F226" s="22">
        <v>1432</v>
      </c>
      <c r="G226" s="22">
        <v>437</v>
      </c>
      <c r="H226" s="22">
        <v>267</v>
      </c>
      <c r="I226" s="22">
        <v>40634</v>
      </c>
      <c r="J226" s="22">
        <v>54511</v>
      </c>
      <c r="K226" s="22">
        <v>197</v>
      </c>
      <c r="L226" s="19" t="s">
        <v>355</v>
      </c>
      <c r="M226" s="20" t="s">
        <v>21</v>
      </c>
      <c r="N226" s="33">
        <f t="shared" si="3"/>
        <v>5.2566815966924252E-2</v>
      </c>
    </row>
    <row r="227" spans="1:14" ht="15.75" customHeight="1">
      <c r="A227" s="19" t="s">
        <v>261</v>
      </c>
      <c r="B227" s="20" t="s">
        <v>23</v>
      </c>
      <c r="C227" s="21">
        <v>45308</v>
      </c>
      <c r="D227" s="20" t="s">
        <v>24</v>
      </c>
      <c r="E227" s="20" t="s">
        <v>25</v>
      </c>
      <c r="F227" s="22">
        <v>2174</v>
      </c>
      <c r="G227" s="22">
        <v>499</v>
      </c>
      <c r="H227" s="22">
        <v>212</v>
      </c>
      <c r="I227" s="22">
        <v>54938</v>
      </c>
      <c r="J227" s="22">
        <v>27190</v>
      </c>
      <c r="K227" s="22">
        <v>265</v>
      </c>
      <c r="L227" s="19" t="s">
        <v>354</v>
      </c>
      <c r="M227" s="20" t="s">
        <v>17</v>
      </c>
      <c r="N227" s="33">
        <f t="shared" si="3"/>
        <v>5.2513742764570971E-2</v>
      </c>
    </row>
    <row r="228" spans="1:14" ht="15.75" customHeight="1">
      <c r="A228" s="19" t="s">
        <v>262</v>
      </c>
      <c r="B228" s="20" t="s">
        <v>29</v>
      </c>
      <c r="C228" s="21">
        <v>45738</v>
      </c>
      <c r="D228" s="20" t="s">
        <v>15</v>
      </c>
      <c r="E228" s="20" t="s">
        <v>30</v>
      </c>
      <c r="F228" s="22">
        <v>4308</v>
      </c>
      <c r="G228" s="22">
        <v>171</v>
      </c>
      <c r="H228" s="22">
        <v>106</v>
      </c>
      <c r="I228" s="22">
        <v>36955</v>
      </c>
      <c r="J228" s="22">
        <v>23949</v>
      </c>
      <c r="K228" s="22">
        <v>294</v>
      </c>
      <c r="L228" s="19" t="s">
        <v>355</v>
      </c>
      <c r="M228" s="20" t="s">
        <v>21</v>
      </c>
      <c r="N228" s="33">
        <f t="shared" si="3"/>
        <v>0.12406981463942633</v>
      </c>
    </row>
    <row r="229" spans="1:14" ht="15.75" customHeight="1">
      <c r="A229" s="19" t="s">
        <v>263</v>
      </c>
      <c r="B229" s="20" t="s">
        <v>29</v>
      </c>
      <c r="C229" s="21">
        <v>45442</v>
      </c>
      <c r="D229" s="20" t="s">
        <v>53</v>
      </c>
      <c r="E229" s="20" t="s">
        <v>32</v>
      </c>
      <c r="F229" s="22">
        <v>1060</v>
      </c>
      <c r="G229" s="22">
        <v>442</v>
      </c>
      <c r="H229" s="22">
        <v>319</v>
      </c>
      <c r="I229" s="22">
        <v>57194</v>
      </c>
      <c r="J229" s="22">
        <v>24258</v>
      </c>
      <c r="K229" s="22">
        <v>101</v>
      </c>
      <c r="L229" s="19" t="s">
        <v>357</v>
      </c>
      <c r="M229" s="20" t="s">
        <v>54</v>
      </c>
      <c r="N229" s="33">
        <f t="shared" si="3"/>
        <v>3.1839004091338254E-2</v>
      </c>
    </row>
    <row r="230" spans="1:14" ht="15.75" customHeight="1">
      <c r="A230" s="19" t="s">
        <v>264</v>
      </c>
      <c r="B230" s="20" t="s">
        <v>29</v>
      </c>
      <c r="C230" s="21">
        <v>45346</v>
      </c>
      <c r="D230" s="20" t="s">
        <v>15</v>
      </c>
      <c r="E230" s="20" t="s">
        <v>30</v>
      </c>
      <c r="F230" s="22">
        <v>4653</v>
      </c>
      <c r="G230" s="22">
        <v>226</v>
      </c>
      <c r="H230" s="22">
        <v>349</v>
      </c>
      <c r="I230" s="22">
        <v>56876</v>
      </c>
      <c r="J230" s="22">
        <v>28452</v>
      </c>
      <c r="K230" s="22">
        <v>257</v>
      </c>
      <c r="L230" s="19" t="s">
        <v>355</v>
      </c>
      <c r="M230" s="20" t="s">
        <v>21</v>
      </c>
      <c r="N230" s="33">
        <f t="shared" si="3"/>
        <v>9.191926295801392E-2</v>
      </c>
    </row>
    <row r="231" spans="1:14" ht="15.75" customHeight="1">
      <c r="A231" s="19" t="s">
        <v>265</v>
      </c>
      <c r="B231" s="20" t="s">
        <v>29</v>
      </c>
      <c r="C231" s="21">
        <v>45791</v>
      </c>
      <c r="D231" s="20" t="s">
        <v>15</v>
      </c>
      <c r="E231" s="20" t="s">
        <v>16</v>
      </c>
      <c r="F231" s="22">
        <v>1701</v>
      </c>
      <c r="G231" s="22">
        <v>272</v>
      </c>
      <c r="H231" s="22">
        <v>385</v>
      </c>
      <c r="I231" s="22">
        <v>47496</v>
      </c>
      <c r="J231" s="22">
        <v>40832</v>
      </c>
      <c r="K231" s="22">
        <v>246</v>
      </c>
      <c r="L231" s="19" t="s">
        <v>355</v>
      </c>
      <c r="M231" s="20" t="s">
        <v>21</v>
      </c>
      <c r="N231" s="33">
        <f t="shared" si="3"/>
        <v>4.9646286003031836E-2</v>
      </c>
    </row>
    <row r="232" spans="1:14" ht="15.75" customHeight="1">
      <c r="A232" s="19" t="s">
        <v>266</v>
      </c>
      <c r="B232" s="20" t="s">
        <v>14</v>
      </c>
      <c r="C232" s="21">
        <v>45379</v>
      </c>
      <c r="D232" s="20" t="s">
        <v>15</v>
      </c>
      <c r="E232" s="20" t="s">
        <v>32</v>
      </c>
      <c r="F232" s="22">
        <v>1673</v>
      </c>
      <c r="G232" s="22">
        <v>280</v>
      </c>
      <c r="H232" s="22">
        <v>67</v>
      </c>
      <c r="I232" s="22">
        <v>29847</v>
      </c>
      <c r="J232" s="22">
        <v>48016</v>
      </c>
      <c r="K232" s="22">
        <v>213</v>
      </c>
      <c r="L232" s="19" t="s">
        <v>353</v>
      </c>
      <c r="M232" s="20" t="s">
        <v>17</v>
      </c>
      <c r="N232" s="33">
        <f t="shared" si="3"/>
        <v>6.76784936509532E-2</v>
      </c>
    </row>
    <row r="233" spans="1:14" ht="15.75" customHeight="1">
      <c r="A233" s="19" t="s">
        <v>267</v>
      </c>
      <c r="B233" s="20" t="s">
        <v>29</v>
      </c>
      <c r="C233" s="21">
        <v>45723</v>
      </c>
      <c r="D233" s="20" t="s">
        <v>15</v>
      </c>
      <c r="E233" s="20" t="s">
        <v>37</v>
      </c>
      <c r="F233" s="22">
        <v>4310</v>
      </c>
      <c r="G233" s="22">
        <v>284</v>
      </c>
      <c r="H233" s="22">
        <v>306</v>
      </c>
      <c r="I233" s="22">
        <v>44606</v>
      </c>
      <c r="J233" s="22">
        <v>42604</v>
      </c>
      <c r="K233" s="22">
        <v>290</v>
      </c>
      <c r="L233" s="19" t="s">
        <v>355</v>
      </c>
      <c r="M233" s="20" t="s">
        <v>21</v>
      </c>
      <c r="N233" s="33">
        <f t="shared" si="3"/>
        <v>0.10985069273191947</v>
      </c>
    </row>
    <row r="234" spans="1:14" ht="15.75" customHeight="1">
      <c r="A234" s="19" t="s">
        <v>268</v>
      </c>
      <c r="B234" s="20" t="s">
        <v>23</v>
      </c>
      <c r="C234" s="21">
        <v>45585</v>
      </c>
      <c r="D234" s="20" t="s">
        <v>15</v>
      </c>
      <c r="E234" s="20" t="s">
        <v>45</v>
      </c>
      <c r="F234" s="22">
        <v>2752</v>
      </c>
      <c r="G234" s="22">
        <v>309</v>
      </c>
      <c r="H234" s="22">
        <v>91</v>
      </c>
      <c r="I234" s="22">
        <v>39038</v>
      </c>
      <c r="J234" s="22">
        <v>28095</v>
      </c>
      <c r="K234" s="22">
        <v>277</v>
      </c>
      <c r="L234" s="19" t="s">
        <v>38</v>
      </c>
      <c r="M234" s="20" t="s">
        <v>17</v>
      </c>
      <c r="N234" s="33">
        <f t="shared" si="3"/>
        <v>8.0741841282852611E-2</v>
      </c>
    </row>
    <row r="235" spans="1:14" ht="15.75" customHeight="1">
      <c r="A235" s="19" t="s">
        <v>269</v>
      </c>
      <c r="B235" s="20" t="s">
        <v>23</v>
      </c>
      <c r="C235" s="21">
        <v>45324</v>
      </c>
      <c r="D235" s="20" t="s">
        <v>15</v>
      </c>
      <c r="E235" s="20" t="s">
        <v>45</v>
      </c>
      <c r="F235" s="22">
        <v>3818</v>
      </c>
      <c r="G235" s="22">
        <v>115</v>
      </c>
      <c r="H235" s="22">
        <v>286</v>
      </c>
      <c r="I235" s="22">
        <v>25127</v>
      </c>
      <c r="J235" s="22">
        <v>22277</v>
      </c>
      <c r="K235" s="22">
        <v>263</v>
      </c>
      <c r="L235" s="19" t="s">
        <v>38</v>
      </c>
      <c r="M235" s="20" t="s">
        <v>17</v>
      </c>
      <c r="N235" s="33">
        <f t="shared" si="3"/>
        <v>0.16790703227603773</v>
      </c>
    </row>
    <row r="236" spans="1:14" ht="15.75" customHeight="1">
      <c r="A236" s="19" t="s">
        <v>270</v>
      </c>
      <c r="B236" s="20" t="s">
        <v>29</v>
      </c>
      <c r="C236" s="21">
        <v>45542</v>
      </c>
      <c r="D236" s="20" t="s">
        <v>15</v>
      </c>
      <c r="E236" s="20" t="s">
        <v>47</v>
      </c>
      <c r="F236" s="22">
        <v>2101</v>
      </c>
      <c r="G236" s="22">
        <v>411</v>
      </c>
      <c r="H236" s="22">
        <v>190</v>
      </c>
      <c r="I236" s="22">
        <v>41791</v>
      </c>
      <c r="J236" s="22">
        <v>57090</v>
      </c>
      <c r="K236" s="22">
        <v>172</v>
      </c>
      <c r="L236" s="19" t="s">
        <v>355</v>
      </c>
      <c r="M236" s="20" t="s">
        <v>21</v>
      </c>
      <c r="N236" s="33">
        <f t="shared" si="3"/>
        <v>6.4655069273288512E-2</v>
      </c>
    </row>
    <row r="237" spans="1:14" ht="15.75" customHeight="1">
      <c r="A237" s="19" t="s">
        <v>271</v>
      </c>
      <c r="B237" s="20" t="s">
        <v>14</v>
      </c>
      <c r="C237" s="21">
        <v>45646</v>
      </c>
      <c r="D237" s="20" t="s">
        <v>15</v>
      </c>
      <c r="E237" s="20" t="s">
        <v>16</v>
      </c>
      <c r="F237" s="22">
        <v>2519</v>
      </c>
      <c r="G237" s="22">
        <v>202</v>
      </c>
      <c r="H237" s="22">
        <v>239</v>
      </c>
      <c r="I237" s="22">
        <v>36245</v>
      </c>
      <c r="J237" s="22">
        <v>48606</v>
      </c>
      <c r="K237" s="22">
        <v>145</v>
      </c>
      <c r="L237" s="19" t="s">
        <v>20</v>
      </c>
      <c r="M237" s="20" t="s">
        <v>21</v>
      </c>
      <c r="N237" s="33">
        <f t="shared" si="3"/>
        <v>8.1666436749896543E-2</v>
      </c>
    </row>
    <row r="238" spans="1:14" ht="15.75" customHeight="1">
      <c r="A238" s="19" t="s">
        <v>272</v>
      </c>
      <c r="B238" s="20" t="s">
        <v>29</v>
      </c>
      <c r="C238" s="21">
        <v>45305</v>
      </c>
      <c r="D238" s="20" t="s">
        <v>15</v>
      </c>
      <c r="E238" s="20" t="s">
        <v>32</v>
      </c>
      <c r="F238" s="22">
        <v>4502</v>
      </c>
      <c r="G238" s="22">
        <v>238</v>
      </c>
      <c r="H238" s="22">
        <v>386</v>
      </c>
      <c r="I238" s="22">
        <v>39198</v>
      </c>
      <c r="J238" s="22">
        <v>25050</v>
      </c>
      <c r="K238" s="22">
        <v>297</v>
      </c>
      <c r="L238" s="19" t="s">
        <v>355</v>
      </c>
      <c r="M238" s="20" t="s">
        <v>21</v>
      </c>
      <c r="N238" s="33">
        <f t="shared" si="3"/>
        <v>0.13077197816215114</v>
      </c>
    </row>
    <row r="239" spans="1:14" ht="15.75" customHeight="1">
      <c r="A239" s="19" t="s">
        <v>273</v>
      </c>
      <c r="B239" s="20" t="s">
        <v>14</v>
      </c>
      <c r="C239" s="21">
        <v>45823</v>
      </c>
      <c r="D239" s="20" t="s">
        <v>15</v>
      </c>
      <c r="E239" s="20" t="s">
        <v>19</v>
      </c>
      <c r="F239" s="22">
        <v>2478</v>
      </c>
      <c r="G239" s="22">
        <v>427</v>
      </c>
      <c r="H239" s="22">
        <v>242</v>
      </c>
      <c r="I239" s="22">
        <v>59272</v>
      </c>
      <c r="J239" s="22">
        <v>37833</v>
      </c>
      <c r="K239" s="22">
        <v>214</v>
      </c>
      <c r="L239" s="19" t="s">
        <v>353</v>
      </c>
      <c r="M239" s="20" t="s">
        <v>17</v>
      </c>
      <c r="N239" s="33">
        <f t="shared" si="3"/>
        <v>5.3094209744904843E-2</v>
      </c>
    </row>
    <row r="240" spans="1:14" ht="15.75" customHeight="1">
      <c r="A240" s="19" t="s">
        <v>274</v>
      </c>
      <c r="B240" s="20" t="s">
        <v>23</v>
      </c>
      <c r="C240" s="21">
        <v>45639</v>
      </c>
      <c r="D240" s="20" t="s">
        <v>24</v>
      </c>
      <c r="E240" s="20" t="s">
        <v>25</v>
      </c>
      <c r="F240" s="22">
        <v>4984</v>
      </c>
      <c r="G240" s="22">
        <v>300</v>
      </c>
      <c r="H240" s="22">
        <v>338</v>
      </c>
      <c r="I240" s="22">
        <v>32900</v>
      </c>
      <c r="J240" s="22">
        <v>31691</v>
      </c>
      <c r="K240" s="22">
        <v>160</v>
      </c>
      <c r="L240" s="19" t="s">
        <v>354</v>
      </c>
      <c r="M240" s="20" t="s">
        <v>17</v>
      </c>
      <c r="N240" s="33">
        <f t="shared" si="3"/>
        <v>0.17088145896656534</v>
      </c>
    </row>
    <row r="241" spans="1:14" ht="15.75" customHeight="1">
      <c r="A241" s="19" t="s">
        <v>275</v>
      </c>
      <c r="B241" s="20" t="s">
        <v>29</v>
      </c>
      <c r="C241" s="21">
        <v>45533</v>
      </c>
      <c r="D241" s="20" t="s">
        <v>15</v>
      </c>
      <c r="E241" s="20" t="s">
        <v>27</v>
      </c>
      <c r="F241" s="22">
        <v>4774</v>
      </c>
      <c r="G241" s="22">
        <v>389</v>
      </c>
      <c r="H241" s="22">
        <v>358</v>
      </c>
      <c r="I241" s="22">
        <v>52346</v>
      </c>
      <c r="J241" s="22">
        <v>30518</v>
      </c>
      <c r="K241" s="22">
        <v>277</v>
      </c>
      <c r="L241" s="19" t="s">
        <v>355</v>
      </c>
      <c r="M241" s="20" t="s">
        <v>21</v>
      </c>
      <c r="N241" s="33">
        <f t="shared" si="3"/>
        <v>0.10547128720437092</v>
      </c>
    </row>
    <row r="242" spans="1:14" ht="15.75" customHeight="1">
      <c r="A242" s="19" t="s">
        <v>276</v>
      </c>
      <c r="B242" s="20" t="s">
        <v>23</v>
      </c>
      <c r="C242" s="21">
        <v>45550</v>
      </c>
      <c r="D242" s="20" t="s">
        <v>15</v>
      </c>
      <c r="E242" s="20" t="s">
        <v>34</v>
      </c>
      <c r="F242" s="22">
        <v>2145</v>
      </c>
      <c r="G242" s="22">
        <v>340</v>
      </c>
      <c r="H242" s="22">
        <v>85</v>
      </c>
      <c r="I242" s="22">
        <v>53323</v>
      </c>
      <c r="J242" s="22">
        <v>49938</v>
      </c>
      <c r="K242" s="22">
        <v>104</v>
      </c>
      <c r="L242" s="19" t="s">
        <v>38</v>
      </c>
      <c r="M242" s="20" t="s">
        <v>17</v>
      </c>
      <c r="N242" s="33">
        <f t="shared" si="3"/>
        <v>4.819683813738912E-2</v>
      </c>
    </row>
    <row r="243" spans="1:14" ht="15.75" customHeight="1">
      <c r="A243" s="19" t="s">
        <v>277</v>
      </c>
      <c r="B243" s="20" t="s">
        <v>23</v>
      </c>
      <c r="C243" s="21">
        <v>45759</v>
      </c>
      <c r="D243" s="20" t="s">
        <v>24</v>
      </c>
      <c r="E243" s="20" t="s">
        <v>45</v>
      </c>
      <c r="F243" s="22">
        <v>4315</v>
      </c>
      <c r="G243" s="22">
        <v>208</v>
      </c>
      <c r="H243" s="22">
        <v>273</v>
      </c>
      <c r="I243" s="22">
        <v>35780</v>
      </c>
      <c r="J243" s="22">
        <v>44349</v>
      </c>
      <c r="K243" s="22">
        <v>133</v>
      </c>
      <c r="L243" s="19" t="s">
        <v>356</v>
      </c>
      <c r="M243" s="20" t="s">
        <v>17</v>
      </c>
      <c r="N243" s="33">
        <f t="shared" si="3"/>
        <v>0.13404136389044158</v>
      </c>
    </row>
    <row r="244" spans="1:14" ht="15.75" customHeight="1">
      <c r="A244" s="19" t="s">
        <v>278</v>
      </c>
      <c r="B244" s="20" t="s">
        <v>23</v>
      </c>
      <c r="C244" s="21">
        <v>45636</v>
      </c>
      <c r="D244" s="20" t="s">
        <v>24</v>
      </c>
      <c r="E244" s="20" t="s">
        <v>27</v>
      </c>
      <c r="F244" s="22">
        <v>2267</v>
      </c>
      <c r="G244" s="22">
        <v>230</v>
      </c>
      <c r="H244" s="22">
        <v>243</v>
      </c>
      <c r="I244" s="22">
        <v>27904</v>
      </c>
      <c r="J244" s="22">
        <v>69771</v>
      </c>
      <c r="K244" s="22">
        <v>255</v>
      </c>
      <c r="L244" s="19" t="s">
        <v>356</v>
      </c>
      <c r="M244" s="20" t="s">
        <v>17</v>
      </c>
      <c r="N244" s="33">
        <f t="shared" si="3"/>
        <v>9.8193807339449546E-2</v>
      </c>
    </row>
    <row r="245" spans="1:14" ht="15.75" customHeight="1">
      <c r="A245" s="19" t="s">
        <v>279</v>
      </c>
      <c r="B245" s="20" t="s">
        <v>29</v>
      </c>
      <c r="C245" s="21">
        <v>45816</v>
      </c>
      <c r="D245" s="20" t="s">
        <v>15</v>
      </c>
      <c r="E245" s="20" t="s">
        <v>30</v>
      </c>
      <c r="F245" s="22">
        <v>4375</v>
      </c>
      <c r="G245" s="22">
        <v>303</v>
      </c>
      <c r="H245" s="22">
        <v>294</v>
      </c>
      <c r="I245" s="22">
        <v>57468</v>
      </c>
      <c r="J245" s="22">
        <v>53397</v>
      </c>
      <c r="K245" s="22">
        <v>159</v>
      </c>
      <c r="L245" s="19" t="s">
        <v>355</v>
      </c>
      <c r="M245" s="20" t="s">
        <v>21</v>
      </c>
      <c r="N245" s="33">
        <f t="shared" si="3"/>
        <v>8.6517714206166912E-2</v>
      </c>
    </row>
    <row r="246" spans="1:14" ht="15.75" customHeight="1">
      <c r="A246" s="19" t="s">
        <v>280</v>
      </c>
      <c r="B246" s="20" t="s">
        <v>23</v>
      </c>
      <c r="C246" s="21">
        <v>45666</v>
      </c>
      <c r="D246" s="20" t="s">
        <v>24</v>
      </c>
      <c r="E246" s="20" t="s">
        <v>47</v>
      </c>
      <c r="F246" s="22">
        <v>3817</v>
      </c>
      <c r="G246" s="22">
        <v>284</v>
      </c>
      <c r="H246" s="22">
        <v>204</v>
      </c>
      <c r="I246" s="22">
        <v>46434</v>
      </c>
      <c r="J246" s="22">
        <v>53396</v>
      </c>
      <c r="K246" s="22">
        <v>104</v>
      </c>
      <c r="L246" s="19" t="s">
        <v>354</v>
      </c>
      <c r="M246" s="20" t="s">
        <v>17</v>
      </c>
      <c r="N246" s="33">
        <f t="shared" si="3"/>
        <v>9.2712236723090841E-2</v>
      </c>
    </row>
    <row r="247" spans="1:14" ht="15.75" customHeight="1">
      <c r="A247" s="19" t="s">
        <v>281</v>
      </c>
      <c r="B247" s="20" t="s">
        <v>23</v>
      </c>
      <c r="C247" s="21">
        <v>45481</v>
      </c>
      <c r="D247" s="20" t="s">
        <v>24</v>
      </c>
      <c r="E247" s="20" t="s">
        <v>37</v>
      </c>
      <c r="F247" s="22">
        <v>2981</v>
      </c>
      <c r="G247" s="22">
        <v>258</v>
      </c>
      <c r="H247" s="22">
        <v>168</v>
      </c>
      <c r="I247" s="22">
        <v>20677</v>
      </c>
      <c r="J247" s="22">
        <v>68290</v>
      </c>
      <c r="K247" s="22">
        <v>130</v>
      </c>
      <c r="L247" s="19" t="s">
        <v>353</v>
      </c>
      <c r="M247" s="20" t="s">
        <v>17</v>
      </c>
      <c r="N247" s="33">
        <f t="shared" si="3"/>
        <v>0.16477245248343569</v>
      </c>
    </row>
    <row r="248" spans="1:14" ht="15.75" customHeight="1">
      <c r="A248" s="19" t="s">
        <v>282</v>
      </c>
      <c r="B248" s="20" t="s">
        <v>23</v>
      </c>
      <c r="C248" s="21">
        <v>45551</v>
      </c>
      <c r="D248" s="20" t="s">
        <v>24</v>
      </c>
      <c r="E248" s="20" t="s">
        <v>47</v>
      </c>
      <c r="F248" s="22">
        <v>3300</v>
      </c>
      <c r="G248" s="22">
        <v>354</v>
      </c>
      <c r="H248" s="22">
        <v>397</v>
      </c>
      <c r="I248" s="22">
        <v>56773</v>
      </c>
      <c r="J248" s="22">
        <v>72110</v>
      </c>
      <c r="K248" s="22">
        <v>163</v>
      </c>
      <c r="L248" s="19" t="s">
        <v>356</v>
      </c>
      <c r="M248" s="20" t="s">
        <v>17</v>
      </c>
      <c r="N248" s="33">
        <f t="shared" si="3"/>
        <v>7.1354340971940891E-2</v>
      </c>
    </row>
    <row r="249" spans="1:14" ht="15.75" customHeight="1">
      <c r="A249" s="19" t="s">
        <v>283</v>
      </c>
      <c r="B249" s="20" t="s">
        <v>29</v>
      </c>
      <c r="C249" s="21">
        <v>45457</v>
      </c>
      <c r="D249" s="20" t="s">
        <v>53</v>
      </c>
      <c r="E249" s="20" t="s">
        <v>27</v>
      </c>
      <c r="F249" s="22">
        <v>4722</v>
      </c>
      <c r="G249" s="22">
        <v>310</v>
      </c>
      <c r="H249" s="22">
        <v>344</v>
      </c>
      <c r="I249" s="22">
        <v>27911</v>
      </c>
      <c r="J249" s="22">
        <v>19000</v>
      </c>
      <c r="K249" s="22">
        <v>225</v>
      </c>
      <c r="L249" s="19" t="s">
        <v>357</v>
      </c>
      <c r="M249" s="20" t="s">
        <v>54</v>
      </c>
      <c r="N249" s="33">
        <f t="shared" si="3"/>
        <v>0.19261223173659131</v>
      </c>
    </row>
    <row r="250" spans="1:14" ht="15.75" customHeight="1">
      <c r="A250" s="19" t="s">
        <v>284</v>
      </c>
      <c r="B250" s="20" t="s">
        <v>14</v>
      </c>
      <c r="C250" s="21">
        <v>45357</v>
      </c>
      <c r="D250" s="20" t="s">
        <v>15</v>
      </c>
      <c r="E250" s="20" t="s">
        <v>32</v>
      </c>
      <c r="F250" s="22">
        <v>3529</v>
      </c>
      <c r="G250" s="22">
        <v>263</v>
      </c>
      <c r="H250" s="22">
        <v>107</v>
      </c>
      <c r="I250" s="22">
        <v>26570</v>
      </c>
      <c r="J250" s="22">
        <v>19367</v>
      </c>
      <c r="K250" s="22">
        <v>96</v>
      </c>
      <c r="L250" s="19" t="s">
        <v>20</v>
      </c>
      <c r="M250" s="20" t="s">
        <v>21</v>
      </c>
      <c r="N250" s="33">
        <f t="shared" si="3"/>
        <v>0.14674444862627023</v>
      </c>
    </row>
    <row r="251" spans="1:14" ht="15.75" customHeight="1">
      <c r="A251" s="19" t="s">
        <v>285</v>
      </c>
      <c r="B251" s="20" t="s">
        <v>23</v>
      </c>
      <c r="C251" s="21">
        <v>45792</v>
      </c>
      <c r="D251" s="20" t="s">
        <v>15</v>
      </c>
      <c r="E251" s="20" t="s">
        <v>47</v>
      </c>
      <c r="F251" s="22">
        <v>4782</v>
      </c>
      <c r="G251" s="22">
        <v>210</v>
      </c>
      <c r="H251" s="22">
        <v>311</v>
      </c>
      <c r="I251" s="22">
        <v>29793</v>
      </c>
      <c r="J251" s="22">
        <v>37543</v>
      </c>
      <c r="K251" s="22">
        <v>145</v>
      </c>
      <c r="L251" s="19" t="s">
        <v>38</v>
      </c>
      <c r="M251" s="20" t="s">
        <v>17</v>
      </c>
      <c r="N251" s="33">
        <f t="shared" si="3"/>
        <v>0.17799483100057059</v>
      </c>
    </row>
    <row r="252" spans="1:14" ht="15.75" customHeight="1">
      <c r="A252" s="19" t="s">
        <v>286</v>
      </c>
      <c r="B252" s="20" t="s">
        <v>23</v>
      </c>
      <c r="C252" s="21">
        <v>45480</v>
      </c>
      <c r="D252" s="20" t="s">
        <v>15</v>
      </c>
      <c r="E252" s="20" t="s">
        <v>32</v>
      </c>
      <c r="F252" s="22">
        <v>1848</v>
      </c>
      <c r="G252" s="22">
        <v>417</v>
      </c>
      <c r="H252" s="22">
        <v>294</v>
      </c>
      <c r="I252" s="22">
        <v>57819</v>
      </c>
      <c r="J252" s="22">
        <v>19798</v>
      </c>
      <c r="K252" s="22">
        <v>262</v>
      </c>
      <c r="L252" s="19" t="s">
        <v>41</v>
      </c>
      <c r="M252" s="20" t="s">
        <v>21</v>
      </c>
      <c r="N252" s="33">
        <f t="shared" si="3"/>
        <v>4.4258807658382193E-2</v>
      </c>
    </row>
    <row r="253" spans="1:14" ht="15.75" customHeight="1">
      <c r="A253" s="19" t="s">
        <v>287</v>
      </c>
      <c r="B253" s="20" t="s">
        <v>29</v>
      </c>
      <c r="C253" s="21">
        <v>45591</v>
      </c>
      <c r="D253" s="20" t="s">
        <v>15</v>
      </c>
      <c r="E253" s="20" t="s">
        <v>25</v>
      </c>
      <c r="F253" s="22">
        <v>4676</v>
      </c>
      <c r="G253" s="22">
        <v>211</v>
      </c>
      <c r="H253" s="22">
        <v>55</v>
      </c>
      <c r="I253" s="22">
        <v>45917</v>
      </c>
      <c r="J253" s="22">
        <v>73503</v>
      </c>
      <c r="K253" s="22">
        <v>248</v>
      </c>
      <c r="L253" s="19" t="s">
        <v>355</v>
      </c>
      <c r="M253" s="20" t="s">
        <v>21</v>
      </c>
      <c r="N253" s="33">
        <f t="shared" si="3"/>
        <v>0.10762898272970794</v>
      </c>
    </row>
    <row r="254" spans="1:14" ht="15.75" customHeight="1">
      <c r="A254" s="19" t="s">
        <v>288</v>
      </c>
      <c r="B254" s="20" t="s">
        <v>29</v>
      </c>
      <c r="C254" s="21">
        <v>45512</v>
      </c>
      <c r="D254" s="20" t="s">
        <v>15</v>
      </c>
      <c r="E254" s="20" t="s">
        <v>45</v>
      </c>
      <c r="F254" s="22">
        <v>1994</v>
      </c>
      <c r="G254" s="22">
        <v>197</v>
      </c>
      <c r="H254" s="22">
        <v>290</v>
      </c>
      <c r="I254" s="22">
        <v>49500</v>
      </c>
      <c r="J254" s="22">
        <v>23343</v>
      </c>
      <c r="K254" s="22">
        <v>160</v>
      </c>
      <c r="L254" s="19" t="s">
        <v>355</v>
      </c>
      <c r="M254" s="20" t="s">
        <v>21</v>
      </c>
      <c r="N254" s="33">
        <f t="shared" si="3"/>
        <v>5.0121212121212122E-2</v>
      </c>
    </row>
    <row r="255" spans="1:14" ht="15.75" customHeight="1">
      <c r="A255" s="19" t="s">
        <v>289</v>
      </c>
      <c r="B255" s="20" t="s">
        <v>23</v>
      </c>
      <c r="C255" s="21">
        <v>45691</v>
      </c>
      <c r="D255" s="20" t="s">
        <v>15</v>
      </c>
      <c r="E255" s="20" t="s">
        <v>32</v>
      </c>
      <c r="F255" s="22">
        <v>4995</v>
      </c>
      <c r="G255" s="22">
        <v>231</v>
      </c>
      <c r="H255" s="22">
        <v>94</v>
      </c>
      <c r="I255" s="22">
        <v>34431</v>
      </c>
      <c r="J255" s="22">
        <v>32560</v>
      </c>
      <c r="K255" s="22">
        <v>262</v>
      </c>
      <c r="L255" s="19" t="s">
        <v>38</v>
      </c>
      <c r="M255" s="20" t="s">
        <v>17</v>
      </c>
      <c r="N255" s="33">
        <f t="shared" si="3"/>
        <v>0.15451192239551567</v>
      </c>
    </row>
    <row r="256" spans="1:14" ht="15.75" customHeight="1">
      <c r="A256" s="19" t="s">
        <v>290</v>
      </c>
      <c r="B256" s="20" t="s">
        <v>23</v>
      </c>
      <c r="C256" s="21">
        <v>45385</v>
      </c>
      <c r="D256" s="20" t="s">
        <v>24</v>
      </c>
      <c r="E256" s="20" t="s">
        <v>37</v>
      </c>
      <c r="F256" s="22">
        <v>2291</v>
      </c>
      <c r="G256" s="22">
        <v>146</v>
      </c>
      <c r="H256" s="22">
        <v>399</v>
      </c>
      <c r="I256" s="22">
        <v>49319</v>
      </c>
      <c r="J256" s="22">
        <v>28056</v>
      </c>
      <c r="K256" s="22">
        <v>90</v>
      </c>
      <c r="L256" s="19" t="s">
        <v>356</v>
      </c>
      <c r="M256" s="20" t="s">
        <v>17</v>
      </c>
      <c r="N256" s="33">
        <f t="shared" si="3"/>
        <v>5.7503193495407452E-2</v>
      </c>
    </row>
    <row r="257" spans="1:14" ht="15.75" customHeight="1">
      <c r="A257" s="19" t="s">
        <v>291</v>
      </c>
      <c r="B257" s="20" t="s">
        <v>23</v>
      </c>
      <c r="C257" s="21">
        <v>45481</v>
      </c>
      <c r="D257" s="20" t="s">
        <v>24</v>
      </c>
      <c r="E257" s="20" t="s">
        <v>27</v>
      </c>
      <c r="F257" s="22">
        <v>2304</v>
      </c>
      <c r="G257" s="22">
        <v>289</v>
      </c>
      <c r="H257" s="22">
        <v>161</v>
      </c>
      <c r="I257" s="22">
        <v>52645</v>
      </c>
      <c r="J257" s="22">
        <v>66262</v>
      </c>
      <c r="K257" s="22">
        <v>146</v>
      </c>
      <c r="L257" s="19" t="s">
        <v>354</v>
      </c>
      <c r="M257" s="20" t="s">
        <v>17</v>
      </c>
      <c r="N257" s="33">
        <f t="shared" si="3"/>
        <v>5.2312660271630736E-2</v>
      </c>
    </row>
    <row r="258" spans="1:14" ht="15.75" customHeight="1">
      <c r="A258" s="19" t="s">
        <v>292</v>
      </c>
      <c r="B258" s="20" t="s">
        <v>23</v>
      </c>
      <c r="C258" s="21">
        <v>45451</v>
      </c>
      <c r="D258" s="20" t="s">
        <v>24</v>
      </c>
      <c r="E258" s="20" t="s">
        <v>37</v>
      </c>
      <c r="F258" s="22">
        <v>3413</v>
      </c>
      <c r="G258" s="22">
        <v>326</v>
      </c>
      <c r="H258" s="22">
        <v>86</v>
      </c>
      <c r="I258" s="22">
        <v>44680</v>
      </c>
      <c r="J258" s="22">
        <v>52719</v>
      </c>
      <c r="K258" s="22">
        <v>272</v>
      </c>
      <c r="L258" s="19" t="s">
        <v>356</v>
      </c>
      <c r="M258" s="20" t="s">
        <v>17</v>
      </c>
      <c r="N258" s="33">
        <f t="shared" si="3"/>
        <v>8.5608773500447627E-2</v>
      </c>
    </row>
    <row r="259" spans="1:14" ht="15.75" customHeight="1">
      <c r="A259" s="19" t="s">
        <v>293</v>
      </c>
      <c r="B259" s="20" t="s">
        <v>29</v>
      </c>
      <c r="C259" s="21">
        <v>45736</v>
      </c>
      <c r="D259" s="20" t="s">
        <v>53</v>
      </c>
      <c r="E259" s="20" t="s">
        <v>45</v>
      </c>
      <c r="F259" s="22">
        <v>1453</v>
      </c>
      <c r="G259" s="22">
        <v>156</v>
      </c>
      <c r="H259" s="22">
        <v>178</v>
      </c>
      <c r="I259" s="22">
        <v>52980</v>
      </c>
      <c r="J259" s="22">
        <v>57180</v>
      </c>
      <c r="K259" s="22">
        <v>286</v>
      </c>
      <c r="L259" s="19" t="s">
        <v>357</v>
      </c>
      <c r="M259" s="20" t="s">
        <v>54</v>
      </c>
      <c r="N259" s="33">
        <f t="shared" ref="N259:N301" si="4">(F259+G259+H259)/I259</f>
        <v>3.3729709324273313E-2</v>
      </c>
    </row>
    <row r="260" spans="1:14" ht="15.75" customHeight="1">
      <c r="A260" s="19" t="s">
        <v>294</v>
      </c>
      <c r="B260" s="20" t="s">
        <v>23</v>
      </c>
      <c r="C260" s="21">
        <v>45676</v>
      </c>
      <c r="D260" s="20" t="s">
        <v>24</v>
      </c>
      <c r="E260" s="20" t="s">
        <v>30</v>
      </c>
      <c r="F260" s="22">
        <v>1651</v>
      </c>
      <c r="G260" s="22">
        <v>480</v>
      </c>
      <c r="H260" s="22">
        <v>282</v>
      </c>
      <c r="I260" s="22">
        <v>32140</v>
      </c>
      <c r="J260" s="22">
        <v>70560</v>
      </c>
      <c r="K260" s="22">
        <v>138</v>
      </c>
      <c r="L260" s="19" t="s">
        <v>353</v>
      </c>
      <c r="M260" s="20" t="s">
        <v>17</v>
      </c>
      <c r="N260" s="33">
        <f t="shared" si="4"/>
        <v>7.5077784691972627E-2</v>
      </c>
    </row>
    <row r="261" spans="1:14" ht="15.75" customHeight="1">
      <c r="A261" s="19" t="s">
        <v>295</v>
      </c>
      <c r="B261" s="20" t="s">
        <v>23</v>
      </c>
      <c r="C261" s="21">
        <v>45662</v>
      </c>
      <c r="D261" s="20" t="s">
        <v>24</v>
      </c>
      <c r="E261" s="20" t="s">
        <v>19</v>
      </c>
      <c r="F261" s="22">
        <v>3341</v>
      </c>
      <c r="G261" s="22">
        <v>154</v>
      </c>
      <c r="H261" s="22">
        <v>123</v>
      </c>
      <c r="I261" s="22">
        <v>43369</v>
      </c>
      <c r="J261" s="22">
        <v>49035</v>
      </c>
      <c r="K261" s="22">
        <v>128</v>
      </c>
      <c r="L261" s="19" t="s">
        <v>354</v>
      </c>
      <c r="M261" s="20" t="s">
        <v>17</v>
      </c>
      <c r="N261" s="33">
        <f t="shared" si="4"/>
        <v>8.3423643616408028E-2</v>
      </c>
    </row>
    <row r="262" spans="1:14" ht="15.75" customHeight="1">
      <c r="A262" s="19" t="s">
        <v>296</v>
      </c>
      <c r="B262" s="20" t="s">
        <v>23</v>
      </c>
      <c r="C262" s="21">
        <v>45612</v>
      </c>
      <c r="D262" s="20" t="s">
        <v>15</v>
      </c>
      <c r="E262" s="20" t="s">
        <v>45</v>
      </c>
      <c r="F262" s="22">
        <v>2972</v>
      </c>
      <c r="G262" s="22">
        <v>263</v>
      </c>
      <c r="H262" s="22">
        <v>308</v>
      </c>
      <c r="I262" s="22">
        <v>51740</v>
      </c>
      <c r="J262" s="22">
        <v>28214</v>
      </c>
      <c r="K262" s="22">
        <v>190</v>
      </c>
      <c r="L262" s="19" t="s">
        <v>41</v>
      </c>
      <c r="M262" s="20" t="s">
        <v>21</v>
      </c>
      <c r="N262" s="33">
        <f t="shared" si="4"/>
        <v>6.8477000386548123E-2</v>
      </c>
    </row>
    <row r="263" spans="1:14" ht="15.75" customHeight="1">
      <c r="A263" s="19" t="s">
        <v>297</v>
      </c>
      <c r="B263" s="20" t="s">
        <v>23</v>
      </c>
      <c r="C263" s="21">
        <v>45626</v>
      </c>
      <c r="D263" s="20" t="s">
        <v>24</v>
      </c>
      <c r="E263" s="20" t="s">
        <v>19</v>
      </c>
      <c r="F263" s="22">
        <v>4963</v>
      </c>
      <c r="G263" s="22">
        <v>255</v>
      </c>
      <c r="H263" s="22">
        <v>193</v>
      </c>
      <c r="I263" s="22">
        <v>44386</v>
      </c>
      <c r="J263" s="22">
        <v>28415</v>
      </c>
      <c r="K263" s="22">
        <v>174</v>
      </c>
      <c r="L263" s="19" t="s">
        <v>354</v>
      </c>
      <c r="M263" s="20" t="s">
        <v>17</v>
      </c>
      <c r="N263" s="33">
        <f t="shared" si="4"/>
        <v>0.12190780876853062</v>
      </c>
    </row>
    <row r="264" spans="1:14" ht="15.75" customHeight="1">
      <c r="A264" s="19" t="s">
        <v>298</v>
      </c>
      <c r="B264" s="20" t="s">
        <v>29</v>
      </c>
      <c r="C264" s="21">
        <v>45378</v>
      </c>
      <c r="D264" s="20" t="s">
        <v>15</v>
      </c>
      <c r="E264" s="20" t="s">
        <v>30</v>
      </c>
      <c r="F264" s="22">
        <v>2399</v>
      </c>
      <c r="G264" s="22">
        <v>191</v>
      </c>
      <c r="H264" s="22">
        <v>221</v>
      </c>
      <c r="I264" s="22">
        <v>51603</v>
      </c>
      <c r="J264" s="22">
        <v>40033</v>
      </c>
      <c r="K264" s="22">
        <v>173</v>
      </c>
      <c r="L264" s="19" t="s">
        <v>355</v>
      </c>
      <c r="M264" s="20" t="s">
        <v>21</v>
      </c>
      <c r="N264" s="33">
        <f t="shared" si="4"/>
        <v>5.4473577117609438E-2</v>
      </c>
    </row>
    <row r="265" spans="1:14" ht="15.75" customHeight="1">
      <c r="A265" s="19" t="s">
        <v>299</v>
      </c>
      <c r="B265" s="20" t="s">
        <v>29</v>
      </c>
      <c r="C265" s="21">
        <v>45808</v>
      </c>
      <c r="D265" s="20" t="s">
        <v>53</v>
      </c>
      <c r="E265" s="20" t="s">
        <v>34</v>
      </c>
      <c r="F265" s="22">
        <v>2162</v>
      </c>
      <c r="G265" s="22">
        <v>318</v>
      </c>
      <c r="H265" s="22">
        <v>83</v>
      </c>
      <c r="I265" s="22">
        <v>46719</v>
      </c>
      <c r="J265" s="22">
        <v>20482</v>
      </c>
      <c r="K265" s="22">
        <v>185</v>
      </c>
      <c r="L265" s="19" t="s">
        <v>357</v>
      </c>
      <c r="M265" s="20" t="s">
        <v>54</v>
      </c>
      <c r="N265" s="33">
        <f t="shared" si="4"/>
        <v>5.4859907104176028E-2</v>
      </c>
    </row>
    <row r="266" spans="1:14" ht="15.75" customHeight="1">
      <c r="A266" s="19" t="s">
        <v>300</v>
      </c>
      <c r="B266" s="20" t="s">
        <v>23</v>
      </c>
      <c r="C266" s="21">
        <v>45825</v>
      </c>
      <c r="D266" s="20" t="s">
        <v>24</v>
      </c>
      <c r="E266" s="20" t="s">
        <v>19</v>
      </c>
      <c r="F266" s="22">
        <v>4341</v>
      </c>
      <c r="G266" s="22">
        <v>141</v>
      </c>
      <c r="H266" s="22">
        <v>63</v>
      </c>
      <c r="I266" s="22">
        <v>50081</v>
      </c>
      <c r="J266" s="22">
        <v>27507</v>
      </c>
      <c r="K266" s="22">
        <v>221</v>
      </c>
      <c r="L266" s="19" t="s">
        <v>356</v>
      </c>
      <c r="M266" s="20" t="s">
        <v>17</v>
      </c>
      <c r="N266" s="33">
        <f t="shared" si="4"/>
        <v>9.0752980172121162E-2</v>
      </c>
    </row>
    <row r="267" spans="1:14" ht="15.75" customHeight="1">
      <c r="A267" s="19" t="s">
        <v>301</v>
      </c>
      <c r="B267" s="20" t="s">
        <v>14</v>
      </c>
      <c r="C267" s="21">
        <v>45442</v>
      </c>
      <c r="D267" s="20" t="s">
        <v>24</v>
      </c>
      <c r="E267" s="20" t="s">
        <v>34</v>
      </c>
      <c r="F267" s="22">
        <v>2448</v>
      </c>
      <c r="G267" s="22">
        <v>464</v>
      </c>
      <c r="H267" s="22">
        <v>98</v>
      </c>
      <c r="I267" s="22">
        <v>25737</v>
      </c>
      <c r="J267" s="22">
        <v>48545</v>
      </c>
      <c r="K267" s="22">
        <v>246</v>
      </c>
      <c r="L267" s="19" t="s">
        <v>38</v>
      </c>
      <c r="M267" s="20" t="s">
        <v>51</v>
      </c>
      <c r="N267" s="33">
        <f t="shared" si="4"/>
        <v>0.11695224773672146</v>
      </c>
    </row>
    <row r="268" spans="1:14" ht="15.75" customHeight="1">
      <c r="A268" s="19" t="s">
        <v>302</v>
      </c>
      <c r="B268" s="20" t="s">
        <v>29</v>
      </c>
      <c r="C268" s="21">
        <v>45604</v>
      </c>
      <c r="D268" s="20" t="s">
        <v>15</v>
      </c>
      <c r="E268" s="20" t="s">
        <v>37</v>
      </c>
      <c r="F268" s="22">
        <v>2471</v>
      </c>
      <c r="G268" s="22">
        <v>166</v>
      </c>
      <c r="H268" s="22">
        <v>320</v>
      </c>
      <c r="I268" s="22">
        <v>48254</v>
      </c>
      <c r="J268" s="22">
        <v>46900</v>
      </c>
      <c r="K268" s="22">
        <v>111</v>
      </c>
      <c r="L268" s="19" t="s">
        <v>355</v>
      </c>
      <c r="M268" s="20" t="s">
        <v>21</v>
      </c>
      <c r="N268" s="33">
        <f t="shared" si="4"/>
        <v>6.1279893894806647E-2</v>
      </c>
    </row>
    <row r="269" spans="1:14" ht="15.75" customHeight="1">
      <c r="A269" s="19" t="s">
        <v>303</v>
      </c>
      <c r="B269" s="20" t="s">
        <v>29</v>
      </c>
      <c r="C269" s="21">
        <v>45368</v>
      </c>
      <c r="D269" s="20" t="s">
        <v>53</v>
      </c>
      <c r="E269" s="20" t="s">
        <v>19</v>
      </c>
      <c r="F269" s="22">
        <v>2692</v>
      </c>
      <c r="G269" s="22">
        <v>446</v>
      </c>
      <c r="H269" s="22">
        <v>216</v>
      </c>
      <c r="I269" s="22">
        <v>45818</v>
      </c>
      <c r="J269" s="22">
        <v>62723</v>
      </c>
      <c r="K269" s="22">
        <v>85</v>
      </c>
      <c r="L269" s="19" t="s">
        <v>357</v>
      </c>
      <c r="M269" s="20" t="s">
        <v>54</v>
      </c>
      <c r="N269" s="33">
        <f t="shared" si="4"/>
        <v>7.3202671439172376E-2</v>
      </c>
    </row>
    <row r="270" spans="1:14" ht="15.75" customHeight="1">
      <c r="A270" s="19" t="s">
        <v>304</v>
      </c>
      <c r="B270" s="20" t="s">
        <v>29</v>
      </c>
      <c r="C270" s="21">
        <v>45464</v>
      </c>
      <c r="D270" s="20" t="s">
        <v>53</v>
      </c>
      <c r="E270" s="20" t="s">
        <v>30</v>
      </c>
      <c r="F270" s="22">
        <v>4621</v>
      </c>
      <c r="G270" s="22">
        <v>374</v>
      </c>
      <c r="H270" s="22">
        <v>298</v>
      </c>
      <c r="I270" s="22">
        <v>56979</v>
      </c>
      <c r="J270" s="22">
        <v>24098</v>
      </c>
      <c r="K270" s="22">
        <v>205</v>
      </c>
      <c r="L270" s="19" t="s">
        <v>357</v>
      </c>
      <c r="M270" s="20" t="s">
        <v>54</v>
      </c>
      <c r="N270" s="33">
        <f t="shared" si="4"/>
        <v>9.2893873181347508E-2</v>
      </c>
    </row>
    <row r="271" spans="1:14" ht="15.75" customHeight="1">
      <c r="A271" s="19" t="s">
        <v>305</v>
      </c>
      <c r="B271" s="20" t="s">
        <v>23</v>
      </c>
      <c r="C271" s="21">
        <v>45609</v>
      </c>
      <c r="D271" s="20" t="s">
        <v>24</v>
      </c>
      <c r="E271" s="20" t="s">
        <v>25</v>
      </c>
      <c r="F271" s="22">
        <v>1409</v>
      </c>
      <c r="G271" s="22">
        <v>466</v>
      </c>
      <c r="H271" s="22">
        <v>105</v>
      </c>
      <c r="I271" s="22">
        <v>58923</v>
      </c>
      <c r="J271" s="22">
        <v>38753</v>
      </c>
      <c r="K271" s="22">
        <v>265</v>
      </c>
      <c r="L271" s="19" t="s">
        <v>356</v>
      </c>
      <c r="M271" s="20" t="s">
        <v>17</v>
      </c>
      <c r="N271" s="33">
        <f t="shared" si="4"/>
        <v>3.3603177027646251E-2</v>
      </c>
    </row>
    <row r="272" spans="1:14" ht="15.75" customHeight="1">
      <c r="A272" s="19" t="s">
        <v>306</v>
      </c>
      <c r="B272" s="20" t="s">
        <v>23</v>
      </c>
      <c r="C272" s="21">
        <v>45693</v>
      </c>
      <c r="D272" s="20" t="s">
        <v>24</v>
      </c>
      <c r="E272" s="20" t="s">
        <v>16</v>
      </c>
      <c r="F272" s="22">
        <v>3029</v>
      </c>
      <c r="G272" s="22">
        <v>440</v>
      </c>
      <c r="H272" s="22">
        <v>66</v>
      </c>
      <c r="I272" s="22">
        <v>23815</v>
      </c>
      <c r="J272" s="22">
        <v>47895</v>
      </c>
      <c r="K272" s="22">
        <v>210</v>
      </c>
      <c r="L272" s="19" t="s">
        <v>356</v>
      </c>
      <c r="M272" s="20" t="s">
        <v>17</v>
      </c>
      <c r="N272" s="33">
        <f t="shared" si="4"/>
        <v>0.14843585975225698</v>
      </c>
    </row>
    <row r="273" spans="1:14" ht="15.75" customHeight="1">
      <c r="A273" s="19" t="s">
        <v>307</v>
      </c>
      <c r="B273" s="20" t="s">
        <v>23</v>
      </c>
      <c r="C273" s="21">
        <v>45603</v>
      </c>
      <c r="D273" s="20" t="s">
        <v>15</v>
      </c>
      <c r="E273" s="20" t="s">
        <v>19</v>
      </c>
      <c r="F273" s="22">
        <v>2229</v>
      </c>
      <c r="G273" s="22">
        <v>395</v>
      </c>
      <c r="H273" s="22">
        <v>328</v>
      </c>
      <c r="I273" s="22">
        <v>56921</v>
      </c>
      <c r="J273" s="22">
        <v>37176</v>
      </c>
      <c r="K273" s="22">
        <v>126</v>
      </c>
      <c r="L273" s="19" t="s">
        <v>41</v>
      </c>
      <c r="M273" s="20" t="s">
        <v>21</v>
      </c>
      <c r="N273" s="33">
        <f t="shared" si="4"/>
        <v>5.1861351697967357E-2</v>
      </c>
    </row>
    <row r="274" spans="1:14" ht="15.75" customHeight="1">
      <c r="A274" s="19" t="s">
        <v>308</v>
      </c>
      <c r="B274" s="20" t="s">
        <v>23</v>
      </c>
      <c r="C274" s="21">
        <v>45334</v>
      </c>
      <c r="D274" s="20" t="s">
        <v>15</v>
      </c>
      <c r="E274" s="20" t="s">
        <v>19</v>
      </c>
      <c r="F274" s="22">
        <v>2691</v>
      </c>
      <c r="G274" s="22">
        <v>486</v>
      </c>
      <c r="H274" s="22">
        <v>206</v>
      </c>
      <c r="I274" s="22">
        <v>51133</v>
      </c>
      <c r="J274" s="22">
        <v>44583</v>
      </c>
      <c r="K274" s="22">
        <v>276</v>
      </c>
      <c r="L274" s="19" t="s">
        <v>38</v>
      </c>
      <c r="M274" s="20" t="s">
        <v>17</v>
      </c>
      <c r="N274" s="33">
        <f t="shared" si="4"/>
        <v>6.6160796354604659E-2</v>
      </c>
    </row>
    <row r="275" spans="1:14" ht="15.75" customHeight="1">
      <c r="A275" s="19" t="s">
        <v>309</v>
      </c>
      <c r="B275" s="20" t="s">
        <v>14</v>
      </c>
      <c r="C275" s="21">
        <v>45573</v>
      </c>
      <c r="D275" s="20" t="s">
        <v>15</v>
      </c>
      <c r="E275" s="20" t="s">
        <v>19</v>
      </c>
      <c r="F275" s="22">
        <v>2110</v>
      </c>
      <c r="G275" s="22">
        <v>384</v>
      </c>
      <c r="H275" s="22">
        <v>236</v>
      </c>
      <c r="I275" s="22">
        <v>49965</v>
      </c>
      <c r="J275" s="22">
        <v>61555</v>
      </c>
      <c r="K275" s="22">
        <v>195</v>
      </c>
      <c r="L275" s="19" t="s">
        <v>20</v>
      </c>
      <c r="M275" s="20" t="s">
        <v>21</v>
      </c>
      <c r="N275" s="33">
        <f t="shared" si="4"/>
        <v>5.4638246772740921E-2</v>
      </c>
    </row>
    <row r="276" spans="1:14" ht="15.75" customHeight="1">
      <c r="A276" s="19" t="s">
        <v>310</v>
      </c>
      <c r="B276" s="20" t="s">
        <v>14</v>
      </c>
      <c r="C276" s="21">
        <v>45341</v>
      </c>
      <c r="D276" s="20" t="s">
        <v>15</v>
      </c>
      <c r="E276" s="20" t="s">
        <v>27</v>
      </c>
      <c r="F276" s="22">
        <v>4752</v>
      </c>
      <c r="G276" s="22">
        <v>449</v>
      </c>
      <c r="H276" s="22">
        <v>309</v>
      </c>
      <c r="I276" s="22">
        <v>58530</v>
      </c>
      <c r="J276" s="22">
        <v>26630</v>
      </c>
      <c r="K276" s="22">
        <v>234</v>
      </c>
      <c r="L276" s="19" t="s">
        <v>20</v>
      </c>
      <c r="M276" s="20" t="s">
        <v>21</v>
      </c>
      <c r="N276" s="33">
        <f t="shared" si="4"/>
        <v>9.4139757389372969E-2</v>
      </c>
    </row>
    <row r="277" spans="1:14" ht="15.75" customHeight="1">
      <c r="A277" s="19" t="s">
        <v>311</v>
      </c>
      <c r="B277" s="20" t="s">
        <v>23</v>
      </c>
      <c r="C277" s="21">
        <v>45720</v>
      </c>
      <c r="D277" s="20" t="s">
        <v>15</v>
      </c>
      <c r="E277" s="20" t="s">
        <v>16</v>
      </c>
      <c r="F277" s="22">
        <v>2177</v>
      </c>
      <c r="G277" s="22">
        <v>258</v>
      </c>
      <c r="H277" s="22">
        <v>292</v>
      </c>
      <c r="I277" s="22">
        <v>47276</v>
      </c>
      <c r="J277" s="22">
        <v>51324</v>
      </c>
      <c r="K277" s="22">
        <v>143</v>
      </c>
      <c r="L277" s="19" t="s">
        <v>38</v>
      </c>
      <c r="M277" s="20" t="s">
        <v>17</v>
      </c>
      <c r="N277" s="33">
        <f t="shared" si="4"/>
        <v>5.7682545054573146E-2</v>
      </c>
    </row>
    <row r="278" spans="1:14" ht="15.75" customHeight="1">
      <c r="A278" s="19" t="s">
        <v>312</v>
      </c>
      <c r="B278" s="20" t="s">
        <v>14</v>
      </c>
      <c r="C278" s="21">
        <v>45691</v>
      </c>
      <c r="D278" s="20" t="s">
        <v>24</v>
      </c>
      <c r="E278" s="20" t="s">
        <v>25</v>
      </c>
      <c r="F278" s="22">
        <v>1205</v>
      </c>
      <c r="G278" s="22">
        <v>486</v>
      </c>
      <c r="H278" s="22">
        <v>269</v>
      </c>
      <c r="I278" s="22">
        <v>23341</v>
      </c>
      <c r="J278" s="22">
        <v>42411</v>
      </c>
      <c r="K278" s="22">
        <v>184</v>
      </c>
      <c r="L278" s="19" t="s">
        <v>38</v>
      </c>
      <c r="M278" s="20" t="s">
        <v>51</v>
      </c>
      <c r="N278" s="33">
        <f t="shared" si="4"/>
        <v>8.3972409065592737E-2</v>
      </c>
    </row>
    <row r="279" spans="1:14" ht="15.75" customHeight="1">
      <c r="A279" s="19" t="s">
        <v>313</v>
      </c>
      <c r="B279" s="20" t="s">
        <v>14</v>
      </c>
      <c r="C279" s="21">
        <v>45628</v>
      </c>
      <c r="D279" s="20" t="s">
        <v>15</v>
      </c>
      <c r="E279" s="20" t="s">
        <v>37</v>
      </c>
      <c r="F279" s="22">
        <v>3194</v>
      </c>
      <c r="G279" s="22">
        <v>292</v>
      </c>
      <c r="H279" s="22">
        <v>245</v>
      </c>
      <c r="I279" s="22">
        <v>56371</v>
      </c>
      <c r="J279" s="22">
        <v>65597</v>
      </c>
      <c r="K279" s="22">
        <v>163</v>
      </c>
      <c r="L279" s="19" t="s">
        <v>353</v>
      </c>
      <c r="M279" s="20" t="s">
        <v>17</v>
      </c>
      <c r="N279" s="33">
        <f t="shared" si="4"/>
        <v>6.6186514342481059E-2</v>
      </c>
    </row>
    <row r="280" spans="1:14" ht="15.75" customHeight="1">
      <c r="A280" s="19" t="s">
        <v>314</v>
      </c>
      <c r="B280" s="20" t="s">
        <v>23</v>
      </c>
      <c r="C280" s="21">
        <v>45676</v>
      </c>
      <c r="D280" s="20" t="s">
        <v>24</v>
      </c>
      <c r="E280" s="20" t="s">
        <v>25</v>
      </c>
      <c r="F280" s="22">
        <v>3507</v>
      </c>
      <c r="G280" s="22">
        <v>295</v>
      </c>
      <c r="H280" s="22">
        <v>371</v>
      </c>
      <c r="I280" s="22">
        <v>20410</v>
      </c>
      <c r="J280" s="22">
        <v>53965</v>
      </c>
      <c r="K280" s="22">
        <v>212</v>
      </c>
      <c r="L280" s="19" t="s">
        <v>353</v>
      </c>
      <c r="M280" s="20" t="s">
        <v>17</v>
      </c>
      <c r="N280" s="33">
        <f t="shared" si="4"/>
        <v>0.20445859872611466</v>
      </c>
    </row>
    <row r="281" spans="1:14" ht="15.75" customHeight="1">
      <c r="A281" s="19" t="s">
        <v>315</v>
      </c>
      <c r="B281" s="20" t="s">
        <v>23</v>
      </c>
      <c r="C281" s="21">
        <v>45563</v>
      </c>
      <c r="D281" s="20" t="s">
        <v>24</v>
      </c>
      <c r="E281" s="20" t="s">
        <v>27</v>
      </c>
      <c r="F281" s="22">
        <v>4471</v>
      </c>
      <c r="G281" s="22">
        <v>317</v>
      </c>
      <c r="H281" s="22">
        <v>249</v>
      </c>
      <c r="I281" s="22">
        <v>44862</v>
      </c>
      <c r="J281" s="22">
        <v>33365</v>
      </c>
      <c r="K281" s="22">
        <v>184</v>
      </c>
      <c r="L281" s="19" t="s">
        <v>356</v>
      </c>
      <c r="M281" s="20" t="s">
        <v>17</v>
      </c>
      <c r="N281" s="33">
        <f t="shared" si="4"/>
        <v>0.1122776514644911</v>
      </c>
    </row>
    <row r="282" spans="1:14" ht="15.75" customHeight="1">
      <c r="A282" s="19" t="s">
        <v>316</v>
      </c>
      <c r="B282" s="20" t="s">
        <v>14</v>
      </c>
      <c r="C282" s="21">
        <v>45298</v>
      </c>
      <c r="D282" s="20" t="s">
        <v>15</v>
      </c>
      <c r="E282" s="20" t="s">
        <v>37</v>
      </c>
      <c r="F282" s="22">
        <v>4931</v>
      </c>
      <c r="G282" s="22">
        <v>469</v>
      </c>
      <c r="H282" s="22">
        <v>193</v>
      </c>
      <c r="I282" s="22">
        <v>56701</v>
      </c>
      <c r="J282" s="22">
        <v>69437</v>
      </c>
      <c r="K282" s="22">
        <v>291</v>
      </c>
      <c r="L282" s="19" t="s">
        <v>353</v>
      </c>
      <c r="M282" s="20" t="s">
        <v>17</v>
      </c>
      <c r="N282" s="33">
        <f t="shared" si="4"/>
        <v>9.8640235621946709E-2</v>
      </c>
    </row>
    <row r="283" spans="1:14" ht="15.75" customHeight="1">
      <c r="A283" s="19" t="s">
        <v>317</v>
      </c>
      <c r="B283" s="20" t="s">
        <v>23</v>
      </c>
      <c r="C283" s="21">
        <v>45343</v>
      </c>
      <c r="D283" s="20" t="s">
        <v>24</v>
      </c>
      <c r="E283" s="20" t="s">
        <v>34</v>
      </c>
      <c r="F283" s="22">
        <v>2604</v>
      </c>
      <c r="G283" s="22">
        <v>439</v>
      </c>
      <c r="H283" s="22">
        <v>148</v>
      </c>
      <c r="I283" s="22">
        <v>58468</v>
      </c>
      <c r="J283" s="22">
        <v>39629</v>
      </c>
      <c r="K283" s="22">
        <v>163</v>
      </c>
      <c r="L283" s="19" t="s">
        <v>354</v>
      </c>
      <c r="M283" s="20" t="s">
        <v>17</v>
      </c>
      <c r="N283" s="33">
        <f t="shared" si="4"/>
        <v>5.4576862557296296E-2</v>
      </c>
    </row>
    <row r="284" spans="1:14" ht="15.75" customHeight="1">
      <c r="A284" s="19" t="s">
        <v>318</v>
      </c>
      <c r="B284" s="20" t="s">
        <v>14</v>
      </c>
      <c r="C284" s="21">
        <v>45531</v>
      </c>
      <c r="D284" s="20" t="s">
        <v>15</v>
      </c>
      <c r="E284" s="20" t="s">
        <v>30</v>
      </c>
      <c r="F284" s="22">
        <v>4197</v>
      </c>
      <c r="G284" s="22">
        <v>359</v>
      </c>
      <c r="H284" s="22">
        <v>280</v>
      </c>
      <c r="I284" s="22">
        <v>56048</v>
      </c>
      <c r="J284" s="22">
        <v>70930</v>
      </c>
      <c r="K284" s="22">
        <v>295</v>
      </c>
      <c r="L284" s="19" t="s">
        <v>20</v>
      </c>
      <c r="M284" s="20" t="s">
        <v>21</v>
      </c>
      <c r="N284" s="33">
        <f t="shared" si="4"/>
        <v>8.628318584070796E-2</v>
      </c>
    </row>
    <row r="285" spans="1:14" ht="15.75" customHeight="1">
      <c r="A285" s="19" t="s">
        <v>319</v>
      </c>
      <c r="B285" s="20" t="s">
        <v>14</v>
      </c>
      <c r="C285" s="21">
        <v>45589</v>
      </c>
      <c r="D285" s="20" t="s">
        <v>24</v>
      </c>
      <c r="E285" s="20" t="s">
        <v>37</v>
      </c>
      <c r="F285" s="22">
        <v>1914</v>
      </c>
      <c r="G285" s="22">
        <v>255</v>
      </c>
      <c r="H285" s="22">
        <v>156</v>
      </c>
      <c r="I285" s="22">
        <v>27660</v>
      </c>
      <c r="J285" s="22">
        <v>47776</v>
      </c>
      <c r="K285" s="22">
        <v>111</v>
      </c>
      <c r="L285" s="19" t="s">
        <v>38</v>
      </c>
      <c r="M285" s="20" t="s">
        <v>51</v>
      </c>
      <c r="N285" s="33">
        <f t="shared" si="4"/>
        <v>8.4056399132321047E-2</v>
      </c>
    </row>
    <row r="286" spans="1:14" ht="15.75" customHeight="1">
      <c r="A286" s="19" t="s">
        <v>320</v>
      </c>
      <c r="B286" s="20" t="s">
        <v>29</v>
      </c>
      <c r="C286" s="21">
        <v>45686</v>
      </c>
      <c r="D286" s="20" t="s">
        <v>15</v>
      </c>
      <c r="E286" s="20" t="s">
        <v>25</v>
      </c>
      <c r="F286" s="22">
        <v>1334</v>
      </c>
      <c r="G286" s="22">
        <v>357</v>
      </c>
      <c r="H286" s="22">
        <v>257</v>
      </c>
      <c r="I286" s="22">
        <v>56910</v>
      </c>
      <c r="J286" s="22">
        <v>70606</v>
      </c>
      <c r="K286" s="22">
        <v>228</v>
      </c>
      <c r="L286" s="19" t="s">
        <v>355</v>
      </c>
      <c r="M286" s="20" t="s">
        <v>21</v>
      </c>
      <c r="N286" s="33">
        <f t="shared" si="4"/>
        <v>3.4229485151994379E-2</v>
      </c>
    </row>
    <row r="287" spans="1:14" ht="15.75" customHeight="1">
      <c r="A287" s="19" t="s">
        <v>321</v>
      </c>
      <c r="B287" s="20" t="s">
        <v>14</v>
      </c>
      <c r="C287" s="21">
        <v>45413</v>
      </c>
      <c r="D287" s="20" t="s">
        <v>15</v>
      </c>
      <c r="E287" s="20" t="s">
        <v>34</v>
      </c>
      <c r="F287" s="22">
        <v>3359</v>
      </c>
      <c r="G287" s="22">
        <v>137</v>
      </c>
      <c r="H287" s="22">
        <v>387</v>
      </c>
      <c r="I287" s="22">
        <v>33861</v>
      </c>
      <c r="J287" s="22">
        <v>47257</v>
      </c>
      <c r="K287" s="22">
        <v>198</v>
      </c>
      <c r="L287" s="19" t="s">
        <v>20</v>
      </c>
      <c r="M287" s="20" t="s">
        <v>21</v>
      </c>
      <c r="N287" s="33">
        <f t="shared" si="4"/>
        <v>0.11467469950680724</v>
      </c>
    </row>
    <row r="288" spans="1:14" ht="15.75" customHeight="1">
      <c r="A288" s="19" t="s">
        <v>322</v>
      </c>
      <c r="B288" s="20" t="s">
        <v>29</v>
      </c>
      <c r="C288" s="21">
        <v>45468</v>
      </c>
      <c r="D288" s="20" t="s">
        <v>15</v>
      </c>
      <c r="E288" s="20" t="s">
        <v>47</v>
      </c>
      <c r="F288" s="22">
        <v>2172</v>
      </c>
      <c r="G288" s="22">
        <v>338</v>
      </c>
      <c r="H288" s="22">
        <v>70</v>
      </c>
      <c r="I288" s="22">
        <v>30515</v>
      </c>
      <c r="J288" s="22">
        <v>57853</v>
      </c>
      <c r="K288" s="22">
        <v>156</v>
      </c>
      <c r="L288" s="19" t="s">
        <v>355</v>
      </c>
      <c r="M288" s="20" t="s">
        <v>21</v>
      </c>
      <c r="N288" s="33">
        <f t="shared" si="4"/>
        <v>8.4548582664263475E-2</v>
      </c>
    </row>
    <row r="289" spans="1:14" ht="15.75" customHeight="1">
      <c r="A289" s="19" t="s">
        <v>323</v>
      </c>
      <c r="B289" s="20" t="s">
        <v>23</v>
      </c>
      <c r="C289" s="21">
        <v>45513</v>
      </c>
      <c r="D289" s="20" t="s">
        <v>24</v>
      </c>
      <c r="E289" s="20" t="s">
        <v>45</v>
      </c>
      <c r="F289" s="22">
        <v>4877</v>
      </c>
      <c r="G289" s="22">
        <v>442</v>
      </c>
      <c r="H289" s="22">
        <v>236</v>
      </c>
      <c r="I289" s="22">
        <v>52673</v>
      </c>
      <c r="J289" s="22">
        <v>48241</v>
      </c>
      <c r="K289" s="22">
        <v>114</v>
      </c>
      <c r="L289" s="19" t="s">
        <v>356</v>
      </c>
      <c r="M289" s="20" t="s">
        <v>17</v>
      </c>
      <c r="N289" s="33">
        <f t="shared" si="4"/>
        <v>0.10546200140489435</v>
      </c>
    </row>
    <row r="290" spans="1:14" ht="15.75" customHeight="1">
      <c r="A290" s="19" t="s">
        <v>324</v>
      </c>
      <c r="B290" s="20" t="s">
        <v>14</v>
      </c>
      <c r="C290" s="21">
        <v>45678</v>
      </c>
      <c r="D290" s="20" t="s">
        <v>24</v>
      </c>
      <c r="E290" s="20" t="s">
        <v>25</v>
      </c>
      <c r="F290" s="22">
        <v>4918</v>
      </c>
      <c r="G290" s="22">
        <v>440</v>
      </c>
      <c r="H290" s="22">
        <v>149</v>
      </c>
      <c r="I290" s="22">
        <v>53269</v>
      </c>
      <c r="J290" s="22">
        <v>64370</v>
      </c>
      <c r="K290" s="22">
        <v>269</v>
      </c>
      <c r="L290" s="19" t="s">
        <v>38</v>
      </c>
      <c r="M290" s="20" t="s">
        <v>51</v>
      </c>
      <c r="N290" s="33">
        <f t="shared" si="4"/>
        <v>0.10338095327488783</v>
      </c>
    </row>
    <row r="291" spans="1:14" ht="15.75" customHeight="1">
      <c r="A291" s="19" t="s">
        <v>325</v>
      </c>
      <c r="B291" s="20" t="s">
        <v>23</v>
      </c>
      <c r="C291" s="21">
        <v>45517</v>
      </c>
      <c r="D291" s="20" t="s">
        <v>15</v>
      </c>
      <c r="E291" s="20" t="s">
        <v>19</v>
      </c>
      <c r="F291" s="22">
        <v>3418</v>
      </c>
      <c r="G291" s="22">
        <v>107</v>
      </c>
      <c r="H291" s="22">
        <v>221</v>
      </c>
      <c r="I291" s="22">
        <v>23927</v>
      </c>
      <c r="J291" s="22">
        <v>26182</v>
      </c>
      <c r="K291" s="22">
        <v>155</v>
      </c>
      <c r="L291" s="19" t="s">
        <v>41</v>
      </c>
      <c r="M291" s="20" t="s">
        <v>21</v>
      </c>
      <c r="N291" s="33">
        <f t="shared" si="4"/>
        <v>0.1565595352530614</v>
      </c>
    </row>
    <row r="292" spans="1:14" ht="15.75" customHeight="1">
      <c r="A292" s="19" t="s">
        <v>326</v>
      </c>
      <c r="B292" s="20" t="s">
        <v>14</v>
      </c>
      <c r="C292" s="21">
        <v>45472</v>
      </c>
      <c r="D292" s="20" t="s">
        <v>15</v>
      </c>
      <c r="E292" s="20" t="s">
        <v>47</v>
      </c>
      <c r="F292" s="22">
        <v>2088</v>
      </c>
      <c r="G292" s="22">
        <v>490</v>
      </c>
      <c r="H292" s="22">
        <v>124</v>
      </c>
      <c r="I292" s="22">
        <v>46544</v>
      </c>
      <c r="J292" s="22">
        <v>69346</v>
      </c>
      <c r="K292" s="22">
        <v>178</v>
      </c>
      <c r="L292" s="19" t="s">
        <v>353</v>
      </c>
      <c r="M292" s="20" t="s">
        <v>17</v>
      </c>
      <c r="N292" s="33">
        <f t="shared" si="4"/>
        <v>5.8052595393606049E-2</v>
      </c>
    </row>
    <row r="293" spans="1:14" ht="15.75" customHeight="1">
      <c r="A293" s="19" t="s">
        <v>327</v>
      </c>
      <c r="B293" s="20" t="s">
        <v>23</v>
      </c>
      <c r="C293" s="21">
        <v>45599</v>
      </c>
      <c r="D293" s="20" t="s">
        <v>24</v>
      </c>
      <c r="E293" s="20" t="s">
        <v>19</v>
      </c>
      <c r="F293" s="22">
        <v>3061</v>
      </c>
      <c r="G293" s="22">
        <v>320</v>
      </c>
      <c r="H293" s="22">
        <v>76</v>
      </c>
      <c r="I293" s="22">
        <v>26640</v>
      </c>
      <c r="J293" s="22">
        <v>24306</v>
      </c>
      <c r="K293" s="22">
        <v>112</v>
      </c>
      <c r="L293" s="19" t="s">
        <v>354</v>
      </c>
      <c r="M293" s="20" t="s">
        <v>17</v>
      </c>
      <c r="N293" s="33">
        <f t="shared" si="4"/>
        <v>0.12976726726726726</v>
      </c>
    </row>
    <row r="294" spans="1:14" ht="15.75" customHeight="1">
      <c r="A294" s="19" t="s">
        <v>328</v>
      </c>
      <c r="B294" s="20" t="s">
        <v>29</v>
      </c>
      <c r="C294" s="21">
        <v>45765</v>
      </c>
      <c r="D294" s="20" t="s">
        <v>53</v>
      </c>
      <c r="E294" s="20" t="s">
        <v>47</v>
      </c>
      <c r="F294" s="22">
        <v>1265</v>
      </c>
      <c r="G294" s="22">
        <v>230</v>
      </c>
      <c r="H294" s="22">
        <v>364</v>
      </c>
      <c r="I294" s="22">
        <v>41312</v>
      </c>
      <c r="J294" s="22">
        <v>50382</v>
      </c>
      <c r="K294" s="22">
        <v>106</v>
      </c>
      <c r="L294" s="19" t="s">
        <v>357</v>
      </c>
      <c r="M294" s="20" t="s">
        <v>54</v>
      </c>
      <c r="N294" s="33">
        <f t="shared" si="4"/>
        <v>4.4999031758326875E-2</v>
      </c>
    </row>
    <row r="295" spans="1:14" ht="15.75" customHeight="1">
      <c r="A295" s="19" t="s">
        <v>329</v>
      </c>
      <c r="B295" s="20" t="s">
        <v>14</v>
      </c>
      <c r="C295" s="21">
        <v>45653</v>
      </c>
      <c r="D295" s="20" t="s">
        <v>15</v>
      </c>
      <c r="E295" s="20" t="s">
        <v>45</v>
      </c>
      <c r="F295" s="22">
        <v>1436</v>
      </c>
      <c r="G295" s="22">
        <v>219</v>
      </c>
      <c r="H295" s="22">
        <v>229</v>
      </c>
      <c r="I295" s="22">
        <v>58488</v>
      </c>
      <c r="J295" s="22">
        <v>24314</v>
      </c>
      <c r="K295" s="22">
        <v>147</v>
      </c>
      <c r="L295" s="19" t="s">
        <v>20</v>
      </c>
      <c r="M295" s="20" t="s">
        <v>21</v>
      </c>
      <c r="N295" s="33">
        <f t="shared" si="4"/>
        <v>3.221173574066475E-2</v>
      </c>
    </row>
    <row r="296" spans="1:14" ht="15.75" customHeight="1">
      <c r="A296" s="19" t="s">
        <v>330</v>
      </c>
      <c r="B296" s="20" t="s">
        <v>14</v>
      </c>
      <c r="C296" s="21">
        <v>45724</v>
      </c>
      <c r="D296" s="20" t="s">
        <v>24</v>
      </c>
      <c r="E296" s="20" t="s">
        <v>37</v>
      </c>
      <c r="F296" s="22">
        <v>2244</v>
      </c>
      <c r="G296" s="22">
        <v>392</v>
      </c>
      <c r="H296" s="22">
        <v>231</v>
      </c>
      <c r="I296" s="22">
        <v>25834</v>
      </c>
      <c r="J296" s="22">
        <v>50906</v>
      </c>
      <c r="K296" s="22">
        <v>165</v>
      </c>
      <c r="L296" s="19" t="s">
        <v>38</v>
      </c>
      <c r="M296" s="20" t="s">
        <v>51</v>
      </c>
      <c r="N296" s="33">
        <f t="shared" si="4"/>
        <v>0.1109777812185492</v>
      </c>
    </row>
    <row r="297" spans="1:14" ht="15.75" customHeight="1">
      <c r="A297" s="19" t="s">
        <v>331</v>
      </c>
      <c r="B297" s="20" t="s">
        <v>23</v>
      </c>
      <c r="C297" s="21">
        <v>45736</v>
      </c>
      <c r="D297" s="20" t="s">
        <v>24</v>
      </c>
      <c r="E297" s="20" t="s">
        <v>47</v>
      </c>
      <c r="F297" s="22">
        <v>3393</v>
      </c>
      <c r="G297" s="22">
        <v>104</v>
      </c>
      <c r="H297" s="22">
        <v>79</v>
      </c>
      <c r="I297" s="22">
        <v>30025</v>
      </c>
      <c r="J297" s="22">
        <v>21593</v>
      </c>
      <c r="K297" s="22">
        <v>165</v>
      </c>
      <c r="L297" s="19" t="s">
        <v>354</v>
      </c>
      <c r="M297" s="20" t="s">
        <v>17</v>
      </c>
      <c r="N297" s="33">
        <f t="shared" si="4"/>
        <v>0.1191007493755204</v>
      </c>
    </row>
    <row r="298" spans="1:14" ht="15.75" customHeight="1">
      <c r="A298" s="19" t="s">
        <v>332</v>
      </c>
      <c r="B298" s="20" t="s">
        <v>23</v>
      </c>
      <c r="C298" s="21">
        <v>45612</v>
      </c>
      <c r="D298" s="20" t="s">
        <v>15</v>
      </c>
      <c r="E298" s="20" t="s">
        <v>19</v>
      </c>
      <c r="F298" s="22">
        <v>2901</v>
      </c>
      <c r="G298" s="22">
        <v>108</v>
      </c>
      <c r="H298" s="22">
        <v>86</v>
      </c>
      <c r="I298" s="22">
        <v>51777</v>
      </c>
      <c r="J298" s="22">
        <v>23773</v>
      </c>
      <c r="K298" s="22">
        <v>160</v>
      </c>
      <c r="L298" s="19" t="s">
        <v>41</v>
      </c>
      <c r="M298" s="20" t="s">
        <v>21</v>
      </c>
      <c r="N298" s="33">
        <f t="shared" si="4"/>
        <v>5.9775576027966085E-2</v>
      </c>
    </row>
    <row r="299" spans="1:14" ht="15.75" customHeight="1">
      <c r="A299" s="19" t="s">
        <v>333</v>
      </c>
      <c r="B299" s="20" t="s">
        <v>23</v>
      </c>
      <c r="C299" s="21">
        <v>45838</v>
      </c>
      <c r="D299" s="20" t="s">
        <v>15</v>
      </c>
      <c r="E299" s="20" t="s">
        <v>32</v>
      </c>
      <c r="F299" s="22">
        <v>2275</v>
      </c>
      <c r="G299" s="22">
        <v>285</v>
      </c>
      <c r="H299" s="22">
        <v>125</v>
      </c>
      <c r="I299" s="22">
        <v>43970</v>
      </c>
      <c r="J299" s="22">
        <v>74761</v>
      </c>
      <c r="K299" s="22">
        <v>83</v>
      </c>
      <c r="L299" s="19" t="s">
        <v>38</v>
      </c>
      <c r="M299" s="20" t="s">
        <v>17</v>
      </c>
      <c r="N299" s="33">
        <f t="shared" si="4"/>
        <v>6.1064362065044349E-2</v>
      </c>
    </row>
    <row r="300" spans="1:14" ht="15.75" customHeight="1">
      <c r="A300" s="19" t="s">
        <v>334</v>
      </c>
      <c r="B300" s="20" t="s">
        <v>23</v>
      </c>
      <c r="C300" s="21">
        <v>45303</v>
      </c>
      <c r="D300" s="20" t="s">
        <v>24</v>
      </c>
      <c r="E300" s="20" t="s">
        <v>27</v>
      </c>
      <c r="F300" s="22">
        <v>2227</v>
      </c>
      <c r="G300" s="22">
        <v>494</v>
      </c>
      <c r="H300" s="22">
        <v>161</v>
      </c>
      <c r="I300" s="22">
        <v>51651</v>
      </c>
      <c r="J300" s="22">
        <v>68074</v>
      </c>
      <c r="K300" s="22">
        <v>240</v>
      </c>
      <c r="L300" s="19" t="s">
        <v>356</v>
      </c>
      <c r="M300" s="20" t="s">
        <v>17</v>
      </c>
      <c r="N300" s="33">
        <f t="shared" si="4"/>
        <v>5.5797564422760453E-2</v>
      </c>
    </row>
    <row r="301" spans="1:14" ht="15.75" customHeight="1">
      <c r="A301" s="19" t="s">
        <v>335</v>
      </c>
      <c r="B301" s="20" t="s">
        <v>14</v>
      </c>
      <c r="C301" s="21">
        <v>45329</v>
      </c>
      <c r="D301" s="20" t="s">
        <v>15</v>
      </c>
      <c r="E301" s="20" t="s">
        <v>30</v>
      </c>
      <c r="F301" s="22">
        <v>1883</v>
      </c>
      <c r="G301" s="22">
        <v>432</v>
      </c>
      <c r="H301" s="22">
        <v>397</v>
      </c>
      <c r="I301" s="22">
        <v>28759</v>
      </c>
      <c r="J301" s="22">
        <v>18691</v>
      </c>
      <c r="K301" s="22">
        <v>270</v>
      </c>
      <c r="L301" s="19" t="s">
        <v>353</v>
      </c>
      <c r="M301" s="20" t="s">
        <v>17</v>
      </c>
      <c r="N301" s="33">
        <f t="shared" si="4"/>
        <v>9.4300914496331587E-2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223E-55B3-44CC-91E6-EE4878C048A8}">
  <sheetPr>
    <tabColor theme="4" tint="-0.249977111117893"/>
  </sheetPr>
  <dimension ref="A1:X19"/>
  <sheetViews>
    <sheetView zoomScaleNormal="100" workbookViewId="0">
      <selection activeCell="H9" sqref="H9:H11"/>
      <pivotSelection pane="bottomRight" showHeader="1" axis="axisRow" activeRow="8" activeCol="7" previousRow="8" previousCol="7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/>
  <cols>
    <col min="8" max="8" width="16.77734375" customWidth="1"/>
    <col min="9" max="9" width="35.109375" customWidth="1"/>
    <col min="20" max="20" width="7.88671875" customWidth="1"/>
  </cols>
  <sheetData>
    <row r="1" spans="1:24" ht="18" customHeight="1"/>
    <row r="2" spans="1:24" ht="14.4" customHeight="1">
      <c r="H2" s="85" t="s">
        <v>359</v>
      </c>
      <c r="I2" s="85"/>
    </row>
    <row r="3" spans="1:24" ht="14.4" customHeight="1">
      <c r="H3" s="85"/>
      <c r="I3" s="85"/>
    </row>
    <row r="4" spans="1:24" ht="9" customHeight="1"/>
    <row r="5" spans="1:24" ht="22.95" customHeight="1">
      <c r="A5" s="84"/>
      <c r="B5" s="84"/>
      <c r="C5" s="84"/>
      <c r="D5" s="84"/>
      <c r="E5" s="84"/>
      <c r="F5" s="84"/>
      <c r="G5" s="84"/>
      <c r="H5" s="44" t="s">
        <v>365</v>
      </c>
      <c r="I5" s="44"/>
      <c r="J5" s="84"/>
      <c r="K5" s="84"/>
      <c r="L5" s="84"/>
      <c r="M5" s="84"/>
      <c r="N5" s="84"/>
      <c r="O5" s="84"/>
      <c r="P5" s="84"/>
      <c r="Q5" s="84"/>
      <c r="R5" s="42"/>
      <c r="S5" s="42"/>
      <c r="T5" s="42"/>
      <c r="U5" s="42"/>
      <c r="V5" s="42"/>
      <c r="W5" s="42"/>
      <c r="X5" s="42"/>
    </row>
    <row r="6" spans="1:24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19.95" customHeight="1">
      <c r="G7" s="35"/>
      <c r="H7" s="86" t="s">
        <v>364</v>
      </c>
      <c r="I7" s="86"/>
    </row>
    <row r="8" spans="1:24" ht="17.399999999999999">
      <c r="H8" s="45" t="s">
        <v>358</v>
      </c>
      <c r="I8" s="46" t="s">
        <v>338</v>
      </c>
    </row>
    <row r="9" spans="1:24" ht="19.95" customHeight="1">
      <c r="H9" s="61" t="s">
        <v>23</v>
      </c>
      <c r="I9" s="62">
        <v>9.6034606364774039E-2</v>
      </c>
      <c r="L9" s="75" t="s">
        <v>373</v>
      </c>
      <c r="M9" s="76"/>
      <c r="N9" s="76"/>
      <c r="O9" s="76"/>
      <c r="P9" s="76"/>
      <c r="Q9" s="77"/>
    </row>
    <row r="10" spans="1:24" ht="19.95" customHeight="1">
      <c r="H10" s="47" t="s">
        <v>14</v>
      </c>
      <c r="I10" s="48">
        <v>9.0794830422286865E-2</v>
      </c>
      <c r="L10" s="78"/>
      <c r="M10" s="79"/>
      <c r="N10" s="79"/>
      <c r="O10" s="79"/>
      <c r="P10" s="79"/>
      <c r="Q10" s="80"/>
    </row>
    <row r="11" spans="1:24" ht="19.95" customHeight="1">
      <c r="H11" s="49" t="s">
        <v>29</v>
      </c>
      <c r="I11" s="48">
        <v>8.8108118547634104E-2</v>
      </c>
      <c r="L11" s="78"/>
      <c r="M11" s="79"/>
      <c r="N11" s="79"/>
      <c r="O11" s="79"/>
      <c r="P11" s="79"/>
      <c r="Q11" s="80"/>
    </row>
    <row r="12" spans="1:24" ht="15.6">
      <c r="H12" s="50" t="s">
        <v>337</v>
      </c>
      <c r="I12" s="51">
        <v>9.281557706023677E-2</v>
      </c>
      <c r="L12" s="78"/>
      <c r="M12" s="79"/>
      <c r="N12" s="79"/>
      <c r="O12" s="79"/>
      <c r="P12" s="79"/>
      <c r="Q12" s="80"/>
    </row>
    <row r="13" spans="1:24" ht="14.4" customHeight="1">
      <c r="L13" s="78"/>
      <c r="M13" s="79"/>
      <c r="N13" s="79"/>
      <c r="O13" s="79"/>
      <c r="P13" s="79"/>
      <c r="Q13" s="80"/>
    </row>
    <row r="14" spans="1:24" ht="15" customHeight="1">
      <c r="L14" s="78"/>
      <c r="M14" s="79"/>
      <c r="N14" s="79"/>
      <c r="O14" s="79"/>
      <c r="P14" s="79"/>
      <c r="Q14" s="80"/>
    </row>
    <row r="15" spans="1:24" ht="14.4" customHeight="1">
      <c r="L15" s="81"/>
      <c r="M15" s="82"/>
      <c r="N15" s="82"/>
      <c r="O15" s="82"/>
      <c r="P15" s="82"/>
      <c r="Q15" s="83"/>
    </row>
    <row r="18" spans="11:12">
      <c r="K18" s="40"/>
    </row>
    <row r="19" spans="11:12">
      <c r="L19" s="41"/>
    </row>
  </sheetData>
  <mergeCells count="5">
    <mergeCell ref="L9:Q15"/>
    <mergeCell ref="J5:Q5"/>
    <mergeCell ref="A5:G5"/>
    <mergeCell ref="H2:I3"/>
    <mergeCell ref="H7:I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E1-2A61-43AF-888B-9A124F595F90}">
  <sheetPr>
    <tabColor theme="4" tint="-0.249977111117893"/>
  </sheetPr>
  <dimension ref="C2:T1005"/>
  <sheetViews>
    <sheetView zoomScale="110" zoomScaleNormal="110" workbookViewId="0">
      <selection activeCell="K8" sqref="K8"/>
    </sheetView>
  </sheetViews>
  <sheetFormatPr defaultColWidth="14.77734375" defaultRowHeight="15" customHeight="1"/>
  <cols>
    <col min="3" max="3" width="14.6640625" style="23" customWidth="1"/>
    <col min="4" max="5" width="14.77734375" style="24" customWidth="1"/>
    <col min="6" max="9" width="14.77734375" style="26" customWidth="1"/>
    <col min="10" max="10" width="17.77734375" style="24" bestFit="1" customWidth="1"/>
    <col min="11" max="11" width="22.44140625" bestFit="1" customWidth="1"/>
    <col min="12" max="12" width="8.6640625" customWidth="1"/>
    <col min="13" max="13" width="3.21875" customWidth="1"/>
    <col min="14" max="23" width="8.6640625" customWidth="1"/>
  </cols>
  <sheetData>
    <row r="2" spans="3:20" ht="22.95" customHeight="1">
      <c r="F2"/>
      <c r="G2" s="59" t="s">
        <v>347</v>
      </c>
      <c r="H2"/>
    </row>
    <row r="3" spans="3:20" ht="8.4" customHeight="1">
      <c r="C3"/>
      <c r="D3"/>
      <c r="E3"/>
      <c r="F3"/>
      <c r="G3"/>
      <c r="H3"/>
      <c r="I3"/>
      <c r="J3"/>
    </row>
    <row r="4" spans="3:20" ht="25.05" customHeight="1">
      <c r="C4"/>
      <c r="D4"/>
      <c r="E4" s="60" t="s">
        <v>360</v>
      </c>
      <c r="F4" s="60"/>
      <c r="G4" s="60"/>
      <c r="H4" s="60"/>
      <c r="I4" s="60"/>
      <c r="J4"/>
    </row>
    <row r="6" spans="3:20" ht="19.95" customHeight="1">
      <c r="C6" s="96" t="s">
        <v>339</v>
      </c>
      <c r="D6" s="96"/>
      <c r="E6" s="96"/>
      <c r="F6" s="96"/>
      <c r="G6" s="96"/>
      <c r="H6" s="96"/>
      <c r="I6" s="96"/>
      <c r="J6" s="96"/>
      <c r="K6" s="96"/>
    </row>
    <row r="7" spans="3:20" ht="18" customHeight="1">
      <c r="C7" s="15" t="s">
        <v>0</v>
      </c>
      <c r="D7" s="16" t="s">
        <v>1</v>
      </c>
      <c r="E7" s="16" t="s">
        <v>3</v>
      </c>
      <c r="F7" s="18" t="s">
        <v>5</v>
      </c>
      <c r="G7" s="18" t="s">
        <v>6</v>
      </c>
      <c r="H7" s="18" t="s">
        <v>7</v>
      </c>
      <c r="I7" s="18" t="s">
        <v>8</v>
      </c>
      <c r="J7" s="16" t="s">
        <v>12</v>
      </c>
      <c r="K7" s="27" t="s">
        <v>336</v>
      </c>
    </row>
    <row r="8" spans="3:20" ht="15" customHeight="1">
      <c r="C8" s="19" t="s">
        <v>33</v>
      </c>
      <c r="D8" s="20" t="s">
        <v>23</v>
      </c>
      <c r="E8" s="20" t="s">
        <v>24</v>
      </c>
      <c r="F8" s="22">
        <v>4674</v>
      </c>
      <c r="G8" s="22">
        <v>409</v>
      </c>
      <c r="H8" s="22">
        <v>327</v>
      </c>
      <c r="I8" s="22">
        <v>20756</v>
      </c>
      <c r="J8" s="20" t="s">
        <v>17</v>
      </c>
      <c r="K8" s="37">
        <f t="shared" ref="K8:K17" si="0">(F8+G8+H8)/I8</f>
        <v>0.26064752360763155</v>
      </c>
      <c r="N8" s="87" t="s">
        <v>374</v>
      </c>
      <c r="O8" s="88"/>
      <c r="P8" s="88"/>
      <c r="Q8" s="88"/>
      <c r="R8" s="88"/>
      <c r="S8" s="88"/>
      <c r="T8" s="89"/>
    </row>
    <row r="9" spans="3:20" ht="14.4" customHeight="1">
      <c r="C9" s="19" t="s">
        <v>141</v>
      </c>
      <c r="D9" s="20" t="s">
        <v>23</v>
      </c>
      <c r="E9" s="20" t="s">
        <v>24</v>
      </c>
      <c r="F9" s="22">
        <v>4619</v>
      </c>
      <c r="G9" s="22">
        <v>272</v>
      </c>
      <c r="H9" s="22">
        <v>57</v>
      </c>
      <c r="I9" s="22">
        <v>21334</v>
      </c>
      <c r="J9" s="20" t="s">
        <v>17</v>
      </c>
      <c r="K9" s="37">
        <f t="shared" si="0"/>
        <v>0.23193025217961938</v>
      </c>
      <c r="N9" s="90"/>
      <c r="O9" s="91"/>
      <c r="P9" s="91"/>
      <c r="Q9" s="91"/>
      <c r="R9" s="91"/>
      <c r="S9" s="91"/>
      <c r="T9" s="92"/>
    </row>
    <row r="10" spans="3:20" ht="14.4" customHeight="1">
      <c r="C10" s="19" t="s">
        <v>221</v>
      </c>
      <c r="D10" s="20" t="s">
        <v>23</v>
      </c>
      <c r="E10" s="20" t="s">
        <v>24</v>
      </c>
      <c r="F10" s="22">
        <v>4618</v>
      </c>
      <c r="G10" s="22">
        <v>312</v>
      </c>
      <c r="H10" s="22">
        <v>254</v>
      </c>
      <c r="I10" s="22">
        <v>22571</v>
      </c>
      <c r="J10" s="20" t="s">
        <v>17</v>
      </c>
      <c r="K10" s="37">
        <f t="shared" si="0"/>
        <v>0.22967524699836073</v>
      </c>
      <c r="N10" s="90"/>
      <c r="O10" s="91"/>
      <c r="P10" s="91"/>
      <c r="Q10" s="91"/>
      <c r="R10" s="91"/>
      <c r="S10" s="91"/>
      <c r="T10" s="92"/>
    </row>
    <row r="11" spans="3:20" ht="14.4" customHeight="1">
      <c r="C11" s="19" t="s">
        <v>314</v>
      </c>
      <c r="D11" s="20" t="s">
        <v>23</v>
      </c>
      <c r="E11" s="20" t="s">
        <v>24</v>
      </c>
      <c r="F11" s="22">
        <v>3507</v>
      </c>
      <c r="G11" s="22">
        <v>295</v>
      </c>
      <c r="H11" s="22">
        <v>371</v>
      </c>
      <c r="I11" s="22">
        <v>20410</v>
      </c>
      <c r="J11" s="20" t="s">
        <v>17</v>
      </c>
      <c r="K11" s="37">
        <f t="shared" si="0"/>
        <v>0.20445859872611466</v>
      </c>
      <c r="N11" s="90"/>
      <c r="O11" s="91"/>
      <c r="P11" s="91"/>
      <c r="Q11" s="91"/>
      <c r="R11" s="91"/>
      <c r="S11" s="91"/>
      <c r="T11" s="92"/>
    </row>
    <row r="12" spans="3:20" ht="14.4" customHeight="1">
      <c r="C12" s="19" t="s">
        <v>85</v>
      </c>
      <c r="D12" s="20" t="s">
        <v>23</v>
      </c>
      <c r="E12" s="20" t="s">
        <v>15</v>
      </c>
      <c r="F12" s="22">
        <v>4401</v>
      </c>
      <c r="G12" s="22">
        <v>421</v>
      </c>
      <c r="H12" s="22">
        <v>216</v>
      </c>
      <c r="I12" s="22">
        <v>24890</v>
      </c>
      <c r="J12" s="20" t="s">
        <v>17</v>
      </c>
      <c r="K12" s="37">
        <f t="shared" si="0"/>
        <v>0.20241060666934513</v>
      </c>
      <c r="N12" s="90"/>
      <c r="O12" s="91"/>
      <c r="P12" s="91"/>
      <c r="Q12" s="91"/>
      <c r="R12" s="91"/>
      <c r="S12" s="91"/>
      <c r="T12" s="92"/>
    </row>
    <row r="13" spans="3:20" ht="14.4" customHeight="1">
      <c r="C13" s="19" t="s">
        <v>57</v>
      </c>
      <c r="D13" s="20" t="s">
        <v>14</v>
      </c>
      <c r="E13" s="20" t="s">
        <v>15</v>
      </c>
      <c r="F13" s="22">
        <v>4896</v>
      </c>
      <c r="G13" s="22">
        <v>466</v>
      </c>
      <c r="H13" s="22">
        <v>233</v>
      </c>
      <c r="I13" s="22">
        <v>28621</v>
      </c>
      <c r="J13" s="20" t="s">
        <v>17</v>
      </c>
      <c r="K13" s="37">
        <f t="shared" si="0"/>
        <v>0.19548583208133888</v>
      </c>
      <c r="N13" s="90"/>
      <c r="O13" s="91"/>
      <c r="P13" s="91"/>
      <c r="Q13" s="91"/>
      <c r="R13" s="91"/>
      <c r="S13" s="91"/>
      <c r="T13" s="92"/>
    </row>
    <row r="14" spans="3:20" ht="14.4" customHeight="1">
      <c r="C14" s="19" t="s">
        <v>192</v>
      </c>
      <c r="D14" s="20" t="s">
        <v>29</v>
      </c>
      <c r="E14" s="20" t="s">
        <v>15</v>
      </c>
      <c r="F14" s="22">
        <v>4425</v>
      </c>
      <c r="G14" s="22">
        <v>185</v>
      </c>
      <c r="H14" s="22">
        <v>162</v>
      </c>
      <c r="I14" s="22">
        <v>24610</v>
      </c>
      <c r="J14" s="20" t="s">
        <v>21</v>
      </c>
      <c r="K14" s="37">
        <f t="shared" si="0"/>
        <v>0.19390491670052823</v>
      </c>
      <c r="N14" s="90"/>
      <c r="O14" s="91"/>
      <c r="P14" s="91"/>
      <c r="Q14" s="91"/>
      <c r="R14" s="91"/>
      <c r="S14" s="91"/>
      <c r="T14" s="92"/>
    </row>
    <row r="15" spans="3:20" ht="14.4" customHeight="1">
      <c r="C15" s="19" t="s">
        <v>283</v>
      </c>
      <c r="D15" s="20" t="s">
        <v>29</v>
      </c>
      <c r="E15" s="20" t="s">
        <v>53</v>
      </c>
      <c r="F15" s="22">
        <v>4722</v>
      </c>
      <c r="G15" s="22">
        <v>310</v>
      </c>
      <c r="H15" s="22">
        <v>344</v>
      </c>
      <c r="I15" s="22">
        <v>27911</v>
      </c>
      <c r="J15" s="20" t="s">
        <v>54</v>
      </c>
      <c r="K15" s="37">
        <f t="shared" si="0"/>
        <v>0.19261223173659131</v>
      </c>
      <c r="N15" s="90"/>
      <c r="O15" s="91"/>
      <c r="P15" s="91"/>
      <c r="Q15" s="91"/>
      <c r="R15" s="91"/>
      <c r="S15" s="91"/>
      <c r="T15" s="92"/>
    </row>
    <row r="16" spans="3:20" ht="14.4">
      <c r="C16" s="19" t="s">
        <v>171</v>
      </c>
      <c r="D16" s="20" t="s">
        <v>23</v>
      </c>
      <c r="E16" s="20" t="s">
        <v>15</v>
      </c>
      <c r="F16" s="22">
        <v>3728</v>
      </c>
      <c r="G16" s="22">
        <v>271</v>
      </c>
      <c r="H16" s="22">
        <v>275</v>
      </c>
      <c r="I16" s="22">
        <v>22827</v>
      </c>
      <c r="J16" s="20" t="s">
        <v>17</v>
      </c>
      <c r="K16" s="37">
        <f t="shared" si="0"/>
        <v>0.18723441538528934</v>
      </c>
      <c r="N16" s="90"/>
      <c r="O16" s="91"/>
      <c r="P16" s="91"/>
      <c r="Q16" s="91"/>
      <c r="R16" s="91"/>
      <c r="S16" s="91"/>
      <c r="T16" s="92"/>
    </row>
    <row r="17" spans="3:20" ht="14.4">
      <c r="C17" s="19" t="s">
        <v>103</v>
      </c>
      <c r="D17" s="20" t="s">
        <v>23</v>
      </c>
      <c r="E17" s="20" t="s">
        <v>15</v>
      </c>
      <c r="F17" s="22">
        <v>3276</v>
      </c>
      <c r="G17" s="22">
        <v>421</v>
      </c>
      <c r="H17" s="22">
        <v>114</v>
      </c>
      <c r="I17" s="22">
        <v>20580</v>
      </c>
      <c r="J17" s="20" t="s">
        <v>21</v>
      </c>
      <c r="K17" s="37">
        <f t="shared" si="0"/>
        <v>0.18517978620019437</v>
      </c>
      <c r="N17" s="90"/>
      <c r="O17" s="91"/>
      <c r="P17" s="91"/>
      <c r="Q17" s="91"/>
      <c r="R17" s="91"/>
      <c r="S17" s="91"/>
      <c r="T17" s="92"/>
    </row>
    <row r="18" spans="3:20" ht="14.4">
      <c r="C18"/>
      <c r="D18"/>
      <c r="E18"/>
      <c r="F18"/>
      <c r="G18"/>
      <c r="H18"/>
      <c r="I18"/>
      <c r="J18"/>
      <c r="N18" s="93"/>
      <c r="O18" s="94"/>
      <c r="P18" s="94"/>
      <c r="Q18" s="94"/>
      <c r="R18" s="94"/>
      <c r="S18" s="94"/>
      <c r="T18" s="95"/>
    </row>
    <row r="19" spans="3:20" ht="14.4">
      <c r="C19"/>
      <c r="D19"/>
      <c r="E19"/>
      <c r="F19"/>
      <c r="G19"/>
      <c r="H19"/>
      <c r="I19"/>
      <c r="J19"/>
    </row>
    <row r="20" spans="3:20" ht="15.6">
      <c r="C20"/>
      <c r="D20"/>
      <c r="E20"/>
      <c r="F20"/>
      <c r="G20"/>
      <c r="H20"/>
      <c r="I20"/>
      <c r="J20"/>
      <c r="M20" s="63"/>
    </row>
    <row r="21" spans="3:20" ht="14.4">
      <c r="C21"/>
      <c r="D21"/>
      <c r="E21"/>
      <c r="F21"/>
      <c r="G21"/>
      <c r="H21"/>
      <c r="I21"/>
      <c r="J21"/>
    </row>
    <row r="22" spans="3:20" ht="14.4">
      <c r="C22"/>
      <c r="D22"/>
      <c r="E22"/>
      <c r="F22"/>
      <c r="G22"/>
      <c r="H22"/>
      <c r="I22"/>
      <c r="J22"/>
    </row>
    <row r="23" spans="3:20" ht="14.4">
      <c r="C23"/>
      <c r="D23"/>
      <c r="E23"/>
      <c r="F23"/>
      <c r="G23"/>
      <c r="H23"/>
      <c r="I23"/>
      <c r="J23"/>
    </row>
    <row r="24" spans="3:20" ht="14.4">
      <c r="C24"/>
      <c r="D24"/>
      <c r="E24"/>
      <c r="F24"/>
      <c r="G24"/>
      <c r="H24"/>
      <c r="I24"/>
      <c r="J24"/>
    </row>
    <row r="25" spans="3:20" ht="14.4">
      <c r="C25"/>
      <c r="D25"/>
      <c r="E25"/>
      <c r="F25"/>
      <c r="G25"/>
      <c r="H25"/>
      <c r="I25"/>
      <c r="J25"/>
    </row>
    <row r="26" spans="3:20" ht="14.4">
      <c r="C26"/>
      <c r="D26"/>
      <c r="E26"/>
      <c r="F26"/>
      <c r="G26"/>
      <c r="H26"/>
      <c r="I26"/>
      <c r="J26"/>
    </row>
    <row r="27" spans="3:20" ht="15.75" customHeight="1">
      <c r="C27"/>
      <c r="D27"/>
      <c r="E27"/>
      <c r="F27"/>
      <c r="G27"/>
      <c r="H27"/>
      <c r="I27"/>
      <c r="J27"/>
    </row>
    <row r="28" spans="3:20" ht="15.75" customHeight="1">
      <c r="C28"/>
      <c r="D28"/>
      <c r="E28"/>
      <c r="F28"/>
      <c r="G28"/>
      <c r="H28"/>
      <c r="I28"/>
      <c r="J28"/>
    </row>
    <row r="29" spans="3:20" ht="15.75" customHeight="1">
      <c r="C29"/>
      <c r="D29"/>
      <c r="E29"/>
      <c r="F29"/>
      <c r="G29"/>
      <c r="H29"/>
      <c r="I29"/>
      <c r="J29"/>
    </row>
    <row r="30" spans="3:20" ht="15.75" customHeight="1">
      <c r="C30"/>
      <c r="D30"/>
      <c r="E30"/>
      <c r="F30"/>
      <c r="G30"/>
      <c r="H30"/>
      <c r="I30"/>
      <c r="J30"/>
    </row>
    <row r="31" spans="3:20" ht="15.75" customHeight="1">
      <c r="C31"/>
      <c r="D31"/>
      <c r="E31"/>
      <c r="F31"/>
      <c r="G31"/>
      <c r="H31"/>
      <c r="I31"/>
      <c r="J31"/>
    </row>
    <row r="32" spans="3:20" ht="15.75" customHeight="1">
      <c r="C32"/>
      <c r="D32"/>
      <c r="E32"/>
      <c r="F32"/>
      <c r="G32"/>
      <c r="H32"/>
      <c r="I32"/>
      <c r="J32"/>
    </row>
    <row r="33" customFormat="1" ht="15.75" customHeight="1"/>
    <row r="34" customFormat="1" ht="15.75" customHeight="1"/>
    <row r="35" customFormat="1" ht="15.75" customHeight="1"/>
    <row r="36" customFormat="1" ht="15.75" customHeight="1"/>
    <row r="37" customFormat="1" ht="15.75" customHeight="1"/>
    <row r="38" customFormat="1" ht="15.75" customHeight="1"/>
    <row r="39" customFormat="1" ht="15.75" customHeight="1"/>
    <row r="40" customFormat="1" ht="15.75" customHeight="1"/>
    <row r="41" customFormat="1" ht="15.75" customHeight="1"/>
    <row r="42" customFormat="1" ht="15.75" customHeight="1"/>
    <row r="43" customFormat="1" ht="15.7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spans="3:18" ht="15.75" customHeight="1">
      <c r="C305"/>
      <c r="D305"/>
      <c r="E305"/>
      <c r="F305"/>
      <c r="G305"/>
      <c r="H305"/>
      <c r="I305"/>
      <c r="J305"/>
    </row>
    <row r="306" spans="3:18" ht="15.75" customHeight="1">
      <c r="C306"/>
      <c r="D306"/>
      <c r="E306"/>
      <c r="F306"/>
      <c r="G306"/>
      <c r="H306"/>
      <c r="I306"/>
      <c r="J306"/>
    </row>
    <row r="307" spans="3:18" ht="15.75" customHeight="1">
      <c r="C307"/>
      <c r="D307"/>
      <c r="E307"/>
      <c r="F307"/>
      <c r="G307"/>
      <c r="H307"/>
      <c r="I307"/>
      <c r="J307"/>
    </row>
    <row r="308" spans="3:18" ht="15.75" customHeight="1"/>
    <row r="309" spans="3:18" ht="15.75" customHeight="1"/>
    <row r="310" spans="3:18" ht="15.75" customHeight="1"/>
    <row r="311" spans="3:18" s="23" customFormat="1" ht="15.75" customHeight="1">
      <c r="D311" s="24"/>
      <c r="E311" s="24"/>
      <c r="F311" s="26"/>
      <c r="G311" s="26"/>
      <c r="H311" s="26"/>
      <c r="I311" s="26"/>
      <c r="J311" s="24"/>
      <c r="K311"/>
      <c r="L311"/>
      <c r="M311"/>
      <c r="N311"/>
      <c r="O311"/>
      <c r="P311"/>
      <c r="Q311"/>
      <c r="R311"/>
    </row>
    <row r="312" spans="3:18" s="23" customFormat="1" ht="15.75" customHeight="1">
      <c r="D312" s="24"/>
      <c r="E312" s="24"/>
      <c r="F312" s="26"/>
      <c r="G312" s="26"/>
      <c r="H312" s="26"/>
      <c r="I312" s="26"/>
      <c r="J312" s="24"/>
      <c r="K312"/>
      <c r="L312"/>
      <c r="M312"/>
      <c r="N312"/>
      <c r="O312"/>
      <c r="P312"/>
      <c r="Q312"/>
      <c r="R312"/>
    </row>
    <row r="313" spans="3:18" s="23" customFormat="1" ht="15.75" customHeight="1">
      <c r="D313" s="24"/>
      <c r="E313" s="24"/>
      <c r="F313" s="26"/>
      <c r="G313" s="26"/>
      <c r="H313" s="26"/>
      <c r="I313" s="26"/>
      <c r="J313" s="24"/>
      <c r="K313"/>
      <c r="L313"/>
      <c r="M313"/>
      <c r="N313"/>
      <c r="O313"/>
      <c r="P313"/>
      <c r="Q313"/>
      <c r="R313"/>
    </row>
    <row r="314" spans="3:18" s="23" customFormat="1" ht="15.75" customHeight="1">
      <c r="D314" s="24"/>
      <c r="E314" s="24"/>
      <c r="F314" s="26"/>
      <c r="G314" s="26"/>
      <c r="H314" s="26"/>
      <c r="I314" s="26"/>
      <c r="J314" s="24"/>
      <c r="K314"/>
      <c r="L314"/>
      <c r="M314"/>
      <c r="N314"/>
      <c r="O314"/>
      <c r="P314"/>
      <c r="Q314"/>
      <c r="R314"/>
    </row>
    <row r="315" spans="3:18" s="23" customFormat="1" ht="15.75" customHeight="1">
      <c r="D315" s="24"/>
      <c r="E315" s="24"/>
      <c r="F315" s="26"/>
      <c r="G315" s="26"/>
      <c r="H315" s="26"/>
      <c r="I315" s="26"/>
      <c r="J315" s="24"/>
      <c r="K315"/>
      <c r="L315"/>
      <c r="M315"/>
      <c r="N315"/>
      <c r="O315"/>
      <c r="P315"/>
      <c r="Q315"/>
      <c r="R315"/>
    </row>
    <row r="316" spans="3:18" s="23" customFormat="1" ht="15.75" customHeight="1">
      <c r="D316" s="24"/>
      <c r="E316" s="24"/>
      <c r="F316" s="26"/>
      <c r="G316" s="26"/>
      <c r="H316" s="26"/>
      <c r="I316" s="26"/>
      <c r="J316" s="24"/>
      <c r="K316"/>
      <c r="L316"/>
      <c r="M316"/>
      <c r="N316"/>
      <c r="O316"/>
      <c r="P316"/>
      <c r="Q316"/>
      <c r="R316"/>
    </row>
    <row r="317" spans="3:18" s="23" customFormat="1" ht="15.75" customHeight="1">
      <c r="D317" s="24"/>
      <c r="E317" s="24"/>
      <c r="F317" s="26"/>
      <c r="G317" s="26"/>
      <c r="H317" s="26"/>
      <c r="I317" s="26"/>
      <c r="J317" s="24"/>
      <c r="K317"/>
      <c r="L317"/>
      <c r="M317"/>
      <c r="N317"/>
      <c r="O317"/>
      <c r="P317"/>
      <c r="Q317"/>
      <c r="R317"/>
    </row>
    <row r="318" spans="3:18" s="23" customFormat="1" ht="15.75" customHeight="1">
      <c r="D318" s="24"/>
      <c r="E318" s="24"/>
      <c r="F318" s="26"/>
      <c r="G318" s="26"/>
      <c r="H318" s="26"/>
      <c r="I318" s="26"/>
      <c r="J318" s="24"/>
      <c r="K318"/>
      <c r="L318"/>
      <c r="M318"/>
      <c r="N318"/>
      <c r="O318"/>
      <c r="P318"/>
      <c r="Q318"/>
      <c r="R318"/>
    </row>
    <row r="319" spans="3:18" s="23" customFormat="1" ht="15.75" customHeight="1">
      <c r="D319" s="24"/>
      <c r="E319" s="24"/>
      <c r="F319" s="26"/>
      <c r="G319" s="26"/>
      <c r="H319" s="26"/>
      <c r="I319" s="26"/>
      <c r="J319" s="24"/>
      <c r="K319"/>
      <c r="L319"/>
      <c r="M319"/>
      <c r="N319"/>
      <c r="O319"/>
      <c r="P319"/>
      <c r="Q319"/>
      <c r="R319"/>
    </row>
    <row r="320" spans="3:18" s="23" customFormat="1" ht="15.75" customHeight="1">
      <c r="D320" s="24"/>
      <c r="E320" s="24"/>
      <c r="F320" s="26"/>
      <c r="G320" s="26"/>
      <c r="H320" s="26"/>
      <c r="I320" s="26"/>
      <c r="J320" s="24"/>
      <c r="K320"/>
      <c r="L320"/>
      <c r="M320"/>
      <c r="N320"/>
      <c r="O320"/>
      <c r="P320"/>
      <c r="Q320"/>
      <c r="R320"/>
    </row>
    <row r="321" spans="4:18" s="23" customFormat="1" ht="15.75" customHeight="1">
      <c r="D321" s="24"/>
      <c r="E321" s="24"/>
      <c r="F321" s="26"/>
      <c r="G321" s="26"/>
      <c r="H321" s="26"/>
      <c r="I321" s="26"/>
      <c r="J321" s="24"/>
      <c r="K321"/>
      <c r="L321"/>
      <c r="M321"/>
      <c r="N321"/>
      <c r="O321"/>
      <c r="P321"/>
      <c r="Q321"/>
      <c r="R321"/>
    </row>
    <row r="322" spans="4:18" s="23" customFormat="1" ht="15.75" customHeight="1">
      <c r="D322" s="24"/>
      <c r="E322" s="24"/>
      <c r="F322" s="26"/>
      <c r="G322" s="26"/>
      <c r="H322" s="26"/>
      <c r="I322" s="26"/>
      <c r="J322" s="24"/>
      <c r="K322"/>
      <c r="L322"/>
      <c r="M322"/>
      <c r="N322"/>
      <c r="O322"/>
      <c r="P322"/>
      <c r="Q322"/>
      <c r="R322"/>
    </row>
    <row r="323" spans="4:18" s="23" customFormat="1" ht="15.75" customHeight="1">
      <c r="D323" s="24"/>
      <c r="E323" s="24"/>
      <c r="F323" s="26"/>
      <c r="G323" s="26"/>
      <c r="H323" s="26"/>
      <c r="I323" s="26"/>
      <c r="J323" s="24"/>
      <c r="K323"/>
      <c r="L323"/>
      <c r="M323"/>
      <c r="N323"/>
      <c r="O323"/>
      <c r="P323"/>
      <c r="Q323"/>
      <c r="R323"/>
    </row>
    <row r="324" spans="4:18" s="23" customFormat="1" ht="15.75" customHeight="1">
      <c r="D324" s="24"/>
      <c r="E324" s="24"/>
      <c r="F324" s="26"/>
      <c r="G324" s="26"/>
      <c r="H324" s="26"/>
      <c r="I324" s="26"/>
      <c r="J324" s="24"/>
      <c r="K324"/>
      <c r="L324"/>
      <c r="M324"/>
      <c r="N324"/>
      <c r="O324"/>
      <c r="P324"/>
      <c r="Q324"/>
      <c r="R324"/>
    </row>
    <row r="325" spans="4:18" s="23" customFormat="1" ht="15.75" customHeight="1">
      <c r="D325" s="24"/>
      <c r="E325" s="24"/>
      <c r="F325" s="26"/>
      <c r="G325" s="26"/>
      <c r="H325" s="26"/>
      <c r="I325" s="26"/>
      <c r="J325" s="24"/>
      <c r="K325"/>
      <c r="L325"/>
      <c r="M325"/>
      <c r="N325"/>
      <c r="O325"/>
      <c r="P325"/>
      <c r="Q325"/>
      <c r="R325"/>
    </row>
    <row r="326" spans="4:18" s="23" customFormat="1" ht="15.75" customHeight="1">
      <c r="D326" s="24"/>
      <c r="E326" s="24"/>
      <c r="F326" s="26"/>
      <c r="G326" s="26"/>
      <c r="H326" s="26"/>
      <c r="I326" s="26"/>
      <c r="J326" s="24"/>
      <c r="K326"/>
      <c r="L326"/>
      <c r="M326"/>
      <c r="N326"/>
      <c r="O326"/>
      <c r="P326"/>
      <c r="Q326"/>
      <c r="R326"/>
    </row>
    <row r="327" spans="4:18" s="23" customFormat="1" ht="15.75" customHeight="1">
      <c r="D327" s="24"/>
      <c r="E327" s="24"/>
      <c r="F327" s="26"/>
      <c r="G327" s="26"/>
      <c r="H327" s="26"/>
      <c r="I327" s="26"/>
      <c r="J327" s="24"/>
      <c r="K327"/>
      <c r="L327"/>
      <c r="M327"/>
      <c r="N327"/>
      <c r="O327"/>
      <c r="P327"/>
      <c r="Q327"/>
      <c r="R327"/>
    </row>
    <row r="328" spans="4:18" s="23" customFormat="1" ht="15.75" customHeight="1">
      <c r="D328" s="24"/>
      <c r="E328" s="24"/>
      <c r="F328" s="26"/>
      <c r="G328" s="26"/>
      <c r="H328" s="26"/>
      <c r="I328" s="26"/>
      <c r="J328" s="24"/>
      <c r="K328"/>
      <c r="L328"/>
      <c r="M328"/>
      <c r="N328"/>
      <c r="O328"/>
      <c r="P328"/>
      <c r="Q328"/>
      <c r="R328"/>
    </row>
    <row r="329" spans="4:18" s="23" customFormat="1" ht="15.75" customHeight="1">
      <c r="D329" s="24"/>
      <c r="E329" s="24"/>
      <c r="F329" s="26"/>
      <c r="G329" s="26"/>
      <c r="H329" s="26"/>
      <c r="I329" s="26"/>
      <c r="J329" s="24"/>
      <c r="K329"/>
      <c r="L329"/>
      <c r="M329"/>
      <c r="N329"/>
      <c r="O329"/>
      <c r="P329"/>
      <c r="Q329"/>
      <c r="R329"/>
    </row>
    <row r="330" spans="4:18" s="23" customFormat="1" ht="15.75" customHeight="1">
      <c r="D330" s="24"/>
      <c r="E330" s="24"/>
      <c r="F330" s="26"/>
      <c r="G330" s="26"/>
      <c r="H330" s="26"/>
      <c r="I330" s="26"/>
      <c r="J330" s="24"/>
      <c r="K330"/>
      <c r="L330"/>
      <c r="M330"/>
      <c r="N330"/>
      <c r="O330"/>
      <c r="P330"/>
      <c r="Q330"/>
      <c r="R330"/>
    </row>
    <row r="331" spans="4:18" s="23" customFormat="1" ht="15.75" customHeight="1">
      <c r="D331" s="24"/>
      <c r="E331" s="24"/>
      <c r="F331" s="26"/>
      <c r="G331" s="26"/>
      <c r="H331" s="26"/>
      <c r="I331" s="26"/>
      <c r="J331" s="24"/>
      <c r="K331"/>
      <c r="L331"/>
      <c r="M331"/>
      <c r="N331"/>
      <c r="O331"/>
      <c r="P331"/>
      <c r="Q331"/>
      <c r="R331"/>
    </row>
    <row r="332" spans="4:18" s="23" customFormat="1" ht="15.75" customHeight="1">
      <c r="D332" s="24"/>
      <c r="E332" s="24"/>
      <c r="F332" s="26"/>
      <c r="G332" s="26"/>
      <c r="H332" s="26"/>
      <c r="I332" s="26"/>
      <c r="J332" s="24"/>
      <c r="K332"/>
      <c r="L332"/>
      <c r="M332"/>
      <c r="N332"/>
      <c r="O332"/>
      <c r="P332"/>
      <c r="Q332"/>
      <c r="R332"/>
    </row>
    <row r="333" spans="4:18" s="23" customFormat="1" ht="15.75" customHeight="1">
      <c r="D333" s="24"/>
      <c r="E333" s="24"/>
      <c r="F333" s="26"/>
      <c r="G333" s="26"/>
      <c r="H333" s="26"/>
      <c r="I333" s="26"/>
      <c r="J333" s="24"/>
      <c r="K333"/>
      <c r="L333"/>
      <c r="M333"/>
      <c r="N333"/>
      <c r="O333"/>
      <c r="P333"/>
      <c r="Q333"/>
      <c r="R333"/>
    </row>
    <row r="334" spans="4:18" s="23" customFormat="1" ht="15.75" customHeight="1">
      <c r="D334" s="24"/>
      <c r="E334" s="24"/>
      <c r="F334" s="26"/>
      <c r="G334" s="26"/>
      <c r="H334" s="26"/>
      <c r="I334" s="26"/>
      <c r="J334" s="24"/>
      <c r="K334"/>
      <c r="L334"/>
      <c r="M334"/>
      <c r="N334"/>
      <c r="O334"/>
      <c r="P334"/>
      <c r="Q334"/>
      <c r="R334"/>
    </row>
    <row r="335" spans="4:18" s="23" customFormat="1" ht="15.75" customHeight="1">
      <c r="D335" s="24"/>
      <c r="E335" s="24"/>
      <c r="F335" s="26"/>
      <c r="G335" s="26"/>
      <c r="H335" s="26"/>
      <c r="I335" s="26"/>
      <c r="J335" s="24"/>
      <c r="K335"/>
      <c r="L335"/>
      <c r="M335"/>
      <c r="N335"/>
      <c r="O335"/>
      <c r="P335"/>
      <c r="Q335"/>
      <c r="R335"/>
    </row>
    <row r="336" spans="4:18" s="23" customFormat="1" ht="15.75" customHeight="1">
      <c r="D336" s="24"/>
      <c r="E336" s="24"/>
      <c r="F336" s="26"/>
      <c r="G336" s="26"/>
      <c r="H336" s="26"/>
      <c r="I336" s="26"/>
      <c r="J336" s="24"/>
      <c r="K336"/>
      <c r="L336"/>
      <c r="M336"/>
      <c r="N336"/>
      <c r="O336"/>
      <c r="P336"/>
      <c r="Q336"/>
      <c r="R336"/>
    </row>
    <row r="337" spans="4:18" s="23" customFormat="1" ht="15.75" customHeight="1">
      <c r="D337" s="24"/>
      <c r="E337" s="24"/>
      <c r="F337" s="26"/>
      <c r="G337" s="26"/>
      <c r="H337" s="26"/>
      <c r="I337" s="26"/>
      <c r="J337" s="24"/>
      <c r="K337"/>
      <c r="L337"/>
      <c r="M337"/>
      <c r="N337"/>
      <c r="O337"/>
      <c r="P337"/>
      <c r="Q337"/>
      <c r="R337"/>
    </row>
    <row r="338" spans="4:18" s="23" customFormat="1" ht="15.75" customHeight="1">
      <c r="D338" s="24"/>
      <c r="E338" s="24"/>
      <c r="F338" s="26"/>
      <c r="G338" s="26"/>
      <c r="H338" s="26"/>
      <c r="I338" s="26"/>
      <c r="J338" s="24"/>
      <c r="K338"/>
      <c r="L338"/>
      <c r="M338"/>
      <c r="N338"/>
      <c r="O338"/>
      <c r="P338"/>
      <c r="Q338"/>
      <c r="R338"/>
    </row>
    <row r="339" spans="4:18" s="23" customFormat="1" ht="15.75" customHeight="1">
      <c r="D339" s="24"/>
      <c r="E339" s="24"/>
      <c r="F339" s="26"/>
      <c r="G339" s="26"/>
      <c r="H339" s="26"/>
      <c r="I339" s="26"/>
      <c r="J339" s="24"/>
      <c r="K339"/>
      <c r="L339"/>
      <c r="M339"/>
      <c r="N339"/>
      <c r="O339"/>
      <c r="P339"/>
      <c r="Q339"/>
      <c r="R339"/>
    </row>
    <row r="340" spans="4:18" s="23" customFormat="1" ht="15.75" customHeight="1">
      <c r="D340" s="24"/>
      <c r="E340" s="24"/>
      <c r="F340" s="26"/>
      <c r="G340" s="26"/>
      <c r="H340" s="26"/>
      <c r="I340" s="26"/>
      <c r="J340" s="24"/>
      <c r="K340"/>
      <c r="L340"/>
      <c r="M340"/>
      <c r="N340"/>
      <c r="O340"/>
      <c r="P340"/>
      <c r="Q340"/>
      <c r="R340"/>
    </row>
    <row r="341" spans="4:18" s="23" customFormat="1" ht="15.75" customHeight="1">
      <c r="D341" s="24"/>
      <c r="E341" s="24"/>
      <c r="F341" s="26"/>
      <c r="G341" s="26"/>
      <c r="H341" s="26"/>
      <c r="I341" s="26"/>
      <c r="J341" s="24"/>
      <c r="K341"/>
      <c r="L341"/>
      <c r="M341"/>
      <c r="N341"/>
      <c r="O341"/>
      <c r="P341"/>
      <c r="Q341"/>
      <c r="R341"/>
    </row>
    <row r="342" spans="4:18" s="23" customFormat="1" ht="15.75" customHeight="1">
      <c r="D342" s="24"/>
      <c r="E342" s="24"/>
      <c r="F342" s="26"/>
      <c r="G342" s="26"/>
      <c r="H342" s="26"/>
      <c r="I342" s="26"/>
      <c r="J342" s="24"/>
      <c r="K342"/>
      <c r="L342"/>
      <c r="M342"/>
      <c r="N342"/>
      <c r="O342"/>
      <c r="P342"/>
      <c r="Q342"/>
      <c r="R342"/>
    </row>
    <row r="343" spans="4:18" s="23" customFormat="1" ht="15.75" customHeight="1">
      <c r="D343" s="24"/>
      <c r="E343" s="24"/>
      <c r="F343" s="26"/>
      <c r="G343" s="26"/>
      <c r="H343" s="26"/>
      <c r="I343" s="26"/>
      <c r="J343" s="24"/>
      <c r="K343"/>
      <c r="L343"/>
      <c r="M343"/>
      <c r="N343"/>
      <c r="O343"/>
      <c r="P343"/>
      <c r="Q343"/>
      <c r="R343"/>
    </row>
    <row r="344" spans="4:18" s="23" customFormat="1" ht="15.75" customHeight="1">
      <c r="D344" s="24"/>
      <c r="E344" s="24"/>
      <c r="F344" s="26"/>
      <c r="G344" s="26"/>
      <c r="H344" s="26"/>
      <c r="I344" s="26"/>
      <c r="J344" s="24"/>
      <c r="K344"/>
      <c r="L344"/>
      <c r="M344"/>
      <c r="N344"/>
      <c r="O344"/>
      <c r="P344"/>
      <c r="Q344"/>
      <c r="R344"/>
    </row>
    <row r="345" spans="4:18" s="23" customFormat="1" ht="15.75" customHeight="1">
      <c r="D345" s="24"/>
      <c r="E345" s="24"/>
      <c r="F345" s="26"/>
      <c r="G345" s="26"/>
      <c r="H345" s="26"/>
      <c r="I345" s="26"/>
      <c r="J345" s="24"/>
      <c r="K345"/>
      <c r="L345"/>
      <c r="M345"/>
      <c r="N345"/>
      <c r="O345"/>
      <c r="P345"/>
      <c r="Q345"/>
      <c r="R345"/>
    </row>
    <row r="346" spans="4:18" s="23" customFormat="1" ht="15.75" customHeight="1">
      <c r="D346" s="24"/>
      <c r="E346" s="24"/>
      <c r="F346" s="26"/>
      <c r="G346" s="26"/>
      <c r="H346" s="26"/>
      <c r="I346" s="26"/>
      <c r="J346" s="24"/>
      <c r="K346"/>
      <c r="L346"/>
      <c r="M346"/>
      <c r="N346"/>
      <c r="O346"/>
      <c r="P346"/>
      <c r="Q346"/>
      <c r="R346"/>
    </row>
    <row r="347" spans="4:18" s="23" customFormat="1" ht="15.75" customHeight="1">
      <c r="D347" s="24"/>
      <c r="E347" s="24"/>
      <c r="F347" s="26"/>
      <c r="G347" s="26"/>
      <c r="H347" s="26"/>
      <c r="I347" s="26"/>
      <c r="J347" s="24"/>
      <c r="K347"/>
      <c r="L347"/>
      <c r="M347"/>
      <c r="N347"/>
      <c r="O347"/>
      <c r="P347"/>
      <c r="Q347"/>
      <c r="R347"/>
    </row>
    <row r="348" spans="4:18" s="23" customFormat="1" ht="15.75" customHeight="1">
      <c r="D348" s="24"/>
      <c r="E348" s="24"/>
      <c r="F348" s="26"/>
      <c r="G348" s="26"/>
      <c r="H348" s="26"/>
      <c r="I348" s="26"/>
      <c r="J348" s="24"/>
      <c r="K348"/>
      <c r="L348"/>
      <c r="M348"/>
      <c r="N348"/>
      <c r="O348"/>
      <c r="P348"/>
      <c r="Q348"/>
      <c r="R348"/>
    </row>
    <row r="349" spans="4:18" s="23" customFormat="1" ht="15.75" customHeight="1">
      <c r="D349" s="24"/>
      <c r="E349" s="24"/>
      <c r="F349" s="26"/>
      <c r="G349" s="26"/>
      <c r="H349" s="26"/>
      <c r="I349" s="26"/>
      <c r="J349" s="24"/>
      <c r="K349"/>
      <c r="L349"/>
      <c r="M349"/>
      <c r="N349"/>
      <c r="O349"/>
      <c r="P349"/>
      <c r="Q349"/>
      <c r="R349"/>
    </row>
    <row r="350" spans="4:18" s="23" customFormat="1" ht="15.75" customHeight="1">
      <c r="D350" s="24"/>
      <c r="E350" s="24"/>
      <c r="F350" s="26"/>
      <c r="G350" s="26"/>
      <c r="H350" s="26"/>
      <c r="I350" s="26"/>
      <c r="J350" s="24"/>
      <c r="K350"/>
      <c r="L350"/>
      <c r="M350"/>
      <c r="N350"/>
      <c r="O350"/>
      <c r="P350"/>
      <c r="Q350"/>
      <c r="R350"/>
    </row>
    <row r="351" spans="4:18" s="23" customFormat="1" ht="15.75" customHeight="1">
      <c r="D351" s="24"/>
      <c r="E351" s="24"/>
      <c r="F351" s="26"/>
      <c r="G351" s="26"/>
      <c r="H351" s="26"/>
      <c r="I351" s="26"/>
      <c r="J351" s="24"/>
      <c r="K351"/>
      <c r="L351"/>
      <c r="M351"/>
      <c r="N351"/>
      <c r="O351"/>
      <c r="P351"/>
      <c r="Q351"/>
      <c r="R351"/>
    </row>
    <row r="352" spans="4:18" s="23" customFormat="1" ht="15.75" customHeight="1">
      <c r="D352" s="24"/>
      <c r="E352" s="24"/>
      <c r="F352" s="26"/>
      <c r="G352" s="26"/>
      <c r="H352" s="26"/>
      <c r="I352" s="26"/>
      <c r="J352" s="24"/>
      <c r="K352"/>
      <c r="L352"/>
      <c r="M352"/>
      <c r="N352"/>
      <c r="O352"/>
      <c r="P352"/>
      <c r="Q352"/>
      <c r="R352"/>
    </row>
    <row r="353" spans="4:18" s="23" customFormat="1" ht="15.75" customHeight="1">
      <c r="D353" s="24"/>
      <c r="E353" s="24"/>
      <c r="F353" s="26"/>
      <c r="G353" s="26"/>
      <c r="H353" s="26"/>
      <c r="I353" s="26"/>
      <c r="J353" s="24"/>
      <c r="K353"/>
      <c r="L353"/>
      <c r="M353"/>
      <c r="N353"/>
      <c r="O353"/>
      <c r="P353"/>
      <c r="Q353"/>
      <c r="R353"/>
    </row>
    <row r="354" spans="4:18" s="23" customFormat="1" ht="15.75" customHeight="1">
      <c r="D354" s="24"/>
      <c r="E354" s="24"/>
      <c r="F354" s="26"/>
      <c r="G354" s="26"/>
      <c r="H354" s="26"/>
      <c r="I354" s="26"/>
      <c r="J354" s="24"/>
      <c r="K354"/>
      <c r="L354"/>
      <c r="M354"/>
      <c r="N354"/>
      <c r="O354"/>
      <c r="P354"/>
      <c r="Q354"/>
      <c r="R354"/>
    </row>
    <row r="355" spans="4:18" s="23" customFormat="1" ht="15.75" customHeight="1">
      <c r="D355" s="24"/>
      <c r="E355" s="24"/>
      <c r="F355" s="26"/>
      <c r="G355" s="26"/>
      <c r="H355" s="26"/>
      <c r="I355" s="26"/>
      <c r="J355" s="24"/>
      <c r="K355"/>
      <c r="L355"/>
      <c r="M355"/>
      <c r="N355"/>
      <c r="O355"/>
      <c r="P355"/>
      <c r="Q355"/>
      <c r="R355"/>
    </row>
    <row r="356" spans="4:18" s="23" customFormat="1" ht="15.75" customHeight="1">
      <c r="D356" s="24"/>
      <c r="E356" s="24"/>
      <c r="F356" s="26"/>
      <c r="G356" s="26"/>
      <c r="H356" s="26"/>
      <c r="I356" s="26"/>
      <c r="J356" s="24"/>
      <c r="K356"/>
      <c r="L356"/>
      <c r="M356"/>
      <c r="N356"/>
      <c r="O356"/>
      <c r="P356"/>
      <c r="Q356"/>
      <c r="R356"/>
    </row>
    <row r="357" spans="4:18" s="23" customFormat="1" ht="15.75" customHeight="1">
      <c r="D357" s="24"/>
      <c r="E357" s="24"/>
      <c r="F357" s="26"/>
      <c r="G357" s="26"/>
      <c r="H357" s="26"/>
      <c r="I357" s="26"/>
      <c r="J357" s="24"/>
      <c r="K357"/>
      <c r="L357"/>
      <c r="M357"/>
      <c r="N357"/>
      <c r="O357"/>
      <c r="P357"/>
      <c r="Q357"/>
      <c r="R357"/>
    </row>
    <row r="358" spans="4:18" s="23" customFormat="1" ht="15.75" customHeight="1">
      <c r="D358" s="24"/>
      <c r="E358" s="24"/>
      <c r="F358" s="26"/>
      <c r="G358" s="26"/>
      <c r="H358" s="26"/>
      <c r="I358" s="26"/>
      <c r="J358" s="24"/>
      <c r="K358"/>
      <c r="L358"/>
      <c r="M358"/>
      <c r="N358"/>
      <c r="O358"/>
      <c r="P358"/>
      <c r="Q358"/>
      <c r="R358"/>
    </row>
    <row r="359" spans="4:18" s="23" customFormat="1" ht="15.75" customHeight="1">
      <c r="D359" s="24"/>
      <c r="E359" s="24"/>
      <c r="F359" s="26"/>
      <c r="G359" s="26"/>
      <c r="H359" s="26"/>
      <c r="I359" s="26"/>
      <c r="J359" s="24"/>
      <c r="K359"/>
      <c r="L359"/>
      <c r="M359"/>
      <c r="N359"/>
      <c r="O359"/>
      <c r="P359"/>
      <c r="Q359"/>
      <c r="R359"/>
    </row>
    <row r="360" spans="4:18" s="23" customFormat="1" ht="15.75" customHeight="1">
      <c r="D360" s="24"/>
      <c r="E360" s="24"/>
      <c r="F360" s="26"/>
      <c r="G360" s="26"/>
      <c r="H360" s="26"/>
      <c r="I360" s="26"/>
      <c r="J360" s="24"/>
      <c r="K360"/>
      <c r="L360"/>
      <c r="M360"/>
      <c r="N360"/>
      <c r="O360"/>
      <c r="P360"/>
      <c r="Q360"/>
      <c r="R360"/>
    </row>
    <row r="361" spans="4:18" s="23" customFormat="1" ht="15.75" customHeight="1">
      <c r="D361" s="24"/>
      <c r="E361" s="24"/>
      <c r="F361" s="26"/>
      <c r="G361" s="26"/>
      <c r="H361" s="26"/>
      <c r="I361" s="26"/>
      <c r="J361" s="24"/>
      <c r="K361"/>
      <c r="L361"/>
      <c r="M361"/>
      <c r="N361"/>
      <c r="O361"/>
      <c r="P361"/>
      <c r="Q361"/>
      <c r="R361"/>
    </row>
    <row r="362" spans="4:18" s="23" customFormat="1" ht="15.75" customHeight="1">
      <c r="D362" s="24"/>
      <c r="E362" s="24"/>
      <c r="F362" s="26"/>
      <c r="G362" s="26"/>
      <c r="H362" s="26"/>
      <c r="I362" s="26"/>
      <c r="J362" s="24"/>
      <c r="K362"/>
      <c r="L362"/>
      <c r="M362"/>
      <c r="N362"/>
      <c r="O362"/>
      <c r="P362"/>
      <c r="Q362"/>
      <c r="R362"/>
    </row>
    <row r="363" spans="4:18" s="23" customFormat="1" ht="15.75" customHeight="1">
      <c r="D363" s="24"/>
      <c r="E363" s="24"/>
      <c r="F363" s="26"/>
      <c r="G363" s="26"/>
      <c r="H363" s="26"/>
      <c r="I363" s="26"/>
      <c r="J363" s="24"/>
      <c r="K363"/>
      <c r="L363"/>
      <c r="M363"/>
      <c r="N363"/>
      <c r="O363"/>
      <c r="P363"/>
      <c r="Q363"/>
      <c r="R363"/>
    </row>
    <row r="364" spans="4:18" s="23" customFormat="1" ht="15.75" customHeight="1">
      <c r="D364" s="24"/>
      <c r="E364" s="24"/>
      <c r="F364" s="26"/>
      <c r="G364" s="26"/>
      <c r="H364" s="26"/>
      <c r="I364" s="26"/>
      <c r="J364" s="24"/>
      <c r="K364"/>
      <c r="L364"/>
      <c r="M364"/>
      <c r="N364"/>
      <c r="O364"/>
      <c r="P364"/>
      <c r="Q364"/>
      <c r="R364"/>
    </row>
    <row r="365" spans="4:18" s="23" customFormat="1" ht="15.75" customHeight="1">
      <c r="D365" s="24"/>
      <c r="E365" s="24"/>
      <c r="F365" s="26"/>
      <c r="G365" s="26"/>
      <c r="H365" s="26"/>
      <c r="I365" s="26"/>
      <c r="J365" s="24"/>
      <c r="K365"/>
      <c r="L365"/>
      <c r="M365"/>
      <c r="N365"/>
      <c r="O365"/>
      <c r="P365"/>
      <c r="Q365"/>
      <c r="R365"/>
    </row>
    <row r="366" spans="4:18" s="23" customFormat="1" ht="15.75" customHeight="1">
      <c r="D366" s="24"/>
      <c r="E366" s="24"/>
      <c r="F366" s="26"/>
      <c r="G366" s="26"/>
      <c r="H366" s="26"/>
      <c r="I366" s="26"/>
      <c r="J366" s="24"/>
      <c r="K366"/>
      <c r="L366"/>
      <c r="M366"/>
      <c r="N366"/>
      <c r="O366"/>
      <c r="P366"/>
      <c r="Q366"/>
      <c r="R366"/>
    </row>
    <row r="367" spans="4:18" s="23" customFormat="1" ht="15.75" customHeight="1">
      <c r="D367" s="24"/>
      <c r="E367" s="24"/>
      <c r="F367" s="26"/>
      <c r="G367" s="26"/>
      <c r="H367" s="26"/>
      <c r="I367" s="26"/>
      <c r="J367" s="24"/>
      <c r="K367"/>
      <c r="L367"/>
      <c r="M367"/>
      <c r="N367"/>
      <c r="O367"/>
      <c r="P367"/>
      <c r="Q367"/>
      <c r="R367"/>
    </row>
    <row r="368" spans="4:18" s="23" customFormat="1" ht="15.75" customHeight="1">
      <c r="D368" s="24"/>
      <c r="E368" s="24"/>
      <c r="F368" s="26"/>
      <c r="G368" s="26"/>
      <c r="H368" s="26"/>
      <c r="I368" s="26"/>
      <c r="J368" s="24"/>
      <c r="K368"/>
      <c r="L368"/>
      <c r="M368"/>
      <c r="N368"/>
      <c r="O368"/>
      <c r="P368"/>
      <c r="Q368"/>
      <c r="R368"/>
    </row>
    <row r="369" spans="4:18" s="23" customFormat="1" ht="15.75" customHeight="1">
      <c r="D369" s="24"/>
      <c r="E369" s="24"/>
      <c r="F369" s="26"/>
      <c r="G369" s="26"/>
      <c r="H369" s="26"/>
      <c r="I369" s="26"/>
      <c r="J369" s="24"/>
      <c r="K369"/>
      <c r="L369"/>
      <c r="M369"/>
      <c r="N369"/>
      <c r="O369"/>
      <c r="P369"/>
      <c r="Q369"/>
      <c r="R369"/>
    </row>
    <row r="370" spans="4:18" s="23" customFormat="1" ht="15.75" customHeight="1">
      <c r="D370" s="24"/>
      <c r="E370" s="24"/>
      <c r="F370" s="26"/>
      <c r="G370" s="26"/>
      <c r="H370" s="26"/>
      <c r="I370" s="26"/>
      <c r="J370" s="24"/>
      <c r="K370"/>
      <c r="L370"/>
      <c r="M370"/>
      <c r="N370"/>
      <c r="O370"/>
      <c r="P370"/>
      <c r="Q370"/>
      <c r="R370"/>
    </row>
    <row r="371" spans="4:18" s="23" customFormat="1" ht="15.75" customHeight="1">
      <c r="D371" s="24"/>
      <c r="E371" s="24"/>
      <c r="F371" s="26"/>
      <c r="G371" s="26"/>
      <c r="H371" s="26"/>
      <c r="I371" s="26"/>
      <c r="J371" s="24"/>
      <c r="K371"/>
      <c r="L371"/>
      <c r="M371"/>
      <c r="N371"/>
      <c r="O371"/>
      <c r="P371"/>
      <c r="Q371"/>
      <c r="R371"/>
    </row>
    <row r="372" spans="4:18" s="23" customFormat="1" ht="15.75" customHeight="1">
      <c r="D372" s="24"/>
      <c r="E372" s="24"/>
      <c r="F372" s="26"/>
      <c r="G372" s="26"/>
      <c r="H372" s="26"/>
      <c r="I372" s="26"/>
      <c r="J372" s="24"/>
      <c r="K372"/>
      <c r="L372"/>
      <c r="M372"/>
      <c r="N372"/>
      <c r="O372"/>
      <c r="P372"/>
      <c r="Q372"/>
      <c r="R372"/>
    </row>
    <row r="373" spans="4:18" s="23" customFormat="1" ht="15.75" customHeight="1">
      <c r="D373" s="24"/>
      <c r="E373" s="24"/>
      <c r="F373" s="26"/>
      <c r="G373" s="26"/>
      <c r="H373" s="26"/>
      <c r="I373" s="26"/>
      <c r="J373" s="24"/>
      <c r="K373"/>
      <c r="L373"/>
      <c r="M373"/>
      <c r="N373"/>
      <c r="O373"/>
      <c r="P373"/>
      <c r="Q373"/>
      <c r="R373"/>
    </row>
    <row r="374" spans="4:18" s="23" customFormat="1" ht="15.75" customHeight="1">
      <c r="D374" s="24"/>
      <c r="E374" s="24"/>
      <c r="F374" s="26"/>
      <c r="G374" s="26"/>
      <c r="H374" s="26"/>
      <c r="I374" s="26"/>
      <c r="J374" s="24"/>
      <c r="K374"/>
      <c r="L374"/>
      <c r="M374"/>
      <c r="N374"/>
      <c r="O374"/>
      <c r="P374"/>
      <c r="Q374"/>
      <c r="R374"/>
    </row>
    <row r="375" spans="4:18" s="23" customFormat="1" ht="15.75" customHeight="1">
      <c r="D375" s="24"/>
      <c r="E375" s="24"/>
      <c r="F375" s="26"/>
      <c r="G375" s="26"/>
      <c r="H375" s="26"/>
      <c r="I375" s="26"/>
      <c r="J375" s="24"/>
      <c r="K375"/>
      <c r="L375"/>
      <c r="M375"/>
      <c r="N375"/>
      <c r="O375"/>
      <c r="P375"/>
      <c r="Q375"/>
      <c r="R375"/>
    </row>
    <row r="376" spans="4:18" s="23" customFormat="1" ht="15.75" customHeight="1">
      <c r="D376" s="24"/>
      <c r="E376" s="24"/>
      <c r="F376" s="26"/>
      <c r="G376" s="26"/>
      <c r="H376" s="26"/>
      <c r="I376" s="26"/>
      <c r="J376" s="24"/>
      <c r="K376"/>
      <c r="L376"/>
      <c r="M376"/>
      <c r="N376"/>
      <c r="O376"/>
      <c r="P376"/>
      <c r="Q376"/>
      <c r="R376"/>
    </row>
    <row r="377" spans="4:18" s="23" customFormat="1" ht="15.75" customHeight="1">
      <c r="D377" s="24"/>
      <c r="E377" s="24"/>
      <c r="F377" s="26"/>
      <c r="G377" s="26"/>
      <c r="H377" s="26"/>
      <c r="I377" s="26"/>
      <c r="J377" s="24"/>
      <c r="K377"/>
      <c r="L377"/>
      <c r="M377"/>
      <c r="N377"/>
      <c r="O377"/>
      <c r="P377"/>
      <c r="Q377"/>
      <c r="R377"/>
    </row>
    <row r="378" spans="4:18" s="23" customFormat="1" ht="15.75" customHeight="1">
      <c r="D378" s="24"/>
      <c r="E378" s="24"/>
      <c r="F378" s="26"/>
      <c r="G378" s="26"/>
      <c r="H378" s="26"/>
      <c r="I378" s="26"/>
      <c r="J378" s="24"/>
      <c r="K378"/>
      <c r="L378"/>
      <c r="M378"/>
      <c r="N378"/>
      <c r="O378"/>
      <c r="P378"/>
      <c r="Q378"/>
      <c r="R378"/>
    </row>
    <row r="379" spans="4:18" s="23" customFormat="1" ht="15.75" customHeight="1">
      <c r="D379" s="24"/>
      <c r="E379" s="24"/>
      <c r="F379" s="26"/>
      <c r="G379" s="26"/>
      <c r="H379" s="26"/>
      <c r="I379" s="26"/>
      <c r="J379" s="24"/>
      <c r="K379"/>
      <c r="L379"/>
      <c r="M379"/>
      <c r="N379"/>
      <c r="O379"/>
      <c r="P379"/>
      <c r="Q379"/>
      <c r="R379"/>
    </row>
    <row r="380" spans="4:18" s="23" customFormat="1" ht="15.75" customHeight="1">
      <c r="D380" s="24"/>
      <c r="E380" s="24"/>
      <c r="F380" s="26"/>
      <c r="G380" s="26"/>
      <c r="H380" s="26"/>
      <c r="I380" s="26"/>
      <c r="J380" s="24"/>
      <c r="K380"/>
      <c r="L380"/>
      <c r="M380"/>
      <c r="N380"/>
      <c r="O380"/>
      <c r="P380"/>
      <c r="Q380"/>
      <c r="R380"/>
    </row>
    <row r="381" spans="4:18" s="23" customFormat="1" ht="15.75" customHeight="1">
      <c r="D381" s="24"/>
      <c r="E381" s="24"/>
      <c r="F381" s="26"/>
      <c r="G381" s="26"/>
      <c r="H381" s="26"/>
      <c r="I381" s="26"/>
      <c r="J381" s="24"/>
      <c r="K381"/>
      <c r="L381"/>
      <c r="M381"/>
      <c r="N381"/>
      <c r="O381"/>
      <c r="P381"/>
      <c r="Q381"/>
      <c r="R381"/>
    </row>
    <row r="382" spans="4:18" s="23" customFormat="1" ht="15.75" customHeight="1">
      <c r="D382" s="24"/>
      <c r="E382" s="24"/>
      <c r="F382" s="26"/>
      <c r="G382" s="26"/>
      <c r="H382" s="26"/>
      <c r="I382" s="26"/>
      <c r="J382" s="24"/>
      <c r="K382"/>
      <c r="L382"/>
      <c r="M382"/>
      <c r="N382"/>
      <c r="O382"/>
      <c r="P382"/>
      <c r="Q382"/>
      <c r="R382"/>
    </row>
    <row r="383" spans="4:18" s="23" customFormat="1" ht="15.75" customHeight="1">
      <c r="D383" s="24"/>
      <c r="E383" s="24"/>
      <c r="F383" s="26"/>
      <c r="G383" s="26"/>
      <c r="H383" s="26"/>
      <c r="I383" s="26"/>
      <c r="J383" s="24"/>
      <c r="K383"/>
      <c r="L383"/>
      <c r="M383"/>
      <c r="N383"/>
      <c r="O383"/>
      <c r="P383"/>
      <c r="Q383"/>
      <c r="R383"/>
    </row>
    <row r="384" spans="4:18" s="23" customFormat="1" ht="15.75" customHeight="1">
      <c r="D384" s="24"/>
      <c r="E384" s="24"/>
      <c r="F384" s="26"/>
      <c r="G384" s="26"/>
      <c r="H384" s="26"/>
      <c r="I384" s="26"/>
      <c r="J384" s="24"/>
      <c r="K384"/>
      <c r="L384"/>
      <c r="M384"/>
      <c r="N384"/>
      <c r="O384"/>
      <c r="P384"/>
      <c r="Q384"/>
      <c r="R384"/>
    </row>
    <row r="385" spans="4:18" s="23" customFormat="1" ht="15.75" customHeight="1">
      <c r="D385" s="24"/>
      <c r="E385" s="24"/>
      <c r="F385" s="26"/>
      <c r="G385" s="26"/>
      <c r="H385" s="26"/>
      <c r="I385" s="26"/>
      <c r="J385" s="24"/>
      <c r="K385"/>
      <c r="L385"/>
      <c r="M385"/>
      <c r="N385"/>
      <c r="O385"/>
      <c r="P385"/>
      <c r="Q385"/>
      <c r="R385"/>
    </row>
    <row r="386" spans="4:18" s="23" customFormat="1" ht="15.75" customHeight="1">
      <c r="D386" s="24"/>
      <c r="E386" s="24"/>
      <c r="F386" s="26"/>
      <c r="G386" s="26"/>
      <c r="H386" s="26"/>
      <c r="I386" s="26"/>
      <c r="J386" s="24"/>
      <c r="K386"/>
      <c r="L386"/>
      <c r="M386"/>
      <c r="N386"/>
      <c r="O386"/>
      <c r="P386"/>
      <c r="Q386"/>
      <c r="R386"/>
    </row>
    <row r="387" spans="4:18" s="23" customFormat="1" ht="15.75" customHeight="1">
      <c r="D387" s="24"/>
      <c r="E387" s="24"/>
      <c r="F387" s="26"/>
      <c r="G387" s="26"/>
      <c r="H387" s="26"/>
      <c r="I387" s="26"/>
      <c r="J387" s="24"/>
      <c r="K387"/>
      <c r="L387"/>
      <c r="M387"/>
      <c r="N387"/>
      <c r="O387"/>
      <c r="P387"/>
      <c r="Q387"/>
      <c r="R387"/>
    </row>
    <row r="388" spans="4:18" s="23" customFormat="1" ht="15.75" customHeight="1">
      <c r="D388" s="24"/>
      <c r="E388" s="24"/>
      <c r="F388" s="26"/>
      <c r="G388" s="26"/>
      <c r="H388" s="26"/>
      <c r="I388" s="26"/>
      <c r="J388" s="24"/>
      <c r="K388"/>
      <c r="L388"/>
      <c r="M388"/>
      <c r="N388"/>
      <c r="O388"/>
      <c r="P388"/>
      <c r="Q388"/>
      <c r="R388"/>
    </row>
    <row r="389" spans="4:18" s="23" customFormat="1" ht="15.75" customHeight="1">
      <c r="D389" s="24"/>
      <c r="E389" s="24"/>
      <c r="F389" s="26"/>
      <c r="G389" s="26"/>
      <c r="H389" s="26"/>
      <c r="I389" s="26"/>
      <c r="J389" s="24"/>
      <c r="K389"/>
      <c r="L389"/>
      <c r="M389"/>
      <c r="N389"/>
      <c r="O389"/>
      <c r="P389"/>
      <c r="Q389"/>
      <c r="R389"/>
    </row>
    <row r="390" spans="4:18" s="23" customFormat="1" ht="15.75" customHeight="1">
      <c r="D390" s="24"/>
      <c r="E390" s="24"/>
      <c r="F390" s="26"/>
      <c r="G390" s="26"/>
      <c r="H390" s="26"/>
      <c r="I390" s="26"/>
      <c r="J390" s="24"/>
      <c r="K390"/>
      <c r="L390"/>
      <c r="M390"/>
      <c r="N390"/>
      <c r="O390"/>
      <c r="P390"/>
      <c r="Q390"/>
      <c r="R390"/>
    </row>
    <row r="391" spans="4:18" s="23" customFormat="1" ht="15.75" customHeight="1">
      <c r="D391" s="24"/>
      <c r="E391" s="24"/>
      <c r="F391" s="26"/>
      <c r="G391" s="26"/>
      <c r="H391" s="26"/>
      <c r="I391" s="26"/>
      <c r="J391" s="24"/>
      <c r="K391"/>
      <c r="L391"/>
      <c r="M391"/>
      <c r="N391"/>
      <c r="O391"/>
      <c r="P391"/>
      <c r="Q391"/>
      <c r="R391"/>
    </row>
    <row r="392" spans="4:18" s="23" customFormat="1" ht="15.75" customHeight="1">
      <c r="D392" s="24"/>
      <c r="E392" s="24"/>
      <c r="F392" s="26"/>
      <c r="G392" s="26"/>
      <c r="H392" s="26"/>
      <c r="I392" s="26"/>
      <c r="J392" s="24"/>
      <c r="K392"/>
      <c r="L392"/>
      <c r="M392"/>
      <c r="N392"/>
      <c r="O392"/>
      <c r="P392"/>
      <c r="Q392"/>
      <c r="R392"/>
    </row>
    <row r="393" spans="4:18" s="23" customFormat="1" ht="15.75" customHeight="1">
      <c r="D393" s="24"/>
      <c r="E393" s="24"/>
      <c r="F393" s="26"/>
      <c r="G393" s="26"/>
      <c r="H393" s="26"/>
      <c r="I393" s="26"/>
      <c r="J393" s="24"/>
      <c r="K393"/>
      <c r="L393"/>
      <c r="M393"/>
      <c r="N393"/>
      <c r="O393"/>
      <c r="P393"/>
      <c r="Q393"/>
      <c r="R393"/>
    </row>
    <row r="394" spans="4:18" s="23" customFormat="1" ht="15.75" customHeight="1">
      <c r="D394" s="24"/>
      <c r="E394" s="24"/>
      <c r="F394" s="26"/>
      <c r="G394" s="26"/>
      <c r="H394" s="26"/>
      <c r="I394" s="26"/>
      <c r="J394" s="24"/>
      <c r="K394"/>
      <c r="L394"/>
      <c r="M394"/>
      <c r="N394"/>
      <c r="O394"/>
      <c r="P394"/>
      <c r="Q394"/>
      <c r="R394"/>
    </row>
    <row r="395" spans="4:18" s="23" customFormat="1" ht="15.75" customHeight="1">
      <c r="D395" s="24"/>
      <c r="E395" s="24"/>
      <c r="F395" s="26"/>
      <c r="G395" s="26"/>
      <c r="H395" s="26"/>
      <c r="I395" s="26"/>
      <c r="J395" s="24"/>
      <c r="K395"/>
      <c r="L395"/>
      <c r="M395"/>
      <c r="N395"/>
      <c r="O395"/>
      <c r="P395"/>
      <c r="Q395"/>
      <c r="R395"/>
    </row>
    <row r="396" spans="4:18" s="23" customFormat="1" ht="15.75" customHeight="1">
      <c r="D396" s="24"/>
      <c r="E396" s="24"/>
      <c r="F396" s="26"/>
      <c r="G396" s="26"/>
      <c r="H396" s="26"/>
      <c r="I396" s="26"/>
      <c r="J396" s="24"/>
      <c r="K396"/>
      <c r="L396"/>
      <c r="M396"/>
      <c r="N396"/>
      <c r="O396"/>
      <c r="P396"/>
      <c r="Q396"/>
      <c r="R396"/>
    </row>
    <row r="397" spans="4:18" s="23" customFormat="1" ht="15.75" customHeight="1">
      <c r="D397" s="24"/>
      <c r="E397" s="24"/>
      <c r="F397" s="26"/>
      <c r="G397" s="26"/>
      <c r="H397" s="26"/>
      <c r="I397" s="26"/>
      <c r="J397" s="24"/>
      <c r="K397"/>
      <c r="L397"/>
      <c r="M397"/>
      <c r="N397"/>
      <c r="O397"/>
      <c r="P397"/>
      <c r="Q397"/>
      <c r="R397"/>
    </row>
    <row r="398" spans="4:18" s="23" customFormat="1" ht="15.75" customHeight="1">
      <c r="D398" s="24"/>
      <c r="E398" s="24"/>
      <c r="F398" s="26"/>
      <c r="G398" s="26"/>
      <c r="H398" s="26"/>
      <c r="I398" s="26"/>
      <c r="J398" s="24"/>
      <c r="K398"/>
      <c r="L398"/>
      <c r="M398"/>
      <c r="N398"/>
      <c r="O398"/>
      <c r="P398"/>
      <c r="Q398"/>
      <c r="R398"/>
    </row>
    <row r="399" spans="4:18" s="23" customFormat="1" ht="15.75" customHeight="1">
      <c r="D399" s="24"/>
      <c r="E399" s="24"/>
      <c r="F399" s="26"/>
      <c r="G399" s="26"/>
      <c r="H399" s="26"/>
      <c r="I399" s="26"/>
      <c r="J399" s="24"/>
      <c r="K399"/>
      <c r="L399"/>
      <c r="M399"/>
      <c r="N399"/>
      <c r="O399"/>
      <c r="P399"/>
      <c r="Q399"/>
      <c r="R399"/>
    </row>
    <row r="400" spans="4:18" s="23" customFormat="1" ht="15.75" customHeight="1">
      <c r="D400" s="24"/>
      <c r="E400" s="24"/>
      <c r="F400" s="26"/>
      <c r="G400" s="26"/>
      <c r="H400" s="26"/>
      <c r="I400" s="26"/>
      <c r="J400" s="24"/>
      <c r="K400"/>
      <c r="L400"/>
      <c r="M400"/>
      <c r="N400"/>
      <c r="O400"/>
      <c r="P400"/>
      <c r="Q400"/>
      <c r="R400"/>
    </row>
    <row r="401" spans="4:18" s="23" customFormat="1" ht="15.75" customHeight="1">
      <c r="D401" s="24"/>
      <c r="E401" s="24"/>
      <c r="F401" s="26"/>
      <c r="G401" s="26"/>
      <c r="H401" s="26"/>
      <c r="I401" s="26"/>
      <c r="J401" s="24"/>
      <c r="K401"/>
      <c r="L401"/>
      <c r="M401"/>
      <c r="N401"/>
      <c r="O401"/>
      <c r="P401"/>
      <c r="Q401"/>
      <c r="R401"/>
    </row>
    <row r="402" spans="4:18" s="23" customFormat="1" ht="15.75" customHeight="1">
      <c r="D402" s="24"/>
      <c r="E402" s="24"/>
      <c r="F402" s="26"/>
      <c r="G402" s="26"/>
      <c r="H402" s="26"/>
      <c r="I402" s="26"/>
      <c r="J402" s="24"/>
      <c r="K402"/>
      <c r="L402"/>
      <c r="M402"/>
      <c r="N402"/>
      <c r="O402"/>
      <c r="P402"/>
      <c r="Q402"/>
      <c r="R402"/>
    </row>
    <row r="403" spans="4:18" s="23" customFormat="1" ht="15.75" customHeight="1">
      <c r="D403" s="24"/>
      <c r="E403" s="24"/>
      <c r="F403" s="26"/>
      <c r="G403" s="26"/>
      <c r="H403" s="26"/>
      <c r="I403" s="26"/>
      <c r="J403" s="24"/>
      <c r="K403"/>
      <c r="L403"/>
      <c r="M403"/>
      <c r="N403"/>
      <c r="O403"/>
      <c r="P403"/>
      <c r="Q403"/>
      <c r="R403"/>
    </row>
    <row r="404" spans="4:18" s="23" customFormat="1" ht="15.75" customHeight="1">
      <c r="D404" s="24"/>
      <c r="E404" s="24"/>
      <c r="F404" s="26"/>
      <c r="G404" s="26"/>
      <c r="H404" s="26"/>
      <c r="I404" s="26"/>
      <c r="J404" s="24"/>
      <c r="K404"/>
      <c r="L404"/>
      <c r="M404"/>
      <c r="N404"/>
      <c r="O404"/>
      <c r="P404"/>
      <c r="Q404"/>
      <c r="R404"/>
    </row>
    <row r="405" spans="4:18" s="23" customFormat="1" ht="15.75" customHeight="1">
      <c r="D405" s="24"/>
      <c r="E405" s="24"/>
      <c r="F405" s="26"/>
      <c r="G405" s="26"/>
      <c r="H405" s="26"/>
      <c r="I405" s="26"/>
      <c r="J405" s="24"/>
      <c r="K405"/>
      <c r="L405"/>
      <c r="M405"/>
      <c r="N405"/>
      <c r="O405"/>
      <c r="P405"/>
      <c r="Q405"/>
      <c r="R405"/>
    </row>
    <row r="406" spans="4:18" s="23" customFormat="1" ht="15.75" customHeight="1">
      <c r="D406" s="24"/>
      <c r="E406" s="24"/>
      <c r="F406" s="26"/>
      <c r="G406" s="26"/>
      <c r="H406" s="26"/>
      <c r="I406" s="26"/>
      <c r="J406" s="24"/>
      <c r="K406"/>
      <c r="L406"/>
      <c r="M406"/>
      <c r="N406"/>
      <c r="O406"/>
      <c r="P406"/>
      <c r="Q406"/>
      <c r="R406"/>
    </row>
    <row r="407" spans="4:18" s="23" customFormat="1" ht="15.75" customHeight="1">
      <c r="D407" s="24"/>
      <c r="E407" s="24"/>
      <c r="F407" s="26"/>
      <c r="G407" s="26"/>
      <c r="H407" s="26"/>
      <c r="I407" s="26"/>
      <c r="J407" s="24"/>
      <c r="K407"/>
      <c r="L407"/>
      <c r="M407"/>
      <c r="N407"/>
      <c r="O407"/>
      <c r="P407"/>
      <c r="Q407"/>
      <c r="R407"/>
    </row>
    <row r="408" spans="4:18" s="23" customFormat="1" ht="15.75" customHeight="1">
      <c r="D408" s="24"/>
      <c r="E408" s="24"/>
      <c r="F408" s="26"/>
      <c r="G408" s="26"/>
      <c r="H408" s="26"/>
      <c r="I408" s="26"/>
      <c r="J408" s="24"/>
      <c r="K408"/>
      <c r="L408"/>
      <c r="M408"/>
      <c r="N408"/>
      <c r="O408"/>
      <c r="P408"/>
      <c r="Q408"/>
      <c r="R408"/>
    </row>
    <row r="409" spans="4:18" s="23" customFormat="1" ht="15.75" customHeight="1">
      <c r="D409" s="24"/>
      <c r="E409" s="24"/>
      <c r="F409" s="26"/>
      <c r="G409" s="26"/>
      <c r="H409" s="26"/>
      <c r="I409" s="26"/>
      <c r="J409" s="24"/>
      <c r="K409"/>
      <c r="L409"/>
      <c r="M409"/>
      <c r="N409"/>
      <c r="O409"/>
      <c r="P409"/>
      <c r="Q409"/>
      <c r="R409"/>
    </row>
    <row r="410" spans="4:18" s="23" customFormat="1" ht="15.75" customHeight="1">
      <c r="D410" s="24"/>
      <c r="E410" s="24"/>
      <c r="F410" s="26"/>
      <c r="G410" s="26"/>
      <c r="H410" s="26"/>
      <c r="I410" s="26"/>
      <c r="J410" s="24"/>
      <c r="K410"/>
      <c r="L410"/>
      <c r="M410"/>
      <c r="N410"/>
      <c r="O410"/>
      <c r="P410"/>
      <c r="Q410"/>
      <c r="R410"/>
    </row>
    <row r="411" spans="4:18" s="23" customFormat="1" ht="15.75" customHeight="1">
      <c r="D411" s="24"/>
      <c r="E411" s="24"/>
      <c r="F411" s="26"/>
      <c r="G411" s="26"/>
      <c r="H411" s="26"/>
      <c r="I411" s="26"/>
      <c r="J411" s="24"/>
      <c r="K411"/>
      <c r="L411"/>
      <c r="M411"/>
      <c r="N411"/>
      <c r="O411"/>
      <c r="P411"/>
      <c r="Q411"/>
      <c r="R411"/>
    </row>
    <row r="412" spans="4:18" s="23" customFormat="1" ht="15.75" customHeight="1">
      <c r="D412" s="24"/>
      <c r="E412" s="24"/>
      <c r="F412" s="26"/>
      <c r="G412" s="26"/>
      <c r="H412" s="26"/>
      <c r="I412" s="26"/>
      <c r="J412" s="24"/>
      <c r="K412"/>
      <c r="L412"/>
      <c r="M412"/>
      <c r="N412"/>
      <c r="O412"/>
      <c r="P412"/>
      <c r="Q412"/>
      <c r="R412"/>
    </row>
    <row r="413" spans="4:18" s="23" customFormat="1" ht="15.75" customHeight="1">
      <c r="D413" s="24"/>
      <c r="E413" s="24"/>
      <c r="F413" s="26"/>
      <c r="G413" s="26"/>
      <c r="H413" s="26"/>
      <c r="I413" s="26"/>
      <c r="J413" s="24"/>
      <c r="K413"/>
      <c r="L413"/>
      <c r="M413"/>
      <c r="N413"/>
      <c r="O413"/>
      <c r="P413"/>
      <c r="Q413"/>
      <c r="R413"/>
    </row>
    <row r="414" spans="4:18" s="23" customFormat="1" ht="15.75" customHeight="1">
      <c r="D414" s="24"/>
      <c r="E414" s="24"/>
      <c r="F414" s="26"/>
      <c r="G414" s="26"/>
      <c r="H414" s="26"/>
      <c r="I414" s="26"/>
      <c r="J414" s="24"/>
      <c r="K414"/>
      <c r="L414"/>
      <c r="M414"/>
      <c r="N414"/>
      <c r="O414"/>
      <c r="P414"/>
      <c r="Q414"/>
      <c r="R414"/>
    </row>
    <row r="415" spans="4:18" s="23" customFormat="1" ht="15.75" customHeight="1">
      <c r="D415" s="24"/>
      <c r="E415" s="24"/>
      <c r="F415" s="26"/>
      <c r="G415" s="26"/>
      <c r="H415" s="26"/>
      <c r="I415" s="26"/>
      <c r="J415" s="24"/>
      <c r="K415"/>
      <c r="L415"/>
      <c r="M415"/>
      <c r="N415"/>
      <c r="O415"/>
      <c r="P415"/>
      <c r="Q415"/>
      <c r="R415"/>
    </row>
    <row r="416" spans="4:18" s="23" customFormat="1" ht="15.75" customHeight="1">
      <c r="D416" s="24"/>
      <c r="E416" s="24"/>
      <c r="F416" s="26"/>
      <c r="G416" s="26"/>
      <c r="H416" s="26"/>
      <c r="I416" s="26"/>
      <c r="J416" s="24"/>
      <c r="K416"/>
      <c r="L416"/>
      <c r="M416"/>
      <c r="N416"/>
      <c r="O416"/>
      <c r="P416"/>
      <c r="Q416"/>
      <c r="R416"/>
    </row>
    <row r="417" spans="4:18" s="23" customFormat="1" ht="15.75" customHeight="1">
      <c r="D417" s="24"/>
      <c r="E417" s="24"/>
      <c r="F417" s="26"/>
      <c r="G417" s="26"/>
      <c r="H417" s="26"/>
      <c r="I417" s="26"/>
      <c r="J417" s="24"/>
      <c r="K417"/>
      <c r="L417"/>
      <c r="M417"/>
      <c r="N417"/>
      <c r="O417"/>
      <c r="P417"/>
      <c r="Q417"/>
      <c r="R417"/>
    </row>
    <row r="418" spans="4:18" s="23" customFormat="1" ht="15.75" customHeight="1">
      <c r="D418" s="24"/>
      <c r="E418" s="24"/>
      <c r="F418" s="26"/>
      <c r="G418" s="26"/>
      <c r="H418" s="26"/>
      <c r="I418" s="26"/>
      <c r="J418" s="24"/>
      <c r="K418"/>
      <c r="L418"/>
      <c r="M418"/>
      <c r="N418"/>
      <c r="O418"/>
      <c r="P418"/>
      <c r="Q418"/>
      <c r="R418"/>
    </row>
    <row r="419" spans="4:18" s="23" customFormat="1" ht="15.75" customHeight="1">
      <c r="D419" s="24"/>
      <c r="E419" s="24"/>
      <c r="F419" s="26"/>
      <c r="G419" s="26"/>
      <c r="H419" s="26"/>
      <c r="I419" s="26"/>
      <c r="J419" s="24"/>
      <c r="K419"/>
      <c r="L419"/>
      <c r="M419"/>
      <c r="N419"/>
      <c r="O419"/>
      <c r="P419"/>
      <c r="Q419"/>
      <c r="R419"/>
    </row>
    <row r="420" spans="4:18" s="23" customFormat="1" ht="15.75" customHeight="1">
      <c r="D420" s="24"/>
      <c r="E420" s="24"/>
      <c r="F420" s="26"/>
      <c r="G420" s="26"/>
      <c r="H420" s="26"/>
      <c r="I420" s="26"/>
      <c r="J420" s="24"/>
      <c r="K420"/>
      <c r="L420"/>
      <c r="M420"/>
      <c r="N420"/>
      <c r="O420"/>
      <c r="P420"/>
      <c r="Q420"/>
      <c r="R420"/>
    </row>
    <row r="421" spans="4:18" s="23" customFormat="1" ht="15.75" customHeight="1">
      <c r="D421" s="24"/>
      <c r="E421" s="24"/>
      <c r="F421" s="26"/>
      <c r="G421" s="26"/>
      <c r="H421" s="26"/>
      <c r="I421" s="26"/>
      <c r="J421" s="24"/>
      <c r="K421"/>
      <c r="L421"/>
      <c r="M421"/>
      <c r="N421"/>
      <c r="O421"/>
      <c r="P421"/>
      <c r="Q421"/>
      <c r="R421"/>
    </row>
    <row r="422" spans="4:18" s="23" customFormat="1" ht="15.75" customHeight="1">
      <c r="D422" s="24"/>
      <c r="E422" s="24"/>
      <c r="F422" s="26"/>
      <c r="G422" s="26"/>
      <c r="H422" s="26"/>
      <c r="I422" s="26"/>
      <c r="J422" s="24"/>
      <c r="K422"/>
      <c r="L422"/>
      <c r="M422"/>
      <c r="N422"/>
      <c r="O422"/>
      <c r="P422"/>
      <c r="Q422"/>
      <c r="R422"/>
    </row>
    <row r="423" spans="4:18" s="23" customFormat="1" ht="15.75" customHeight="1">
      <c r="D423" s="24"/>
      <c r="E423" s="24"/>
      <c r="F423" s="26"/>
      <c r="G423" s="26"/>
      <c r="H423" s="26"/>
      <c r="I423" s="26"/>
      <c r="J423" s="24"/>
      <c r="K423"/>
      <c r="L423"/>
      <c r="M423"/>
      <c r="N423"/>
      <c r="O423"/>
      <c r="P423"/>
      <c r="Q423"/>
      <c r="R423"/>
    </row>
    <row r="424" spans="4:18" s="23" customFormat="1" ht="15.75" customHeight="1">
      <c r="D424" s="24"/>
      <c r="E424" s="24"/>
      <c r="F424" s="26"/>
      <c r="G424" s="26"/>
      <c r="H424" s="26"/>
      <c r="I424" s="26"/>
      <c r="J424" s="24"/>
      <c r="K424"/>
      <c r="L424"/>
      <c r="M424"/>
      <c r="N424"/>
      <c r="O424"/>
      <c r="P424"/>
      <c r="Q424"/>
      <c r="R424"/>
    </row>
    <row r="425" spans="4:18" s="23" customFormat="1" ht="15.75" customHeight="1">
      <c r="D425" s="24"/>
      <c r="E425" s="24"/>
      <c r="F425" s="26"/>
      <c r="G425" s="26"/>
      <c r="H425" s="26"/>
      <c r="I425" s="26"/>
      <c r="J425" s="24"/>
      <c r="K425"/>
      <c r="L425"/>
      <c r="M425"/>
      <c r="N425"/>
      <c r="O425"/>
      <c r="P425"/>
      <c r="Q425"/>
      <c r="R425"/>
    </row>
    <row r="426" spans="4:18" s="23" customFormat="1" ht="15.75" customHeight="1">
      <c r="D426" s="24"/>
      <c r="E426" s="24"/>
      <c r="F426" s="26"/>
      <c r="G426" s="26"/>
      <c r="H426" s="26"/>
      <c r="I426" s="26"/>
      <c r="J426" s="24"/>
      <c r="K426"/>
      <c r="L426"/>
      <c r="M426"/>
      <c r="N426"/>
      <c r="O426"/>
      <c r="P426"/>
      <c r="Q426"/>
      <c r="R426"/>
    </row>
    <row r="427" spans="4:18" s="23" customFormat="1" ht="15.75" customHeight="1">
      <c r="D427" s="24"/>
      <c r="E427" s="24"/>
      <c r="F427" s="26"/>
      <c r="G427" s="26"/>
      <c r="H427" s="26"/>
      <c r="I427" s="26"/>
      <c r="J427" s="24"/>
      <c r="K427"/>
      <c r="L427"/>
      <c r="M427"/>
      <c r="N427"/>
      <c r="O427"/>
      <c r="P427"/>
      <c r="Q427"/>
      <c r="R427"/>
    </row>
    <row r="428" spans="4:18" s="23" customFormat="1" ht="15.75" customHeight="1">
      <c r="D428" s="24"/>
      <c r="E428" s="24"/>
      <c r="F428" s="26"/>
      <c r="G428" s="26"/>
      <c r="H428" s="26"/>
      <c r="I428" s="26"/>
      <c r="J428" s="24"/>
      <c r="K428"/>
      <c r="L428"/>
      <c r="M428"/>
      <c r="N428"/>
      <c r="O428"/>
      <c r="P428"/>
      <c r="Q428"/>
      <c r="R428"/>
    </row>
    <row r="429" spans="4:18" s="23" customFormat="1" ht="15.75" customHeight="1">
      <c r="D429" s="24"/>
      <c r="E429" s="24"/>
      <c r="F429" s="26"/>
      <c r="G429" s="26"/>
      <c r="H429" s="26"/>
      <c r="I429" s="26"/>
      <c r="J429" s="24"/>
      <c r="K429"/>
      <c r="L429"/>
      <c r="M429"/>
      <c r="N429"/>
      <c r="O429"/>
      <c r="P429"/>
      <c r="Q429"/>
      <c r="R429"/>
    </row>
    <row r="430" spans="4:18" s="23" customFormat="1" ht="15.75" customHeight="1">
      <c r="D430" s="24"/>
      <c r="E430" s="24"/>
      <c r="F430" s="26"/>
      <c r="G430" s="26"/>
      <c r="H430" s="26"/>
      <c r="I430" s="26"/>
      <c r="J430" s="24"/>
      <c r="K430"/>
      <c r="L430"/>
      <c r="M430"/>
      <c r="N430"/>
      <c r="O430"/>
      <c r="P430"/>
      <c r="Q430"/>
      <c r="R430"/>
    </row>
    <row r="431" spans="4:18" s="23" customFormat="1" ht="15.75" customHeight="1">
      <c r="D431" s="24"/>
      <c r="E431" s="24"/>
      <c r="F431" s="26"/>
      <c r="G431" s="26"/>
      <c r="H431" s="26"/>
      <c r="I431" s="26"/>
      <c r="J431" s="24"/>
      <c r="K431"/>
      <c r="L431"/>
      <c r="M431"/>
      <c r="N431"/>
      <c r="O431"/>
      <c r="P431"/>
      <c r="Q431"/>
      <c r="R431"/>
    </row>
    <row r="432" spans="4:18" s="23" customFormat="1" ht="15.75" customHeight="1">
      <c r="D432" s="24"/>
      <c r="E432" s="24"/>
      <c r="F432" s="26"/>
      <c r="G432" s="26"/>
      <c r="H432" s="26"/>
      <c r="I432" s="26"/>
      <c r="J432" s="24"/>
      <c r="K432"/>
      <c r="L432"/>
      <c r="M432"/>
      <c r="N432"/>
      <c r="O432"/>
      <c r="P432"/>
      <c r="Q432"/>
      <c r="R432"/>
    </row>
    <row r="433" spans="4:18" s="23" customFormat="1" ht="15.75" customHeight="1">
      <c r="D433" s="24"/>
      <c r="E433" s="24"/>
      <c r="F433" s="26"/>
      <c r="G433" s="26"/>
      <c r="H433" s="26"/>
      <c r="I433" s="26"/>
      <c r="J433" s="24"/>
      <c r="K433"/>
      <c r="L433"/>
      <c r="M433"/>
      <c r="N433"/>
      <c r="O433"/>
      <c r="P433"/>
      <c r="Q433"/>
      <c r="R433"/>
    </row>
    <row r="434" spans="4:18" s="23" customFormat="1" ht="15.75" customHeight="1">
      <c r="D434" s="24"/>
      <c r="E434" s="24"/>
      <c r="F434" s="26"/>
      <c r="G434" s="26"/>
      <c r="H434" s="26"/>
      <c r="I434" s="26"/>
      <c r="J434" s="24"/>
      <c r="K434"/>
      <c r="L434"/>
      <c r="M434"/>
      <c r="N434"/>
      <c r="O434"/>
      <c r="P434"/>
      <c r="Q434"/>
      <c r="R434"/>
    </row>
    <row r="435" spans="4:18" s="23" customFormat="1" ht="15.75" customHeight="1">
      <c r="D435" s="24"/>
      <c r="E435" s="24"/>
      <c r="F435" s="26"/>
      <c r="G435" s="26"/>
      <c r="H435" s="26"/>
      <c r="I435" s="26"/>
      <c r="J435" s="24"/>
      <c r="K435"/>
      <c r="L435"/>
      <c r="M435"/>
      <c r="N435"/>
      <c r="O435"/>
      <c r="P435"/>
      <c r="Q435"/>
      <c r="R435"/>
    </row>
    <row r="436" spans="4:18" s="23" customFormat="1" ht="15.75" customHeight="1">
      <c r="D436" s="24"/>
      <c r="E436" s="24"/>
      <c r="F436" s="26"/>
      <c r="G436" s="26"/>
      <c r="H436" s="26"/>
      <c r="I436" s="26"/>
      <c r="J436" s="24"/>
      <c r="K436"/>
      <c r="L436"/>
      <c r="M436"/>
      <c r="N436"/>
      <c r="O436"/>
      <c r="P436"/>
      <c r="Q436"/>
      <c r="R436"/>
    </row>
    <row r="437" spans="4:18" s="23" customFormat="1" ht="15.75" customHeight="1">
      <c r="D437" s="24"/>
      <c r="E437" s="24"/>
      <c r="F437" s="26"/>
      <c r="G437" s="26"/>
      <c r="H437" s="26"/>
      <c r="I437" s="26"/>
      <c r="J437" s="24"/>
      <c r="K437"/>
      <c r="L437"/>
      <c r="M437"/>
      <c r="N437"/>
      <c r="O437"/>
      <c r="P437"/>
      <c r="Q437"/>
      <c r="R437"/>
    </row>
    <row r="438" spans="4:18" s="23" customFormat="1" ht="15.75" customHeight="1">
      <c r="D438" s="24"/>
      <c r="E438" s="24"/>
      <c r="F438" s="26"/>
      <c r="G438" s="26"/>
      <c r="H438" s="26"/>
      <c r="I438" s="26"/>
      <c r="J438" s="24"/>
      <c r="K438"/>
      <c r="L438"/>
      <c r="M438"/>
      <c r="N438"/>
      <c r="O438"/>
      <c r="P438"/>
      <c r="Q438"/>
      <c r="R438"/>
    </row>
    <row r="439" spans="4:18" s="23" customFormat="1" ht="15.75" customHeight="1">
      <c r="D439" s="24"/>
      <c r="E439" s="24"/>
      <c r="F439" s="26"/>
      <c r="G439" s="26"/>
      <c r="H439" s="26"/>
      <c r="I439" s="26"/>
      <c r="J439" s="24"/>
      <c r="K439"/>
      <c r="L439"/>
      <c r="M439"/>
      <c r="N439"/>
      <c r="O439"/>
      <c r="P439"/>
      <c r="Q439"/>
      <c r="R439"/>
    </row>
    <row r="440" spans="4:18" s="23" customFormat="1" ht="15.75" customHeight="1">
      <c r="D440" s="24"/>
      <c r="E440" s="24"/>
      <c r="F440" s="26"/>
      <c r="G440" s="26"/>
      <c r="H440" s="26"/>
      <c r="I440" s="26"/>
      <c r="J440" s="24"/>
      <c r="K440"/>
      <c r="L440"/>
      <c r="M440"/>
      <c r="N440"/>
      <c r="O440"/>
      <c r="P440"/>
      <c r="Q440"/>
      <c r="R440"/>
    </row>
    <row r="441" spans="4:18" s="23" customFormat="1" ht="15.75" customHeight="1">
      <c r="D441" s="24"/>
      <c r="E441" s="24"/>
      <c r="F441" s="26"/>
      <c r="G441" s="26"/>
      <c r="H441" s="26"/>
      <c r="I441" s="26"/>
      <c r="J441" s="24"/>
      <c r="K441"/>
      <c r="L441"/>
      <c r="M441"/>
      <c r="N441"/>
      <c r="O441"/>
      <c r="P441"/>
      <c r="Q441"/>
      <c r="R441"/>
    </row>
    <row r="442" spans="4:18" s="23" customFormat="1" ht="15.75" customHeight="1">
      <c r="D442" s="24"/>
      <c r="E442" s="24"/>
      <c r="F442" s="26"/>
      <c r="G442" s="26"/>
      <c r="H442" s="26"/>
      <c r="I442" s="26"/>
      <c r="J442" s="24"/>
      <c r="K442"/>
      <c r="L442"/>
      <c r="M442"/>
      <c r="N442"/>
      <c r="O442"/>
      <c r="P442"/>
      <c r="Q442"/>
      <c r="R442"/>
    </row>
    <row r="443" spans="4:18" s="23" customFormat="1" ht="15.75" customHeight="1">
      <c r="D443" s="24"/>
      <c r="E443" s="24"/>
      <c r="F443" s="26"/>
      <c r="G443" s="26"/>
      <c r="H443" s="26"/>
      <c r="I443" s="26"/>
      <c r="J443" s="24"/>
      <c r="K443"/>
      <c r="L443"/>
      <c r="M443"/>
      <c r="N443"/>
      <c r="O443"/>
      <c r="P443"/>
      <c r="Q443"/>
      <c r="R443"/>
    </row>
    <row r="444" spans="4:18" s="23" customFormat="1" ht="15.75" customHeight="1">
      <c r="D444" s="24"/>
      <c r="E444" s="24"/>
      <c r="F444" s="26"/>
      <c r="G444" s="26"/>
      <c r="H444" s="26"/>
      <c r="I444" s="26"/>
      <c r="J444" s="24"/>
      <c r="K444"/>
      <c r="L444"/>
      <c r="M444"/>
      <c r="N444"/>
      <c r="O444"/>
      <c r="P444"/>
      <c r="Q444"/>
      <c r="R444"/>
    </row>
    <row r="445" spans="4:18" s="23" customFormat="1" ht="15.75" customHeight="1">
      <c r="D445" s="24"/>
      <c r="E445" s="24"/>
      <c r="F445" s="26"/>
      <c r="G445" s="26"/>
      <c r="H445" s="26"/>
      <c r="I445" s="26"/>
      <c r="J445" s="24"/>
      <c r="K445"/>
      <c r="L445"/>
      <c r="M445"/>
      <c r="N445"/>
      <c r="O445"/>
      <c r="P445"/>
      <c r="Q445"/>
      <c r="R445"/>
    </row>
    <row r="446" spans="4:18" s="23" customFormat="1" ht="15.75" customHeight="1">
      <c r="D446" s="24"/>
      <c r="E446" s="24"/>
      <c r="F446" s="26"/>
      <c r="G446" s="26"/>
      <c r="H446" s="26"/>
      <c r="I446" s="26"/>
      <c r="J446" s="24"/>
      <c r="K446"/>
      <c r="L446"/>
      <c r="M446"/>
      <c r="N446"/>
      <c r="O446"/>
      <c r="P446"/>
      <c r="Q446"/>
      <c r="R446"/>
    </row>
    <row r="447" spans="4:18" s="23" customFormat="1" ht="15.75" customHeight="1">
      <c r="D447" s="24"/>
      <c r="E447" s="24"/>
      <c r="F447" s="26"/>
      <c r="G447" s="26"/>
      <c r="H447" s="26"/>
      <c r="I447" s="26"/>
      <c r="J447" s="24"/>
      <c r="K447"/>
      <c r="L447"/>
      <c r="M447"/>
      <c r="N447"/>
      <c r="O447"/>
      <c r="P447"/>
      <c r="Q447"/>
      <c r="R447"/>
    </row>
    <row r="448" spans="4:18" s="23" customFormat="1" ht="15.75" customHeight="1">
      <c r="D448" s="24"/>
      <c r="E448" s="24"/>
      <c r="F448" s="26"/>
      <c r="G448" s="26"/>
      <c r="H448" s="26"/>
      <c r="I448" s="26"/>
      <c r="J448" s="24"/>
      <c r="K448"/>
      <c r="L448"/>
      <c r="M448"/>
      <c r="N448"/>
      <c r="O448"/>
      <c r="P448"/>
      <c r="Q448"/>
      <c r="R448"/>
    </row>
    <row r="449" spans="4:18" s="23" customFormat="1" ht="15.75" customHeight="1">
      <c r="D449" s="24"/>
      <c r="E449" s="24"/>
      <c r="F449" s="26"/>
      <c r="G449" s="26"/>
      <c r="H449" s="26"/>
      <c r="I449" s="26"/>
      <c r="J449" s="24"/>
      <c r="K449"/>
      <c r="L449"/>
      <c r="M449"/>
      <c r="N449"/>
      <c r="O449"/>
      <c r="P449"/>
      <c r="Q449"/>
      <c r="R449"/>
    </row>
    <row r="450" spans="4:18" s="23" customFormat="1" ht="15.75" customHeight="1">
      <c r="D450" s="24"/>
      <c r="E450" s="24"/>
      <c r="F450" s="26"/>
      <c r="G450" s="26"/>
      <c r="H450" s="26"/>
      <c r="I450" s="26"/>
      <c r="J450" s="24"/>
      <c r="K450"/>
      <c r="L450"/>
      <c r="M450"/>
      <c r="N450"/>
      <c r="O450"/>
      <c r="P450"/>
      <c r="Q450"/>
      <c r="R450"/>
    </row>
    <row r="451" spans="4:18" s="23" customFormat="1" ht="15.75" customHeight="1">
      <c r="D451" s="24"/>
      <c r="E451" s="24"/>
      <c r="F451" s="26"/>
      <c r="G451" s="26"/>
      <c r="H451" s="26"/>
      <c r="I451" s="26"/>
      <c r="J451" s="24"/>
      <c r="K451"/>
      <c r="L451"/>
      <c r="M451"/>
      <c r="N451"/>
      <c r="O451"/>
      <c r="P451"/>
      <c r="Q451"/>
      <c r="R451"/>
    </row>
    <row r="452" spans="4:18" s="23" customFormat="1" ht="15.75" customHeight="1">
      <c r="D452" s="24"/>
      <c r="E452" s="24"/>
      <c r="F452" s="26"/>
      <c r="G452" s="26"/>
      <c r="H452" s="26"/>
      <c r="I452" s="26"/>
      <c r="J452" s="24"/>
      <c r="K452"/>
      <c r="L452"/>
      <c r="M452"/>
      <c r="N452"/>
      <c r="O452"/>
      <c r="P452"/>
      <c r="Q452"/>
      <c r="R452"/>
    </row>
    <row r="453" spans="4:18" s="23" customFormat="1" ht="15.75" customHeight="1">
      <c r="D453" s="24"/>
      <c r="E453" s="24"/>
      <c r="F453" s="26"/>
      <c r="G453" s="26"/>
      <c r="H453" s="26"/>
      <c r="I453" s="26"/>
      <c r="J453" s="24"/>
      <c r="K453"/>
      <c r="L453"/>
      <c r="M453"/>
      <c r="N453"/>
      <c r="O453"/>
      <c r="P453"/>
      <c r="Q453"/>
      <c r="R453"/>
    </row>
    <row r="454" spans="4:18" s="23" customFormat="1" ht="15.75" customHeight="1">
      <c r="D454" s="24"/>
      <c r="E454" s="24"/>
      <c r="F454" s="26"/>
      <c r="G454" s="26"/>
      <c r="H454" s="26"/>
      <c r="I454" s="26"/>
      <c r="J454" s="24"/>
      <c r="K454"/>
      <c r="L454"/>
      <c r="M454"/>
      <c r="N454"/>
      <c r="O454"/>
      <c r="P454"/>
      <c r="Q454"/>
      <c r="R454"/>
    </row>
    <row r="455" spans="4:18" s="23" customFormat="1" ht="15.75" customHeight="1">
      <c r="D455" s="24"/>
      <c r="E455" s="24"/>
      <c r="F455" s="26"/>
      <c r="G455" s="26"/>
      <c r="H455" s="26"/>
      <c r="I455" s="26"/>
      <c r="J455" s="24"/>
      <c r="K455"/>
      <c r="L455"/>
      <c r="M455"/>
      <c r="N455"/>
      <c r="O455"/>
      <c r="P455"/>
      <c r="Q455"/>
      <c r="R455"/>
    </row>
    <row r="456" spans="4:18" s="23" customFormat="1" ht="15.75" customHeight="1">
      <c r="D456" s="24"/>
      <c r="E456" s="24"/>
      <c r="F456" s="26"/>
      <c r="G456" s="26"/>
      <c r="H456" s="26"/>
      <c r="I456" s="26"/>
      <c r="J456" s="24"/>
      <c r="K456"/>
      <c r="L456"/>
      <c r="M456"/>
      <c r="N456"/>
      <c r="O456"/>
      <c r="P456"/>
      <c r="Q456"/>
      <c r="R456"/>
    </row>
    <row r="457" spans="4:18" s="23" customFormat="1" ht="15.75" customHeight="1">
      <c r="D457" s="24"/>
      <c r="E457" s="24"/>
      <c r="F457" s="26"/>
      <c r="G457" s="26"/>
      <c r="H457" s="26"/>
      <c r="I457" s="26"/>
      <c r="J457" s="24"/>
      <c r="K457"/>
      <c r="L457"/>
      <c r="M457"/>
      <c r="N457"/>
      <c r="O457"/>
      <c r="P457"/>
      <c r="Q457"/>
      <c r="R457"/>
    </row>
    <row r="458" spans="4:18" s="23" customFormat="1" ht="15.75" customHeight="1">
      <c r="D458" s="24"/>
      <c r="E458" s="24"/>
      <c r="F458" s="26"/>
      <c r="G458" s="26"/>
      <c r="H458" s="26"/>
      <c r="I458" s="26"/>
      <c r="J458" s="24"/>
      <c r="K458"/>
      <c r="L458"/>
      <c r="M458"/>
      <c r="N458"/>
      <c r="O458"/>
      <c r="P458"/>
      <c r="Q458"/>
      <c r="R458"/>
    </row>
    <row r="459" spans="4:18" s="23" customFormat="1" ht="15.75" customHeight="1">
      <c r="D459" s="24"/>
      <c r="E459" s="24"/>
      <c r="F459" s="26"/>
      <c r="G459" s="26"/>
      <c r="H459" s="26"/>
      <c r="I459" s="26"/>
      <c r="J459" s="24"/>
      <c r="K459"/>
      <c r="L459"/>
      <c r="M459"/>
      <c r="N459"/>
      <c r="O459"/>
      <c r="P459"/>
      <c r="Q459"/>
      <c r="R459"/>
    </row>
    <row r="460" spans="4:18" s="23" customFormat="1" ht="15.75" customHeight="1">
      <c r="D460" s="24"/>
      <c r="E460" s="24"/>
      <c r="F460" s="26"/>
      <c r="G460" s="26"/>
      <c r="H460" s="26"/>
      <c r="I460" s="26"/>
      <c r="J460" s="24"/>
      <c r="K460"/>
      <c r="L460"/>
      <c r="M460"/>
      <c r="N460"/>
      <c r="O460"/>
      <c r="P460"/>
      <c r="Q460"/>
      <c r="R460"/>
    </row>
    <row r="461" spans="4:18" s="23" customFormat="1" ht="15.75" customHeight="1">
      <c r="D461" s="24"/>
      <c r="E461" s="24"/>
      <c r="F461" s="26"/>
      <c r="G461" s="26"/>
      <c r="H461" s="26"/>
      <c r="I461" s="26"/>
      <c r="J461" s="24"/>
      <c r="K461"/>
      <c r="L461"/>
      <c r="M461"/>
      <c r="N461"/>
      <c r="O461"/>
      <c r="P461"/>
      <c r="Q461"/>
      <c r="R461"/>
    </row>
    <row r="462" spans="4:18" s="23" customFormat="1" ht="15.75" customHeight="1">
      <c r="D462" s="24"/>
      <c r="E462" s="24"/>
      <c r="F462" s="26"/>
      <c r="G462" s="26"/>
      <c r="H462" s="26"/>
      <c r="I462" s="26"/>
      <c r="J462" s="24"/>
      <c r="K462"/>
      <c r="L462"/>
      <c r="M462"/>
      <c r="N462"/>
      <c r="O462"/>
      <c r="P462"/>
      <c r="Q462"/>
      <c r="R462"/>
    </row>
    <row r="463" spans="4:18" s="23" customFormat="1" ht="15.75" customHeight="1">
      <c r="D463" s="24"/>
      <c r="E463" s="24"/>
      <c r="F463" s="26"/>
      <c r="G463" s="26"/>
      <c r="H463" s="26"/>
      <c r="I463" s="26"/>
      <c r="J463" s="24"/>
      <c r="K463"/>
      <c r="L463"/>
      <c r="M463"/>
      <c r="N463"/>
      <c r="O463"/>
      <c r="P463"/>
      <c r="Q463"/>
      <c r="R463"/>
    </row>
    <row r="464" spans="4:18" s="23" customFormat="1" ht="15.75" customHeight="1">
      <c r="D464" s="24"/>
      <c r="E464" s="24"/>
      <c r="F464" s="26"/>
      <c r="G464" s="26"/>
      <c r="H464" s="26"/>
      <c r="I464" s="26"/>
      <c r="J464" s="24"/>
      <c r="K464"/>
      <c r="L464"/>
      <c r="M464"/>
      <c r="N464"/>
      <c r="O464"/>
      <c r="P464"/>
      <c r="Q464"/>
      <c r="R464"/>
    </row>
    <row r="465" spans="4:18" s="23" customFormat="1" ht="15.75" customHeight="1">
      <c r="D465" s="24"/>
      <c r="E465" s="24"/>
      <c r="F465" s="26"/>
      <c r="G465" s="26"/>
      <c r="H465" s="26"/>
      <c r="I465" s="26"/>
      <c r="J465" s="24"/>
      <c r="K465"/>
      <c r="L465"/>
      <c r="M465"/>
      <c r="N465"/>
      <c r="O465"/>
      <c r="P465"/>
      <c r="Q465"/>
      <c r="R465"/>
    </row>
    <row r="466" spans="4:18" s="23" customFormat="1" ht="15.75" customHeight="1">
      <c r="D466" s="24"/>
      <c r="E466" s="24"/>
      <c r="F466" s="26"/>
      <c r="G466" s="26"/>
      <c r="H466" s="26"/>
      <c r="I466" s="26"/>
      <c r="J466" s="24"/>
      <c r="K466"/>
      <c r="L466"/>
      <c r="M466"/>
      <c r="N466"/>
      <c r="O466"/>
      <c r="P466"/>
      <c r="Q466"/>
      <c r="R466"/>
    </row>
    <row r="467" spans="4:18" s="23" customFormat="1" ht="15.75" customHeight="1">
      <c r="D467" s="24"/>
      <c r="E467" s="24"/>
      <c r="F467" s="26"/>
      <c r="G467" s="26"/>
      <c r="H467" s="26"/>
      <c r="I467" s="26"/>
      <c r="J467" s="24"/>
      <c r="K467"/>
      <c r="L467"/>
      <c r="M467"/>
      <c r="N467"/>
      <c r="O467"/>
      <c r="P467"/>
      <c r="Q467"/>
      <c r="R467"/>
    </row>
    <row r="468" spans="4:18" s="23" customFormat="1" ht="15.75" customHeight="1">
      <c r="D468" s="24"/>
      <c r="E468" s="24"/>
      <c r="F468" s="26"/>
      <c r="G468" s="26"/>
      <c r="H468" s="26"/>
      <c r="I468" s="26"/>
      <c r="J468" s="24"/>
      <c r="K468"/>
      <c r="L468"/>
      <c r="M468"/>
      <c r="N468"/>
      <c r="O468"/>
      <c r="P468"/>
      <c r="Q468"/>
      <c r="R468"/>
    </row>
    <row r="469" spans="4:18" s="23" customFormat="1" ht="15.75" customHeight="1">
      <c r="D469" s="24"/>
      <c r="E469" s="24"/>
      <c r="F469" s="26"/>
      <c r="G469" s="26"/>
      <c r="H469" s="26"/>
      <c r="I469" s="26"/>
      <c r="J469" s="24"/>
      <c r="K469"/>
      <c r="L469"/>
      <c r="M469"/>
      <c r="N469"/>
      <c r="O469"/>
      <c r="P469"/>
      <c r="Q469"/>
      <c r="R469"/>
    </row>
    <row r="470" spans="4:18" s="23" customFormat="1" ht="15.75" customHeight="1">
      <c r="D470" s="24"/>
      <c r="E470" s="24"/>
      <c r="F470" s="26"/>
      <c r="G470" s="26"/>
      <c r="H470" s="26"/>
      <c r="I470" s="26"/>
      <c r="J470" s="24"/>
      <c r="K470"/>
      <c r="L470"/>
      <c r="M470"/>
      <c r="N470"/>
      <c r="O470"/>
      <c r="P470"/>
      <c r="Q470"/>
      <c r="R470"/>
    </row>
    <row r="471" spans="4:18" s="23" customFormat="1" ht="15.75" customHeight="1">
      <c r="D471" s="24"/>
      <c r="E471" s="24"/>
      <c r="F471" s="26"/>
      <c r="G471" s="26"/>
      <c r="H471" s="26"/>
      <c r="I471" s="26"/>
      <c r="J471" s="24"/>
      <c r="K471"/>
      <c r="L471"/>
      <c r="M471"/>
      <c r="N471"/>
      <c r="O471"/>
      <c r="P471"/>
      <c r="Q471"/>
      <c r="R471"/>
    </row>
    <row r="472" spans="4:18" s="23" customFormat="1" ht="15.75" customHeight="1">
      <c r="D472" s="24"/>
      <c r="E472" s="24"/>
      <c r="F472" s="26"/>
      <c r="G472" s="26"/>
      <c r="H472" s="26"/>
      <c r="I472" s="26"/>
      <c r="J472" s="24"/>
      <c r="K472"/>
      <c r="L472"/>
      <c r="M472"/>
      <c r="N472"/>
      <c r="O472"/>
      <c r="P472"/>
      <c r="Q472"/>
      <c r="R472"/>
    </row>
    <row r="473" spans="4:18" s="23" customFormat="1" ht="15.75" customHeight="1">
      <c r="D473" s="24"/>
      <c r="E473" s="24"/>
      <c r="F473" s="26"/>
      <c r="G473" s="26"/>
      <c r="H473" s="26"/>
      <c r="I473" s="26"/>
      <c r="J473" s="24"/>
      <c r="K473"/>
      <c r="L473"/>
      <c r="M473"/>
      <c r="N473"/>
      <c r="O473"/>
      <c r="P473"/>
      <c r="Q473"/>
      <c r="R473"/>
    </row>
    <row r="474" spans="4:18" s="23" customFormat="1" ht="15.75" customHeight="1">
      <c r="D474" s="24"/>
      <c r="E474" s="24"/>
      <c r="F474" s="26"/>
      <c r="G474" s="26"/>
      <c r="H474" s="26"/>
      <c r="I474" s="26"/>
      <c r="J474" s="24"/>
      <c r="K474"/>
      <c r="L474"/>
      <c r="M474"/>
      <c r="N474"/>
      <c r="O474"/>
      <c r="P474"/>
      <c r="Q474"/>
      <c r="R474"/>
    </row>
    <row r="475" spans="4:18" s="23" customFormat="1" ht="15.75" customHeight="1">
      <c r="D475" s="24"/>
      <c r="E475" s="24"/>
      <c r="F475" s="26"/>
      <c r="G475" s="26"/>
      <c r="H475" s="26"/>
      <c r="I475" s="26"/>
      <c r="J475" s="24"/>
      <c r="K475"/>
      <c r="L475"/>
      <c r="M475"/>
      <c r="N475"/>
      <c r="O475"/>
      <c r="P475"/>
      <c r="Q475"/>
      <c r="R475"/>
    </row>
    <row r="476" spans="4:18" s="23" customFormat="1" ht="15.75" customHeight="1">
      <c r="D476" s="24"/>
      <c r="E476" s="24"/>
      <c r="F476" s="26"/>
      <c r="G476" s="26"/>
      <c r="H476" s="26"/>
      <c r="I476" s="26"/>
      <c r="J476" s="24"/>
      <c r="K476"/>
      <c r="L476"/>
      <c r="M476"/>
      <c r="N476"/>
      <c r="O476"/>
      <c r="P476"/>
      <c r="Q476"/>
      <c r="R476"/>
    </row>
    <row r="477" spans="4:18" s="23" customFormat="1" ht="15.75" customHeight="1">
      <c r="D477" s="24"/>
      <c r="E477" s="24"/>
      <c r="F477" s="26"/>
      <c r="G477" s="26"/>
      <c r="H477" s="26"/>
      <c r="I477" s="26"/>
      <c r="J477" s="24"/>
      <c r="K477"/>
      <c r="L477"/>
      <c r="M477"/>
      <c r="N477"/>
      <c r="O477"/>
      <c r="P477"/>
      <c r="Q477"/>
      <c r="R477"/>
    </row>
    <row r="478" spans="4:18" s="23" customFormat="1" ht="15.75" customHeight="1">
      <c r="D478" s="24"/>
      <c r="E478" s="24"/>
      <c r="F478" s="26"/>
      <c r="G478" s="26"/>
      <c r="H478" s="26"/>
      <c r="I478" s="26"/>
      <c r="J478" s="24"/>
      <c r="K478"/>
      <c r="L478"/>
      <c r="M478"/>
      <c r="N478"/>
      <c r="O478"/>
      <c r="P478"/>
      <c r="Q478"/>
      <c r="R478"/>
    </row>
    <row r="479" spans="4:18" s="23" customFormat="1" ht="15.75" customHeight="1">
      <c r="D479" s="24"/>
      <c r="E479" s="24"/>
      <c r="F479" s="26"/>
      <c r="G479" s="26"/>
      <c r="H479" s="26"/>
      <c r="I479" s="26"/>
      <c r="J479" s="24"/>
      <c r="K479"/>
      <c r="L479"/>
      <c r="M479"/>
      <c r="N479"/>
      <c r="O479"/>
      <c r="P479"/>
      <c r="Q479"/>
      <c r="R479"/>
    </row>
    <row r="480" spans="4:18" s="23" customFormat="1" ht="15.75" customHeight="1">
      <c r="D480" s="24"/>
      <c r="E480" s="24"/>
      <c r="F480" s="26"/>
      <c r="G480" s="26"/>
      <c r="H480" s="26"/>
      <c r="I480" s="26"/>
      <c r="J480" s="24"/>
      <c r="K480"/>
      <c r="L480"/>
      <c r="M480"/>
      <c r="N480"/>
      <c r="O480"/>
      <c r="P480"/>
      <c r="Q480"/>
      <c r="R480"/>
    </row>
    <row r="481" spans="4:18" s="23" customFormat="1" ht="15.75" customHeight="1">
      <c r="D481" s="24"/>
      <c r="E481" s="24"/>
      <c r="F481" s="26"/>
      <c r="G481" s="26"/>
      <c r="H481" s="26"/>
      <c r="I481" s="26"/>
      <c r="J481" s="24"/>
      <c r="K481"/>
      <c r="L481"/>
      <c r="M481"/>
      <c r="N481"/>
      <c r="O481"/>
      <c r="P481"/>
      <c r="Q481"/>
      <c r="R481"/>
    </row>
    <row r="482" spans="4:18" s="23" customFormat="1" ht="15.75" customHeight="1">
      <c r="D482" s="24"/>
      <c r="E482" s="24"/>
      <c r="F482" s="26"/>
      <c r="G482" s="26"/>
      <c r="H482" s="26"/>
      <c r="I482" s="26"/>
      <c r="J482" s="24"/>
      <c r="K482"/>
      <c r="L482"/>
      <c r="M482"/>
      <c r="N482"/>
      <c r="O482"/>
      <c r="P482"/>
      <c r="Q482"/>
      <c r="R482"/>
    </row>
    <row r="483" spans="4:18" s="23" customFormat="1" ht="15.75" customHeight="1">
      <c r="D483" s="24"/>
      <c r="E483" s="24"/>
      <c r="F483" s="26"/>
      <c r="G483" s="26"/>
      <c r="H483" s="26"/>
      <c r="I483" s="26"/>
      <c r="J483" s="24"/>
      <c r="K483"/>
      <c r="L483"/>
      <c r="M483"/>
      <c r="N483"/>
      <c r="O483"/>
      <c r="P483"/>
      <c r="Q483"/>
      <c r="R483"/>
    </row>
    <row r="484" spans="4:18" s="23" customFormat="1" ht="15.75" customHeight="1">
      <c r="D484" s="24"/>
      <c r="E484" s="24"/>
      <c r="F484" s="26"/>
      <c r="G484" s="26"/>
      <c r="H484" s="26"/>
      <c r="I484" s="26"/>
      <c r="J484" s="24"/>
      <c r="K484"/>
      <c r="L484"/>
      <c r="M484"/>
      <c r="N484"/>
      <c r="O484"/>
      <c r="P484"/>
      <c r="Q484"/>
      <c r="R484"/>
    </row>
    <row r="485" spans="4:18" s="23" customFormat="1" ht="15.75" customHeight="1">
      <c r="D485" s="24"/>
      <c r="E485" s="24"/>
      <c r="F485" s="26"/>
      <c r="G485" s="26"/>
      <c r="H485" s="26"/>
      <c r="I485" s="26"/>
      <c r="J485" s="24"/>
      <c r="K485"/>
      <c r="L485"/>
      <c r="M485"/>
      <c r="N485"/>
      <c r="O485"/>
      <c r="P485"/>
      <c r="Q485"/>
      <c r="R485"/>
    </row>
    <row r="486" spans="4:18" s="23" customFormat="1" ht="15.75" customHeight="1">
      <c r="D486" s="24"/>
      <c r="E486" s="24"/>
      <c r="F486" s="26"/>
      <c r="G486" s="26"/>
      <c r="H486" s="26"/>
      <c r="I486" s="26"/>
      <c r="J486" s="24"/>
      <c r="K486"/>
      <c r="L486"/>
      <c r="M486"/>
      <c r="N486"/>
      <c r="O486"/>
      <c r="P486"/>
      <c r="Q486"/>
      <c r="R486"/>
    </row>
    <row r="487" spans="4:18" s="23" customFormat="1" ht="15.75" customHeight="1">
      <c r="D487" s="24"/>
      <c r="E487" s="24"/>
      <c r="F487" s="26"/>
      <c r="G487" s="26"/>
      <c r="H487" s="26"/>
      <c r="I487" s="26"/>
      <c r="J487" s="24"/>
      <c r="K487"/>
      <c r="L487"/>
      <c r="M487"/>
      <c r="N487"/>
      <c r="O487"/>
      <c r="P487"/>
      <c r="Q487"/>
      <c r="R487"/>
    </row>
    <row r="488" spans="4:18" s="23" customFormat="1" ht="15.75" customHeight="1">
      <c r="D488" s="24"/>
      <c r="E488" s="24"/>
      <c r="F488" s="26"/>
      <c r="G488" s="26"/>
      <c r="H488" s="26"/>
      <c r="I488" s="26"/>
      <c r="J488" s="24"/>
      <c r="K488"/>
      <c r="L488"/>
      <c r="M488"/>
      <c r="N488"/>
      <c r="O488"/>
      <c r="P488"/>
      <c r="Q488"/>
      <c r="R488"/>
    </row>
    <row r="489" spans="4:18" s="23" customFormat="1" ht="15.75" customHeight="1">
      <c r="D489" s="24"/>
      <c r="E489" s="24"/>
      <c r="F489" s="26"/>
      <c r="G489" s="26"/>
      <c r="H489" s="26"/>
      <c r="I489" s="26"/>
      <c r="J489" s="24"/>
      <c r="K489"/>
      <c r="L489"/>
      <c r="M489"/>
      <c r="N489"/>
      <c r="O489"/>
      <c r="P489"/>
      <c r="Q489"/>
      <c r="R489"/>
    </row>
    <row r="490" spans="4:18" s="23" customFormat="1" ht="15.75" customHeight="1">
      <c r="D490" s="24"/>
      <c r="E490" s="24"/>
      <c r="F490" s="26"/>
      <c r="G490" s="26"/>
      <c r="H490" s="26"/>
      <c r="I490" s="26"/>
      <c r="J490" s="24"/>
      <c r="K490"/>
      <c r="L490"/>
      <c r="M490"/>
      <c r="N490"/>
      <c r="O490"/>
      <c r="P490"/>
      <c r="Q490"/>
      <c r="R490"/>
    </row>
    <row r="491" spans="4:18" s="23" customFormat="1" ht="15.75" customHeight="1">
      <c r="D491" s="24"/>
      <c r="E491" s="24"/>
      <c r="F491" s="26"/>
      <c r="G491" s="26"/>
      <c r="H491" s="26"/>
      <c r="I491" s="26"/>
      <c r="J491" s="24"/>
      <c r="K491"/>
      <c r="L491"/>
      <c r="M491"/>
      <c r="N491"/>
      <c r="O491"/>
      <c r="P491"/>
      <c r="Q491"/>
      <c r="R491"/>
    </row>
    <row r="492" spans="4:18" s="23" customFormat="1" ht="15.75" customHeight="1">
      <c r="D492" s="24"/>
      <c r="E492" s="24"/>
      <c r="F492" s="26"/>
      <c r="G492" s="26"/>
      <c r="H492" s="26"/>
      <c r="I492" s="26"/>
      <c r="J492" s="24"/>
      <c r="K492"/>
      <c r="L492"/>
      <c r="M492"/>
      <c r="N492"/>
      <c r="O492"/>
      <c r="P492"/>
      <c r="Q492"/>
      <c r="R492"/>
    </row>
    <row r="493" spans="4:18" s="23" customFormat="1" ht="15.75" customHeight="1">
      <c r="D493" s="24"/>
      <c r="E493" s="24"/>
      <c r="F493" s="26"/>
      <c r="G493" s="26"/>
      <c r="H493" s="26"/>
      <c r="I493" s="26"/>
      <c r="J493" s="24"/>
      <c r="K493"/>
      <c r="L493"/>
      <c r="M493"/>
      <c r="N493"/>
      <c r="O493"/>
      <c r="P493"/>
      <c r="Q493"/>
      <c r="R493"/>
    </row>
    <row r="494" spans="4:18" s="23" customFormat="1" ht="15.75" customHeight="1">
      <c r="D494" s="24"/>
      <c r="E494" s="24"/>
      <c r="F494" s="26"/>
      <c r="G494" s="26"/>
      <c r="H494" s="26"/>
      <c r="I494" s="26"/>
      <c r="J494" s="24"/>
      <c r="K494"/>
      <c r="L494"/>
      <c r="M494"/>
      <c r="N494"/>
      <c r="O494"/>
      <c r="P494"/>
      <c r="Q494"/>
      <c r="R494"/>
    </row>
    <row r="495" spans="4:18" s="23" customFormat="1" ht="15.75" customHeight="1">
      <c r="D495" s="24"/>
      <c r="E495" s="24"/>
      <c r="F495" s="26"/>
      <c r="G495" s="26"/>
      <c r="H495" s="26"/>
      <c r="I495" s="26"/>
      <c r="J495" s="24"/>
      <c r="K495"/>
      <c r="L495"/>
      <c r="M495"/>
      <c r="N495"/>
      <c r="O495"/>
      <c r="P495"/>
      <c r="Q495"/>
      <c r="R495"/>
    </row>
    <row r="496" spans="4:18" s="23" customFormat="1" ht="15.75" customHeight="1">
      <c r="D496" s="24"/>
      <c r="E496" s="24"/>
      <c r="F496" s="26"/>
      <c r="G496" s="26"/>
      <c r="H496" s="26"/>
      <c r="I496" s="26"/>
      <c r="J496" s="24"/>
      <c r="K496"/>
      <c r="L496"/>
      <c r="M496"/>
      <c r="N496"/>
      <c r="O496"/>
      <c r="P496"/>
      <c r="Q496"/>
      <c r="R496"/>
    </row>
    <row r="497" spans="4:18" s="23" customFormat="1" ht="15.75" customHeight="1">
      <c r="D497" s="24"/>
      <c r="E497" s="24"/>
      <c r="F497" s="26"/>
      <c r="G497" s="26"/>
      <c r="H497" s="26"/>
      <c r="I497" s="26"/>
      <c r="J497" s="24"/>
      <c r="K497"/>
      <c r="L497"/>
      <c r="M497"/>
      <c r="N497"/>
      <c r="O497"/>
      <c r="P497"/>
      <c r="Q497"/>
      <c r="R497"/>
    </row>
    <row r="498" spans="4:18" s="23" customFormat="1" ht="15.75" customHeight="1">
      <c r="D498" s="24"/>
      <c r="E498" s="24"/>
      <c r="F498" s="26"/>
      <c r="G498" s="26"/>
      <c r="H498" s="26"/>
      <c r="I498" s="26"/>
      <c r="J498" s="24"/>
      <c r="K498"/>
      <c r="L498"/>
      <c r="M498"/>
      <c r="N498"/>
      <c r="O498"/>
      <c r="P498"/>
      <c r="Q498"/>
      <c r="R498"/>
    </row>
    <row r="499" spans="4:18" s="23" customFormat="1" ht="15.75" customHeight="1">
      <c r="D499" s="24"/>
      <c r="E499" s="24"/>
      <c r="F499" s="26"/>
      <c r="G499" s="26"/>
      <c r="H499" s="26"/>
      <c r="I499" s="26"/>
      <c r="J499" s="24"/>
      <c r="K499"/>
      <c r="L499"/>
      <c r="M499"/>
      <c r="N499"/>
      <c r="O499"/>
      <c r="P499"/>
      <c r="Q499"/>
      <c r="R499"/>
    </row>
    <row r="500" spans="4:18" s="23" customFormat="1" ht="15.75" customHeight="1">
      <c r="D500" s="24"/>
      <c r="E500" s="24"/>
      <c r="F500" s="26"/>
      <c r="G500" s="26"/>
      <c r="H500" s="26"/>
      <c r="I500" s="26"/>
      <c r="J500" s="24"/>
      <c r="K500"/>
      <c r="L500"/>
      <c r="M500"/>
      <c r="N500"/>
      <c r="O500"/>
      <c r="P500"/>
      <c r="Q500"/>
      <c r="R500"/>
    </row>
    <row r="501" spans="4:18" s="23" customFormat="1" ht="15.75" customHeight="1">
      <c r="D501" s="24"/>
      <c r="E501" s="24"/>
      <c r="F501" s="26"/>
      <c r="G501" s="26"/>
      <c r="H501" s="26"/>
      <c r="I501" s="26"/>
      <c r="J501" s="24"/>
      <c r="K501"/>
      <c r="L501"/>
      <c r="M501"/>
      <c r="N501"/>
      <c r="O501"/>
      <c r="P501"/>
      <c r="Q501"/>
      <c r="R501"/>
    </row>
    <row r="502" spans="4:18" s="23" customFormat="1" ht="15.75" customHeight="1">
      <c r="D502" s="24"/>
      <c r="E502" s="24"/>
      <c r="F502" s="26"/>
      <c r="G502" s="26"/>
      <c r="H502" s="26"/>
      <c r="I502" s="26"/>
      <c r="J502" s="24"/>
      <c r="K502"/>
      <c r="L502"/>
      <c r="M502"/>
      <c r="N502"/>
      <c r="O502"/>
      <c r="P502"/>
      <c r="Q502"/>
      <c r="R502"/>
    </row>
    <row r="503" spans="4:18" s="23" customFormat="1" ht="15.75" customHeight="1">
      <c r="D503" s="24"/>
      <c r="E503" s="24"/>
      <c r="F503" s="26"/>
      <c r="G503" s="26"/>
      <c r="H503" s="26"/>
      <c r="I503" s="26"/>
      <c r="J503" s="24"/>
      <c r="K503"/>
      <c r="L503"/>
      <c r="M503"/>
      <c r="N503"/>
      <c r="O503"/>
      <c r="P503"/>
      <c r="Q503"/>
      <c r="R503"/>
    </row>
    <row r="504" spans="4:18" s="23" customFormat="1" ht="15.75" customHeight="1">
      <c r="D504" s="24"/>
      <c r="E504" s="24"/>
      <c r="F504" s="26"/>
      <c r="G504" s="26"/>
      <c r="H504" s="26"/>
      <c r="I504" s="26"/>
      <c r="J504" s="24"/>
      <c r="K504"/>
      <c r="L504"/>
      <c r="M504"/>
      <c r="N504"/>
      <c r="O504"/>
      <c r="P504"/>
      <c r="Q504"/>
      <c r="R504"/>
    </row>
    <row r="505" spans="4:18" s="23" customFormat="1" ht="15.75" customHeight="1">
      <c r="D505" s="24"/>
      <c r="E505" s="24"/>
      <c r="F505" s="26"/>
      <c r="G505" s="26"/>
      <c r="H505" s="26"/>
      <c r="I505" s="26"/>
      <c r="J505" s="24"/>
      <c r="K505"/>
      <c r="L505"/>
      <c r="M505"/>
      <c r="N505"/>
      <c r="O505"/>
      <c r="P505"/>
      <c r="Q505"/>
      <c r="R505"/>
    </row>
    <row r="506" spans="4:18" s="23" customFormat="1" ht="15.75" customHeight="1">
      <c r="D506" s="24"/>
      <c r="E506" s="24"/>
      <c r="F506" s="26"/>
      <c r="G506" s="26"/>
      <c r="H506" s="26"/>
      <c r="I506" s="26"/>
      <c r="J506" s="24"/>
      <c r="K506"/>
      <c r="L506"/>
      <c r="M506"/>
      <c r="N506"/>
      <c r="O506"/>
      <c r="P506"/>
      <c r="Q506"/>
      <c r="R506"/>
    </row>
    <row r="507" spans="4:18" s="23" customFormat="1" ht="15.75" customHeight="1">
      <c r="D507" s="24"/>
      <c r="E507" s="24"/>
      <c r="F507" s="26"/>
      <c r="G507" s="26"/>
      <c r="H507" s="26"/>
      <c r="I507" s="26"/>
      <c r="J507" s="24"/>
      <c r="K507"/>
      <c r="L507"/>
      <c r="M507"/>
      <c r="N507"/>
      <c r="O507"/>
      <c r="P507"/>
      <c r="Q507"/>
      <c r="R507"/>
    </row>
    <row r="508" spans="4:18" s="23" customFormat="1" ht="15.75" customHeight="1">
      <c r="D508" s="24"/>
      <c r="E508" s="24"/>
      <c r="F508" s="26"/>
      <c r="G508" s="26"/>
      <c r="H508" s="26"/>
      <c r="I508" s="26"/>
      <c r="J508" s="24"/>
      <c r="K508"/>
      <c r="L508"/>
      <c r="M508"/>
      <c r="N508"/>
      <c r="O508"/>
      <c r="P508"/>
      <c r="Q508"/>
      <c r="R508"/>
    </row>
    <row r="509" spans="4:18" s="23" customFormat="1" ht="15.75" customHeight="1">
      <c r="D509" s="24"/>
      <c r="E509" s="24"/>
      <c r="F509" s="26"/>
      <c r="G509" s="26"/>
      <c r="H509" s="26"/>
      <c r="I509" s="26"/>
      <c r="J509" s="24"/>
      <c r="K509"/>
      <c r="L509"/>
      <c r="M509"/>
      <c r="N509"/>
      <c r="O509"/>
      <c r="P509"/>
      <c r="Q509"/>
      <c r="R509"/>
    </row>
    <row r="510" spans="4:18" s="23" customFormat="1" ht="15.75" customHeight="1">
      <c r="D510" s="24"/>
      <c r="E510" s="24"/>
      <c r="F510" s="26"/>
      <c r="G510" s="26"/>
      <c r="H510" s="26"/>
      <c r="I510" s="26"/>
      <c r="J510" s="24"/>
      <c r="K510"/>
      <c r="L510"/>
      <c r="M510"/>
      <c r="N510"/>
      <c r="O510"/>
      <c r="P510"/>
      <c r="Q510"/>
      <c r="R510"/>
    </row>
    <row r="511" spans="4:18" s="23" customFormat="1" ht="15.75" customHeight="1">
      <c r="D511" s="24"/>
      <c r="E511" s="24"/>
      <c r="F511" s="26"/>
      <c r="G511" s="26"/>
      <c r="H511" s="26"/>
      <c r="I511" s="26"/>
      <c r="J511" s="24"/>
      <c r="K511"/>
      <c r="L511"/>
      <c r="M511"/>
      <c r="N511"/>
      <c r="O511"/>
      <c r="P511"/>
      <c r="Q511"/>
      <c r="R511"/>
    </row>
    <row r="512" spans="4:18" s="23" customFormat="1" ht="15.75" customHeight="1">
      <c r="D512" s="24"/>
      <c r="E512" s="24"/>
      <c r="F512" s="26"/>
      <c r="G512" s="26"/>
      <c r="H512" s="26"/>
      <c r="I512" s="26"/>
      <c r="J512" s="24"/>
      <c r="K512"/>
      <c r="L512"/>
      <c r="M512"/>
      <c r="N512"/>
      <c r="O512"/>
      <c r="P512"/>
      <c r="Q512"/>
      <c r="R512"/>
    </row>
    <row r="513" spans="4:18" s="23" customFormat="1" ht="15.75" customHeight="1">
      <c r="D513" s="24"/>
      <c r="E513" s="24"/>
      <c r="F513" s="26"/>
      <c r="G513" s="26"/>
      <c r="H513" s="26"/>
      <c r="I513" s="26"/>
      <c r="J513" s="24"/>
      <c r="K513"/>
      <c r="L513"/>
      <c r="M513"/>
      <c r="N513"/>
      <c r="O513"/>
      <c r="P513"/>
      <c r="Q513"/>
      <c r="R513"/>
    </row>
    <row r="514" spans="4:18" s="23" customFormat="1" ht="15.75" customHeight="1">
      <c r="D514" s="24"/>
      <c r="E514" s="24"/>
      <c r="F514" s="26"/>
      <c r="G514" s="26"/>
      <c r="H514" s="26"/>
      <c r="I514" s="26"/>
      <c r="J514" s="24"/>
      <c r="K514"/>
      <c r="L514"/>
      <c r="M514"/>
      <c r="N514"/>
      <c r="O514"/>
      <c r="P514"/>
      <c r="Q514"/>
      <c r="R514"/>
    </row>
    <row r="515" spans="4:18" s="23" customFormat="1" ht="15.75" customHeight="1">
      <c r="D515" s="24"/>
      <c r="E515" s="24"/>
      <c r="F515" s="26"/>
      <c r="G515" s="26"/>
      <c r="H515" s="26"/>
      <c r="I515" s="26"/>
      <c r="J515" s="24"/>
      <c r="K515"/>
      <c r="L515"/>
      <c r="M515"/>
      <c r="N515"/>
      <c r="O515"/>
      <c r="P515"/>
      <c r="Q515"/>
      <c r="R515"/>
    </row>
    <row r="516" spans="4:18" s="23" customFormat="1" ht="15.75" customHeight="1">
      <c r="D516" s="24"/>
      <c r="E516" s="24"/>
      <c r="F516" s="26"/>
      <c r="G516" s="26"/>
      <c r="H516" s="26"/>
      <c r="I516" s="26"/>
      <c r="J516" s="24"/>
      <c r="K516"/>
      <c r="L516"/>
      <c r="M516"/>
      <c r="N516"/>
      <c r="O516"/>
      <c r="P516"/>
      <c r="Q516"/>
      <c r="R516"/>
    </row>
    <row r="517" spans="4:18" s="23" customFormat="1" ht="15.75" customHeight="1">
      <c r="D517" s="24"/>
      <c r="E517" s="24"/>
      <c r="F517" s="26"/>
      <c r="G517" s="26"/>
      <c r="H517" s="26"/>
      <c r="I517" s="26"/>
      <c r="J517" s="24"/>
      <c r="K517"/>
      <c r="L517"/>
      <c r="M517"/>
      <c r="N517"/>
      <c r="O517"/>
      <c r="P517"/>
      <c r="Q517"/>
      <c r="R517"/>
    </row>
    <row r="518" spans="4:18" s="23" customFormat="1" ht="15.75" customHeight="1">
      <c r="D518" s="24"/>
      <c r="E518" s="24"/>
      <c r="F518" s="26"/>
      <c r="G518" s="26"/>
      <c r="H518" s="26"/>
      <c r="I518" s="26"/>
      <c r="J518" s="24"/>
      <c r="K518"/>
      <c r="L518"/>
      <c r="M518"/>
      <c r="N518"/>
      <c r="O518"/>
      <c r="P518"/>
      <c r="Q518"/>
      <c r="R518"/>
    </row>
    <row r="519" spans="4:18" s="23" customFormat="1" ht="15.75" customHeight="1">
      <c r="D519" s="24"/>
      <c r="E519" s="24"/>
      <c r="F519" s="26"/>
      <c r="G519" s="26"/>
      <c r="H519" s="26"/>
      <c r="I519" s="26"/>
      <c r="J519" s="24"/>
      <c r="K519"/>
      <c r="L519"/>
      <c r="M519"/>
      <c r="N519"/>
      <c r="O519"/>
      <c r="P519"/>
      <c r="Q519"/>
      <c r="R519"/>
    </row>
    <row r="520" spans="4:18" s="23" customFormat="1" ht="15.75" customHeight="1">
      <c r="D520" s="24"/>
      <c r="E520" s="24"/>
      <c r="F520" s="26"/>
      <c r="G520" s="26"/>
      <c r="H520" s="26"/>
      <c r="I520" s="26"/>
      <c r="J520" s="24"/>
      <c r="K520"/>
      <c r="L520"/>
      <c r="M520"/>
      <c r="N520"/>
      <c r="O520"/>
      <c r="P520"/>
      <c r="Q520"/>
      <c r="R520"/>
    </row>
    <row r="521" spans="4:18" s="23" customFormat="1" ht="15.75" customHeight="1">
      <c r="D521" s="24"/>
      <c r="E521" s="24"/>
      <c r="F521" s="26"/>
      <c r="G521" s="26"/>
      <c r="H521" s="26"/>
      <c r="I521" s="26"/>
      <c r="J521" s="24"/>
      <c r="K521"/>
      <c r="L521"/>
      <c r="M521"/>
      <c r="N521"/>
      <c r="O521"/>
      <c r="P521"/>
      <c r="Q521"/>
      <c r="R521"/>
    </row>
    <row r="522" spans="4:18" s="23" customFormat="1" ht="15.75" customHeight="1">
      <c r="D522" s="24"/>
      <c r="E522" s="24"/>
      <c r="F522" s="26"/>
      <c r="G522" s="26"/>
      <c r="H522" s="26"/>
      <c r="I522" s="26"/>
      <c r="J522" s="24"/>
      <c r="K522"/>
      <c r="L522"/>
      <c r="M522"/>
      <c r="N522"/>
      <c r="O522"/>
      <c r="P522"/>
      <c r="Q522"/>
      <c r="R522"/>
    </row>
    <row r="523" spans="4:18" s="23" customFormat="1" ht="15.75" customHeight="1">
      <c r="D523" s="24"/>
      <c r="E523" s="24"/>
      <c r="F523" s="26"/>
      <c r="G523" s="26"/>
      <c r="H523" s="26"/>
      <c r="I523" s="26"/>
      <c r="J523" s="24"/>
      <c r="K523"/>
      <c r="L523"/>
      <c r="M523"/>
      <c r="N523"/>
      <c r="O523"/>
      <c r="P523"/>
      <c r="Q523"/>
      <c r="R523"/>
    </row>
    <row r="524" spans="4:18" s="23" customFormat="1" ht="15.75" customHeight="1">
      <c r="D524" s="24"/>
      <c r="E524" s="24"/>
      <c r="F524" s="26"/>
      <c r="G524" s="26"/>
      <c r="H524" s="26"/>
      <c r="I524" s="26"/>
      <c r="J524" s="24"/>
      <c r="K524"/>
      <c r="L524"/>
      <c r="M524"/>
      <c r="N524"/>
      <c r="O524"/>
      <c r="P524"/>
      <c r="Q524"/>
      <c r="R524"/>
    </row>
    <row r="525" spans="4:18" s="23" customFormat="1" ht="15.75" customHeight="1">
      <c r="D525" s="24"/>
      <c r="E525" s="24"/>
      <c r="F525" s="26"/>
      <c r="G525" s="26"/>
      <c r="H525" s="26"/>
      <c r="I525" s="26"/>
      <c r="J525" s="24"/>
      <c r="K525"/>
      <c r="L525"/>
      <c r="M525"/>
      <c r="N525"/>
      <c r="O525"/>
      <c r="P525"/>
      <c r="Q525"/>
      <c r="R525"/>
    </row>
    <row r="526" spans="4:18" s="23" customFormat="1" ht="15.75" customHeight="1">
      <c r="D526" s="24"/>
      <c r="E526" s="24"/>
      <c r="F526" s="26"/>
      <c r="G526" s="26"/>
      <c r="H526" s="26"/>
      <c r="I526" s="26"/>
      <c r="J526" s="24"/>
      <c r="K526"/>
      <c r="L526"/>
      <c r="M526"/>
      <c r="N526"/>
      <c r="O526"/>
      <c r="P526"/>
      <c r="Q526"/>
      <c r="R526"/>
    </row>
    <row r="527" spans="4:18" s="23" customFormat="1" ht="15.75" customHeight="1">
      <c r="D527" s="24"/>
      <c r="E527" s="24"/>
      <c r="F527" s="26"/>
      <c r="G527" s="26"/>
      <c r="H527" s="26"/>
      <c r="I527" s="26"/>
      <c r="J527" s="24"/>
      <c r="K527"/>
      <c r="L527"/>
      <c r="M527"/>
      <c r="N527"/>
      <c r="O527"/>
      <c r="P527"/>
      <c r="Q527"/>
      <c r="R527"/>
    </row>
    <row r="528" spans="4:18" s="23" customFormat="1" ht="15.75" customHeight="1">
      <c r="D528" s="24"/>
      <c r="E528" s="24"/>
      <c r="F528" s="26"/>
      <c r="G528" s="26"/>
      <c r="H528" s="26"/>
      <c r="I528" s="26"/>
      <c r="J528" s="24"/>
      <c r="K528"/>
      <c r="L528"/>
      <c r="M528"/>
      <c r="N528"/>
      <c r="O528"/>
      <c r="P528"/>
      <c r="Q528"/>
      <c r="R528"/>
    </row>
    <row r="529" spans="4:18" s="23" customFormat="1" ht="15.75" customHeight="1">
      <c r="D529" s="24"/>
      <c r="E529" s="24"/>
      <c r="F529" s="26"/>
      <c r="G529" s="26"/>
      <c r="H529" s="26"/>
      <c r="I529" s="26"/>
      <c r="J529" s="24"/>
      <c r="K529"/>
      <c r="L529"/>
      <c r="M529"/>
      <c r="N529"/>
      <c r="O529"/>
      <c r="P529"/>
      <c r="Q529"/>
      <c r="R529"/>
    </row>
    <row r="530" spans="4:18" s="23" customFormat="1" ht="15.75" customHeight="1">
      <c r="D530" s="24"/>
      <c r="E530" s="24"/>
      <c r="F530" s="26"/>
      <c r="G530" s="26"/>
      <c r="H530" s="26"/>
      <c r="I530" s="26"/>
      <c r="J530" s="24"/>
      <c r="K530"/>
      <c r="L530"/>
      <c r="M530"/>
      <c r="N530"/>
      <c r="O530"/>
      <c r="P530"/>
      <c r="Q530"/>
      <c r="R530"/>
    </row>
    <row r="531" spans="4:18" s="23" customFormat="1" ht="15.75" customHeight="1">
      <c r="D531" s="24"/>
      <c r="E531" s="24"/>
      <c r="F531" s="26"/>
      <c r="G531" s="26"/>
      <c r="H531" s="26"/>
      <c r="I531" s="26"/>
      <c r="J531" s="24"/>
      <c r="K531"/>
      <c r="L531"/>
      <c r="M531"/>
      <c r="N531"/>
      <c r="O531"/>
      <c r="P531"/>
      <c r="Q531"/>
      <c r="R531"/>
    </row>
    <row r="532" spans="4:18" s="23" customFormat="1" ht="15.75" customHeight="1">
      <c r="D532" s="24"/>
      <c r="E532" s="24"/>
      <c r="F532" s="26"/>
      <c r="G532" s="26"/>
      <c r="H532" s="26"/>
      <c r="I532" s="26"/>
      <c r="J532" s="24"/>
      <c r="K532"/>
      <c r="L532"/>
      <c r="M532"/>
      <c r="N532"/>
      <c r="O532"/>
      <c r="P532"/>
      <c r="Q532"/>
      <c r="R532"/>
    </row>
    <row r="533" spans="4:18" s="23" customFormat="1" ht="15.75" customHeight="1">
      <c r="D533" s="24"/>
      <c r="E533" s="24"/>
      <c r="F533" s="26"/>
      <c r="G533" s="26"/>
      <c r="H533" s="26"/>
      <c r="I533" s="26"/>
      <c r="J533" s="24"/>
      <c r="K533"/>
      <c r="L533"/>
      <c r="M533"/>
      <c r="N533"/>
      <c r="O533"/>
      <c r="P533"/>
      <c r="Q533"/>
      <c r="R533"/>
    </row>
    <row r="534" spans="4:18" s="23" customFormat="1" ht="15.75" customHeight="1">
      <c r="D534" s="24"/>
      <c r="E534" s="24"/>
      <c r="F534" s="26"/>
      <c r="G534" s="26"/>
      <c r="H534" s="26"/>
      <c r="I534" s="26"/>
      <c r="J534" s="24"/>
      <c r="K534"/>
      <c r="L534"/>
      <c r="M534"/>
      <c r="N534"/>
      <c r="O534"/>
      <c r="P534"/>
      <c r="Q534"/>
      <c r="R534"/>
    </row>
    <row r="535" spans="4:18" s="23" customFormat="1" ht="15.75" customHeight="1">
      <c r="D535" s="24"/>
      <c r="E535" s="24"/>
      <c r="F535" s="26"/>
      <c r="G535" s="26"/>
      <c r="H535" s="26"/>
      <c r="I535" s="26"/>
      <c r="J535" s="24"/>
      <c r="K535"/>
      <c r="L535"/>
      <c r="M535"/>
      <c r="N535"/>
      <c r="O535"/>
      <c r="P535"/>
      <c r="Q535"/>
      <c r="R535"/>
    </row>
    <row r="536" spans="4:18" s="23" customFormat="1" ht="15.75" customHeight="1">
      <c r="D536" s="24"/>
      <c r="E536" s="24"/>
      <c r="F536" s="26"/>
      <c r="G536" s="26"/>
      <c r="H536" s="26"/>
      <c r="I536" s="26"/>
      <c r="J536" s="24"/>
      <c r="K536"/>
      <c r="L536"/>
      <c r="M536"/>
      <c r="N536"/>
      <c r="O536"/>
      <c r="P536"/>
      <c r="Q536"/>
      <c r="R536"/>
    </row>
    <row r="537" spans="4:18" s="23" customFormat="1" ht="15.75" customHeight="1">
      <c r="D537" s="24"/>
      <c r="E537" s="24"/>
      <c r="F537" s="26"/>
      <c r="G537" s="26"/>
      <c r="H537" s="26"/>
      <c r="I537" s="26"/>
      <c r="J537" s="24"/>
      <c r="K537"/>
      <c r="L537"/>
      <c r="M537"/>
      <c r="N537"/>
      <c r="O537"/>
      <c r="P537"/>
      <c r="Q537"/>
      <c r="R537"/>
    </row>
    <row r="538" spans="4:18" s="23" customFormat="1" ht="15.75" customHeight="1">
      <c r="D538" s="24"/>
      <c r="E538" s="24"/>
      <c r="F538" s="26"/>
      <c r="G538" s="26"/>
      <c r="H538" s="26"/>
      <c r="I538" s="26"/>
      <c r="J538" s="24"/>
      <c r="K538"/>
      <c r="L538"/>
      <c r="M538"/>
      <c r="N538"/>
      <c r="O538"/>
      <c r="P538"/>
      <c r="Q538"/>
      <c r="R538"/>
    </row>
    <row r="539" spans="4:18" s="23" customFormat="1" ht="15.75" customHeight="1">
      <c r="D539" s="24"/>
      <c r="E539" s="24"/>
      <c r="F539" s="26"/>
      <c r="G539" s="26"/>
      <c r="H539" s="26"/>
      <c r="I539" s="26"/>
      <c r="J539" s="24"/>
      <c r="K539"/>
      <c r="L539"/>
      <c r="M539"/>
      <c r="N539"/>
      <c r="O539"/>
      <c r="P539"/>
      <c r="Q539"/>
      <c r="R539"/>
    </row>
    <row r="540" spans="4:18" s="23" customFormat="1" ht="15.75" customHeight="1">
      <c r="D540" s="24"/>
      <c r="E540" s="24"/>
      <c r="F540" s="26"/>
      <c r="G540" s="26"/>
      <c r="H540" s="26"/>
      <c r="I540" s="26"/>
      <c r="J540" s="24"/>
      <c r="K540"/>
      <c r="L540"/>
      <c r="M540"/>
      <c r="N540"/>
      <c r="O540"/>
      <c r="P540"/>
      <c r="Q540"/>
      <c r="R540"/>
    </row>
    <row r="541" spans="4:18" s="23" customFormat="1" ht="15.75" customHeight="1">
      <c r="D541" s="24"/>
      <c r="E541" s="24"/>
      <c r="F541" s="26"/>
      <c r="G541" s="26"/>
      <c r="H541" s="26"/>
      <c r="I541" s="26"/>
      <c r="J541" s="24"/>
      <c r="K541"/>
      <c r="L541"/>
      <c r="M541"/>
      <c r="N541"/>
      <c r="O541"/>
      <c r="P541"/>
      <c r="Q541"/>
      <c r="R541"/>
    </row>
    <row r="542" spans="4:18" s="23" customFormat="1" ht="15.75" customHeight="1">
      <c r="D542" s="24"/>
      <c r="E542" s="24"/>
      <c r="F542" s="26"/>
      <c r="G542" s="26"/>
      <c r="H542" s="26"/>
      <c r="I542" s="26"/>
      <c r="J542" s="24"/>
      <c r="K542"/>
      <c r="L542"/>
      <c r="M542"/>
      <c r="N542"/>
      <c r="O542"/>
      <c r="P542"/>
      <c r="Q542"/>
      <c r="R542"/>
    </row>
    <row r="543" spans="4:18" s="23" customFormat="1" ht="15.75" customHeight="1">
      <c r="D543" s="24"/>
      <c r="E543" s="24"/>
      <c r="F543" s="26"/>
      <c r="G543" s="26"/>
      <c r="H543" s="26"/>
      <c r="I543" s="26"/>
      <c r="J543" s="24"/>
      <c r="K543"/>
      <c r="L543"/>
      <c r="M543"/>
      <c r="N543"/>
      <c r="O543"/>
      <c r="P543"/>
      <c r="Q543"/>
      <c r="R543"/>
    </row>
    <row r="544" spans="4:18" s="23" customFormat="1" ht="15.75" customHeight="1">
      <c r="D544" s="24"/>
      <c r="E544" s="24"/>
      <c r="F544" s="26"/>
      <c r="G544" s="26"/>
      <c r="H544" s="26"/>
      <c r="I544" s="26"/>
      <c r="J544" s="24"/>
      <c r="K544"/>
      <c r="L544"/>
      <c r="M544"/>
      <c r="N544"/>
      <c r="O544"/>
      <c r="P544"/>
      <c r="Q544"/>
      <c r="R544"/>
    </row>
    <row r="545" spans="4:18" s="23" customFormat="1" ht="15.75" customHeight="1">
      <c r="D545" s="24"/>
      <c r="E545" s="24"/>
      <c r="F545" s="26"/>
      <c r="G545" s="26"/>
      <c r="H545" s="26"/>
      <c r="I545" s="26"/>
      <c r="J545" s="24"/>
      <c r="K545"/>
      <c r="L545"/>
      <c r="M545"/>
      <c r="N545"/>
      <c r="O545"/>
      <c r="P545"/>
      <c r="Q545"/>
      <c r="R545"/>
    </row>
    <row r="546" spans="4:18" s="23" customFormat="1" ht="15.75" customHeight="1">
      <c r="D546" s="24"/>
      <c r="E546" s="24"/>
      <c r="F546" s="26"/>
      <c r="G546" s="26"/>
      <c r="H546" s="26"/>
      <c r="I546" s="26"/>
      <c r="J546" s="24"/>
      <c r="K546"/>
      <c r="L546"/>
      <c r="M546"/>
      <c r="N546"/>
      <c r="O546"/>
      <c r="P546"/>
      <c r="Q546"/>
      <c r="R546"/>
    </row>
    <row r="547" spans="4:18" s="23" customFormat="1" ht="15.75" customHeight="1">
      <c r="D547" s="24"/>
      <c r="E547" s="24"/>
      <c r="F547" s="26"/>
      <c r="G547" s="26"/>
      <c r="H547" s="26"/>
      <c r="I547" s="26"/>
      <c r="J547" s="24"/>
      <c r="K547"/>
      <c r="L547"/>
      <c r="M547"/>
      <c r="N547"/>
      <c r="O547"/>
      <c r="P547"/>
      <c r="Q547"/>
      <c r="R547"/>
    </row>
    <row r="548" spans="4:18" s="23" customFormat="1" ht="15.75" customHeight="1">
      <c r="D548" s="24"/>
      <c r="E548" s="24"/>
      <c r="F548" s="26"/>
      <c r="G548" s="26"/>
      <c r="H548" s="26"/>
      <c r="I548" s="26"/>
      <c r="J548" s="24"/>
      <c r="K548"/>
      <c r="L548"/>
      <c r="M548"/>
      <c r="N548"/>
      <c r="O548"/>
      <c r="P548"/>
      <c r="Q548"/>
      <c r="R548"/>
    </row>
    <row r="549" spans="4:18" s="23" customFormat="1" ht="15.75" customHeight="1">
      <c r="D549" s="24"/>
      <c r="E549" s="24"/>
      <c r="F549" s="26"/>
      <c r="G549" s="26"/>
      <c r="H549" s="26"/>
      <c r="I549" s="26"/>
      <c r="J549" s="24"/>
      <c r="K549"/>
      <c r="L549"/>
      <c r="M549"/>
      <c r="N549"/>
      <c r="O549"/>
      <c r="P549"/>
      <c r="Q549"/>
      <c r="R549"/>
    </row>
    <row r="550" spans="4:18" s="23" customFormat="1" ht="15.75" customHeight="1">
      <c r="D550" s="24"/>
      <c r="E550" s="24"/>
      <c r="F550" s="26"/>
      <c r="G550" s="26"/>
      <c r="H550" s="26"/>
      <c r="I550" s="26"/>
      <c r="J550" s="24"/>
      <c r="K550"/>
      <c r="L550"/>
      <c r="M550"/>
      <c r="N550"/>
      <c r="O550"/>
      <c r="P550"/>
      <c r="Q550"/>
      <c r="R550"/>
    </row>
    <row r="551" spans="4:18" s="23" customFormat="1" ht="15.75" customHeight="1">
      <c r="D551" s="24"/>
      <c r="E551" s="24"/>
      <c r="F551" s="26"/>
      <c r="G551" s="26"/>
      <c r="H551" s="26"/>
      <c r="I551" s="26"/>
      <c r="J551" s="24"/>
      <c r="K551"/>
      <c r="L551"/>
      <c r="M551"/>
      <c r="N551"/>
      <c r="O551"/>
      <c r="P551"/>
      <c r="Q551"/>
      <c r="R551"/>
    </row>
    <row r="552" spans="4:18" s="23" customFormat="1" ht="15.75" customHeight="1">
      <c r="D552" s="24"/>
      <c r="E552" s="24"/>
      <c r="F552" s="26"/>
      <c r="G552" s="26"/>
      <c r="H552" s="26"/>
      <c r="I552" s="26"/>
      <c r="J552" s="24"/>
      <c r="K552"/>
      <c r="L552"/>
      <c r="M552"/>
      <c r="N552"/>
      <c r="O552"/>
      <c r="P552"/>
      <c r="Q552"/>
      <c r="R552"/>
    </row>
    <row r="553" spans="4:18" s="23" customFormat="1" ht="15.75" customHeight="1">
      <c r="D553" s="24"/>
      <c r="E553" s="24"/>
      <c r="F553" s="26"/>
      <c r="G553" s="26"/>
      <c r="H553" s="26"/>
      <c r="I553" s="26"/>
      <c r="J553" s="24"/>
      <c r="K553"/>
      <c r="L553"/>
      <c r="M553"/>
      <c r="N553"/>
      <c r="O553"/>
      <c r="P553"/>
      <c r="Q553"/>
      <c r="R553"/>
    </row>
    <row r="554" spans="4:18" s="23" customFormat="1" ht="15.75" customHeight="1">
      <c r="D554" s="24"/>
      <c r="E554" s="24"/>
      <c r="F554" s="26"/>
      <c r="G554" s="26"/>
      <c r="H554" s="26"/>
      <c r="I554" s="26"/>
      <c r="J554" s="24"/>
      <c r="K554"/>
      <c r="L554"/>
      <c r="M554"/>
      <c r="N554"/>
      <c r="O554"/>
      <c r="P554"/>
      <c r="Q554"/>
      <c r="R554"/>
    </row>
    <row r="555" spans="4:18" s="23" customFormat="1" ht="15.75" customHeight="1">
      <c r="D555" s="24"/>
      <c r="E555" s="24"/>
      <c r="F555" s="26"/>
      <c r="G555" s="26"/>
      <c r="H555" s="26"/>
      <c r="I555" s="26"/>
      <c r="J555" s="24"/>
      <c r="K555"/>
      <c r="L555"/>
      <c r="M555"/>
      <c r="N555"/>
      <c r="O555"/>
      <c r="P555"/>
      <c r="Q555"/>
      <c r="R555"/>
    </row>
    <row r="556" spans="4:18" s="23" customFormat="1" ht="15.75" customHeight="1">
      <c r="D556" s="24"/>
      <c r="E556" s="24"/>
      <c r="F556" s="26"/>
      <c r="G556" s="26"/>
      <c r="H556" s="26"/>
      <c r="I556" s="26"/>
      <c r="J556" s="24"/>
      <c r="K556"/>
      <c r="L556"/>
      <c r="M556"/>
      <c r="N556"/>
      <c r="O556"/>
      <c r="P556"/>
      <c r="Q556"/>
      <c r="R556"/>
    </row>
    <row r="557" spans="4:18" s="23" customFormat="1" ht="15.75" customHeight="1">
      <c r="D557" s="24"/>
      <c r="E557" s="24"/>
      <c r="F557" s="26"/>
      <c r="G557" s="26"/>
      <c r="H557" s="26"/>
      <c r="I557" s="26"/>
      <c r="J557" s="24"/>
      <c r="K557"/>
      <c r="L557"/>
      <c r="M557"/>
      <c r="N557"/>
      <c r="O557"/>
      <c r="P557"/>
      <c r="Q557"/>
      <c r="R557"/>
    </row>
    <row r="558" spans="4:18" s="23" customFormat="1" ht="15.75" customHeight="1">
      <c r="D558" s="24"/>
      <c r="E558" s="24"/>
      <c r="F558" s="26"/>
      <c r="G558" s="26"/>
      <c r="H558" s="26"/>
      <c r="I558" s="26"/>
      <c r="J558" s="24"/>
      <c r="K558"/>
      <c r="L558"/>
      <c r="M558"/>
      <c r="N558"/>
      <c r="O558"/>
      <c r="P558"/>
      <c r="Q558"/>
      <c r="R558"/>
    </row>
    <row r="559" spans="4:18" s="23" customFormat="1" ht="15.75" customHeight="1">
      <c r="D559" s="24"/>
      <c r="E559" s="24"/>
      <c r="F559" s="26"/>
      <c r="G559" s="26"/>
      <c r="H559" s="26"/>
      <c r="I559" s="26"/>
      <c r="J559" s="24"/>
      <c r="K559"/>
      <c r="L559"/>
      <c r="M559"/>
      <c r="N559"/>
      <c r="O559"/>
      <c r="P559"/>
      <c r="Q559"/>
      <c r="R559"/>
    </row>
    <row r="560" spans="4:18" s="23" customFormat="1" ht="15.75" customHeight="1">
      <c r="D560" s="24"/>
      <c r="E560" s="24"/>
      <c r="F560" s="26"/>
      <c r="G560" s="26"/>
      <c r="H560" s="26"/>
      <c r="I560" s="26"/>
      <c r="J560" s="24"/>
      <c r="K560"/>
      <c r="L560"/>
      <c r="M560"/>
      <c r="N560"/>
      <c r="O560"/>
      <c r="P560"/>
      <c r="Q560"/>
      <c r="R560"/>
    </row>
    <row r="561" spans="4:18" s="23" customFormat="1" ht="15.75" customHeight="1">
      <c r="D561" s="24"/>
      <c r="E561" s="24"/>
      <c r="F561" s="26"/>
      <c r="G561" s="26"/>
      <c r="H561" s="26"/>
      <c r="I561" s="26"/>
      <c r="J561" s="24"/>
      <c r="K561"/>
      <c r="L561"/>
      <c r="M561"/>
      <c r="N561"/>
      <c r="O561"/>
      <c r="P561"/>
      <c r="Q561"/>
      <c r="R561"/>
    </row>
    <row r="562" spans="4:18" s="23" customFormat="1" ht="15.75" customHeight="1">
      <c r="D562" s="24"/>
      <c r="E562" s="24"/>
      <c r="F562" s="26"/>
      <c r="G562" s="26"/>
      <c r="H562" s="26"/>
      <c r="I562" s="26"/>
      <c r="J562" s="24"/>
      <c r="K562"/>
      <c r="L562"/>
      <c r="M562"/>
      <c r="N562"/>
      <c r="O562"/>
      <c r="P562"/>
      <c r="Q562"/>
      <c r="R562"/>
    </row>
    <row r="563" spans="4:18" s="23" customFormat="1" ht="15.75" customHeight="1">
      <c r="D563" s="24"/>
      <c r="E563" s="24"/>
      <c r="F563" s="26"/>
      <c r="G563" s="26"/>
      <c r="H563" s="26"/>
      <c r="I563" s="26"/>
      <c r="J563" s="24"/>
      <c r="K563"/>
      <c r="L563"/>
      <c r="M563"/>
      <c r="N563"/>
      <c r="O563"/>
      <c r="P563"/>
      <c r="Q563"/>
      <c r="R563"/>
    </row>
    <row r="564" spans="4:18" s="23" customFormat="1" ht="15.75" customHeight="1">
      <c r="D564" s="24"/>
      <c r="E564" s="24"/>
      <c r="F564" s="26"/>
      <c r="G564" s="26"/>
      <c r="H564" s="26"/>
      <c r="I564" s="26"/>
      <c r="J564" s="24"/>
      <c r="K564"/>
      <c r="L564"/>
      <c r="M564"/>
      <c r="N564"/>
      <c r="O564"/>
      <c r="P564"/>
      <c r="Q564"/>
      <c r="R564"/>
    </row>
    <row r="565" spans="4:18" s="23" customFormat="1" ht="15.75" customHeight="1">
      <c r="D565" s="24"/>
      <c r="E565" s="24"/>
      <c r="F565" s="26"/>
      <c r="G565" s="26"/>
      <c r="H565" s="26"/>
      <c r="I565" s="26"/>
      <c r="J565" s="24"/>
      <c r="K565"/>
      <c r="L565"/>
      <c r="M565"/>
      <c r="N565"/>
      <c r="O565"/>
      <c r="P565"/>
      <c r="Q565"/>
      <c r="R565"/>
    </row>
    <row r="566" spans="4:18" s="23" customFormat="1" ht="15.75" customHeight="1">
      <c r="D566" s="24"/>
      <c r="E566" s="24"/>
      <c r="F566" s="26"/>
      <c r="G566" s="26"/>
      <c r="H566" s="26"/>
      <c r="I566" s="26"/>
      <c r="J566" s="24"/>
      <c r="K566"/>
      <c r="L566"/>
      <c r="M566"/>
      <c r="N566"/>
      <c r="O566"/>
      <c r="P566"/>
      <c r="Q566"/>
      <c r="R566"/>
    </row>
    <row r="567" spans="4:18" s="23" customFormat="1" ht="15.75" customHeight="1">
      <c r="D567" s="24"/>
      <c r="E567" s="24"/>
      <c r="F567" s="26"/>
      <c r="G567" s="26"/>
      <c r="H567" s="26"/>
      <c r="I567" s="26"/>
      <c r="J567" s="24"/>
      <c r="K567"/>
      <c r="L567"/>
      <c r="M567"/>
      <c r="N567"/>
      <c r="O567"/>
      <c r="P567"/>
      <c r="Q567"/>
      <c r="R567"/>
    </row>
    <row r="568" spans="4:18" s="23" customFormat="1" ht="15.75" customHeight="1">
      <c r="D568" s="24"/>
      <c r="E568" s="24"/>
      <c r="F568" s="26"/>
      <c r="G568" s="26"/>
      <c r="H568" s="26"/>
      <c r="I568" s="26"/>
      <c r="J568" s="24"/>
      <c r="K568"/>
      <c r="L568"/>
      <c r="M568"/>
      <c r="N568"/>
      <c r="O568"/>
      <c r="P568"/>
      <c r="Q568"/>
      <c r="R568"/>
    </row>
    <row r="569" spans="4:18" s="23" customFormat="1" ht="15.75" customHeight="1">
      <c r="D569" s="24"/>
      <c r="E569" s="24"/>
      <c r="F569" s="26"/>
      <c r="G569" s="26"/>
      <c r="H569" s="26"/>
      <c r="I569" s="26"/>
      <c r="J569" s="24"/>
      <c r="K569"/>
      <c r="L569"/>
      <c r="M569"/>
      <c r="N569"/>
      <c r="O569"/>
      <c r="P569"/>
      <c r="Q569"/>
      <c r="R569"/>
    </row>
    <row r="570" spans="4:18" s="23" customFormat="1" ht="15.75" customHeight="1">
      <c r="D570" s="24"/>
      <c r="E570" s="24"/>
      <c r="F570" s="26"/>
      <c r="G570" s="26"/>
      <c r="H570" s="26"/>
      <c r="I570" s="26"/>
      <c r="J570" s="24"/>
      <c r="K570"/>
      <c r="L570"/>
      <c r="M570"/>
      <c r="N570"/>
      <c r="O570"/>
      <c r="P570"/>
      <c r="Q570"/>
      <c r="R570"/>
    </row>
    <row r="571" spans="4:18" s="23" customFormat="1" ht="15.75" customHeight="1">
      <c r="D571" s="24"/>
      <c r="E571" s="24"/>
      <c r="F571" s="26"/>
      <c r="G571" s="26"/>
      <c r="H571" s="26"/>
      <c r="I571" s="26"/>
      <c r="J571" s="24"/>
      <c r="K571"/>
      <c r="L571"/>
      <c r="M571"/>
      <c r="N571"/>
      <c r="O571"/>
      <c r="P571"/>
      <c r="Q571"/>
      <c r="R571"/>
    </row>
    <row r="572" spans="4:18" s="23" customFormat="1" ht="15.75" customHeight="1">
      <c r="D572" s="24"/>
      <c r="E572" s="24"/>
      <c r="F572" s="26"/>
      <c r="G572" s="26"/>
      <c r="H572" s="26"/>
      <c r="I572" s="26"/>
      <c r="J572" s="24"/>
      <c r="K572"/>
      <c r="L572"/>
      <c r="M572"/>
      <c r="N572"/>
      <c r="O572"/>
      <c r="P572"/>
      <c r="Q572"/>
      <c r="R572"/>
    </row>
    <row r="573" spans="4:18" s="23" customFormat="1" ht="15.75" customHeight="1">
      <c r="D573" s="24"/>
      <c r="E573" s="24"/>
      <c r="F573" s="26"/>
      <c r="G573" s="26"/>
      <c r="H573" s="26"/>
      <c r="I573" s="26"/>
      <c r="J573" s="24"/>
      <c r="K573"/>
      <c r="L573"/>
      <c r="M573"/>
      <c r="N573"/>
      <c r="O573"/>
      <c r="P573"/>
      <c r="Q573"/>
      <c r="R573"/>
    </row>
    <row r="574" spans="4:18" s="23" customFormat="1" ht="15.75" customHeight="1">
      <c r="D574" s="24"/>
      <c r="E574" s="24"/>
      <c r="F574" s="26"/>
      <c r="G574" s="26"/>
      <c r="H574" s="26"/>
      <c r="I574" s="26"/>
      <c r="J574" s="24"/>
      <c r="K574"/>
      <c r="L574"/>
      <c r="M574"/>
      <c r="N574"/>
      <c r="O574"/>
      <c r="P574"/>
      <c r="Q574"/>
      <c r="R574"/>
    </row>
    <row r="575" spans="4:18" s="23" customFormat="1" ht="15.75" customHeight="1">
      <c r="D575" s="24"/>
      <c r="E575" s="24"/>
      <c r="F575" s="26"/>
      <c r="G575" s="26"/>
      <c r="H575" s="26"/>
      <c r="I575" s="26"/>
      <c r="J575" s="24"/>
      <c r="K575"/>
      <c r="L575"/>
      <c r="M575"/>
      <c r="N575"/>
      <c r="O575"/>
      <c r="P575"/>
      <c r="Q575"/>
      <c r="R575"/>
    </row>
    <row r="576" spans="4:18" s="23" customFormat="1" ht="15.75" customHeight="1">
      <c r="D576" s="24"/>
      <c r="E576" s="24"/>
      <c r="F576" s="26"/>
      <c r="G576" s="26"/>
      <c r="H576" s="26"/>
      <c r="I576" s="26"/>
      <c r="J576" s="24"/>
      <c r="K576"/>
      <c r="L576"/>
      <c r="M576"/>
      <c r="N576"/>
      <c r="O576"/>
      <c r="P576"/>
      <c r="Q576"/>
      <c r="R576"/>
    </row>
    <row r="577" spans="4:18" s="23" customFormat="1" ht="15.75" customHeight="1">
      <c r="D577" s="24"/>
      <c r="E577" s="24"/>
      <c r="F577" s="26"/>
      <c r="G577" s="26"/>
      <c r="H577" s="26"/>
      <c r="I577" s="26"/>
      <c r="J577" s="24"/>
      <c r="K577"/>
      <c r="L577"/>
      <c r="M577"/>
      <c r="N577"/>
      <c r="O577"/>
      <c r="P577"/>
      <c r="Q577"/>
      <c r="R577"/>
    </row>
    <row r="578" spans="4:18" s="23" customFormat="1" ht="15.75" customHeight="1">
      <c r="D578" s="24"/>
      <c r="E578" s="24"/>
      <c r="F578" s="26"/>
      <c r="G578" s="26"/>
      <c r="H578" s="26"/>
      <c r="I578" s="26"/>
      <c r="J578" s="24"/>
      <c r="K578"/>
      <c r="L578"/>
      <c r="M578"/>
      <c r="N578"/>
      <c r="O578"/>
      <c r="P578"/>
      <c r="Q578"/>
      <c r="R578"/>
    </row>
    <row r="579" spans="4:18" s="23" customFormat="1" ht="15.75" customHeight="1">
      <c r="D579" s="24"/>
      <c r="E579" s="24"/>
      <c r="F579" s="26"/>
      <c r="G579" s="26"/>
      <c r="H579" s="26"/>
      <c r="I579" s="26"/>
      <c r="J579" s="24"/>
      <c r="K579"/>
      <c r="L579"/>
      <c r="M579"/>
      <c r="N579"/>
      <c r="O579"/>
      <c r="P579"/>
      <c r="Q579"/>
      <c r="R579"/>
    </row>
    <row r="580" spans="4:18" s="23" customFormat="1" ht="15.75" customHeight="1">
      <c r="D580" s="24"/>
      <c r="E580" s="24"/>
      <c r="F580" s="26"/>
      <c r="G580" s="26"/>
      <c r="H580" s="26"/>
      <c r="I580" s="26"/>
      <c r="J580" s="24"/>
      <c r="K580"/>
      <c r="L580"/>
      <c r="M580"/>
      <c r="N580"/>
      <c r="O580"/>
      <c r="P580"/>
      <c r="Q580"/>
      <c r="R580"/>
    </row>
    <row r="581" spans="4:18" s="23" customFormat="1" ht="15.75" customHeight="1">
      <c r="D581" s="24"/>
      <c r="E581" s="24"/>
      <c r="F581" s="26"/>
      <c r="G581" s="26"/>
      <c r="H581" s="26"/>
      <c r="I581" s="26"/>
      <c r="J581" s="24"/>
      <c r="K581"/>
      <c r="L581"/>
      <c r="M581"/>
      <c r="N581"/>
      <c r="O581"/>
      <c r="P581"/>
      <c r="Q581"/>
      <c r="R581"/>
    </row>
    <row r="582" spans="4:18" s="23" customFormat="1" ht="15.75" customHeight="1">
      <c r="D582" s="24"/>
      <c r="E582" s="24"/>
      <c r="F582" s="26"/>
      <c r="G582" s="26"/>
      <c r="H582" s="26"/>
      <c r="I582" s="26"/>
      <c r="J582" s="24"/>
      <c r="K582"/>
      <c r="L582"/>
      <c r="M582"/>
      <c r="N582"/>
      <c r="O582"/>
      <c r="P582"/>
      <c r="Q582"/>
      <c r="R582"/>
    </row>
    <row r="583" spans="4:18" s="23" customFormat="1" ht="15.75" customHeight="1">
      <c r="D583" s="24"/>
      <c r="E583" s="24"/>
      <c r="F583" s="26"/>
      <c r="G583" s="26"/>
      <c r="H583" s="26"/>
      <c r="I583" s="26"/>
      <c r="J583" s="24"/>
      <c r="K583"/>
      <c r="L583"/>
      <c r="M583"/>
      <c r="N583"/>
      <c r="O583"/>
      <c r="P583"/>
      <c r="Q583"/>
      <c r="R583"/>
    </row>
    <row r="584" spans="4:18" s="23" customFormat="1" ht="15.75" customHeight="1">
      <c r="D584" s="24"/>
      <c r="E584" s="24"/>
      <c r="F584" s="26"/>
      <c r="G584" s="26"/>
      <c r="H584" s="26"/>
      <c r="I584" s="26"/>
      <c r="J584" s="24"/>
      <c r="K584"/>
      <c r="L584"/>
      <c r="M584"/>
      <c r="N584"/>
      <c r="O584"/>
      <c r="P584"/>
      <c r="Q584"/>
      <c r="R584"/>
    </row>
    <row r="585" spans="4:18" s="23" customFormat="1" ht="15.75" customHeight="1">
      <c r="D585" s="24"/>
      <c r="E585" s="24"/>
      <c r="F585" s="26"/>
      <c r="G585" s="26"/>
      <c r="H585" s="26"/>
      <c r="I585" s="26"/>
      <c r="J585" s="24"/>
      <c r="K585"/>
      <c r="L585"/>
      <c r="M585"/>
      <c r="N585"/>
      <c r="O585"/>
      <c r="P585"/>
      <c r="Q585"/>
      <c r="R585"/>
    </row>
    <row r="586" spans="4:18" s="23" customFormat="1" ht="15.75" customHeight="1">
      <c r="D586" s="24"/>
      <c r="E586" s="24"/>
      <c r="F586" s="26"/>
      <c r="G586" s="26"/>
      <c r="H586" s="26"/>
      <c r="I586" s="26"/>
      <c r="J586" s="24"/>
      <c r="K586"/>
      <c r="L586"/>
      <c r="M586"/>
      <c r="N586"/>
      <c r="O586"/>
      <c r="P586"/>
      <c r="Q586"/>
      <c r="R586"/>
    </row>
    <row r="587" spans="4:18" s="23" customFormat="1" ht="15.75" customHeight="1">
      <c r="D587" s="24"/>
      <c r="E587" s="24"/>
      <c r="F587" s="26"/>
      <c r="G587" s="26"/>
      <c r="H587" s="26"/>
      <c r="I587" s="26"/>
      <c r="J587" s="24"/>
      <c r="K587"/>
      <c r="L587"/>
      <c r="M587"/>
      <c r="N587"/>
      <c r="O587"/>
      <c r="P587"/>
      <c r="Q587"/>
      <c r="R587"/>
    </row>
    <row r="588" spans="4:18" s="23" customFormat="1" ht="15.75" customHeight="1">
      <c r="D588" s="24"/>
      <c r="E588" s="24"/>
      <c r="F588" s="26"/>
      <c r="G588" s="26"/>
      <c r="H588" s="26"/>
      <c r="I588" s="26"/>
      <c r="J588" s="24"/>
      <c r="K588"/>
      <c r="L588"/>
      <c r="M588"/>
      <c r="N588"/>
      <c r="O588"/>
      <c r="P588"/>
      <c r="Q588"/>
      <c r="R588"/>
    </row>
    <row r="589" spans="4:18" s="23" customFormat="1" ht="15.75" customHeight="1">
      <c r="D589" s="24"/>
      <c r="E589" s="24"/>
      <c r="F589" s="26"/>
      <c r="G589" s="26"/>
      <c r="H589" s="26"/>
      <c r="I589" s="26"/>
      <c r="J589" s="24"/>
      <c r="K589"/>
      <c r="L589"/>
      <c r="M589"/>
      <c r="N589"/>
      <c r="O589"/>
      <c r="P589"/>
      <c r="Q589"/>
      <c r="R589"/>
    </row>
    <row r="590" spans="4:18" s="23" customFormat="1" ht="15.75" customHeight="1">
      <c r="D590" s="24"/>
      <c r="E590" s="24"/>
      <c r="F590" s="26"/>
      <c r="G590" s="26"/>
      <c r="H590" s="26"/>
      <c r="I590" s="26"/>
      <c r="J590" s="24"/>
      <c r="K590"/>
      <c r="L590"/>
      <c r="M590"/>
      <c r="N590"/>
      <c r="O590"/>
      <c r="P590"/>
      <c r="Q590"/>
      <c r="R590"/>
    </row>
    <row r="591" spans="4:18" s="23" customFormat="1" ht="15.75" customHeight="1">
      <c r="D591" s="24"/>
      <c r="E591" s="24"/>
      <c r="F591" s="26"/>
      <c r="G591" s="26"/>
      <c r="H591" s="26"/>
      <c r="I591" s="26"/>
      <c r="J591" s="24"/>
      <c r="K591"/>
      <c r="L591"/>
      <c r="M591"/>
      <c r="N591"/>
      <c r="O591"/>
      <c r="P591"/>
      <c r="Q591"/>
      <c r="R591"/>
    </row>
    <row r="592" spans="4:18" s="23" customFormat="1" ht="15.75" customHeight="1">
      <c r="D592" s="24"/>
      <c r="E592" s="24"/>
      <c r="F592" s="26"/>
      <c r="G592" s="26"/>
      <c r="H592" s="26"/>
      <c r="I592" s="26"/>
      <c r="J592" s="24"/>
      <c r="K592"/>
      <c r="L592"/>
      <c r="M592"/>
      <c r="N592"/>
      <c r="O592"/>
      <c r="P592"/>
      <c r="Q592"/>
      <c r="R592"/>
    </row>
    <row r="593" spans="4:18" s="23" customFormat="1" ht="15.75" customHeight="1">
      <c r="D593" s="24"/>
      <c r="E593" s="24"/>
      <c r="F593" s="26"/>
      <c r="G593" s="26"/>
      <c r="H593" s="26"/>
      <c r="I593" s="26"/>
      <c r="J593" s="24"/>
      <c r="K593"/>
      <c r="L593"/>
      <c r="M593"/>
      <c r="N593"/>
      <c r="O593"/>
      <c r="P593"/>
      <c r="Q593"/>
      <c r="R593"/>
    </row>
    <row r="594" spans="4:18" s="23" customFormat="1" ht="15.75" customHeight="1">
      <c r="D594" s="24"/>
      <c r="E594" s="24"/>
      <c r="F594" s="26"/>
      <c r="G594" s="26"/>
      <c r="H594" s="26"/>
      <c r="I594" s="26"/>
      <c r="J594" s="24"/>
      <c r="K594"/>
      <c r="L594"/>
      <c r="M594"/>
      <c r="N594"/>
      <c r="O594"/>
      <c r="P594"/>
      <c r="Q594"/>
      <c r="R594"/>
    </row>
    <row r="595" spans="4:18" s="23" customFormat="1" ht="15.75" customHeight="1">
      <c r="D595" s="24"/>
      <c r="E595" s="24"/>
      <c r="F595" s="26"/>
      <c r="G595" s="26"/>
      <c r="H595" s="26"/>
      <c r="I595" s="26"/>
      <c r="J595" s="24"/>
      <c r="K595"/>
      <c r="L595"/>
      <c r="M595"/>
      <c r="N595"/>
      <c r="O595"/>
      <c r="P595"/>
      <c r="Q595"/>
      <c r="R595"/>
    </row>
    <row r="596" spans="4:18" s="23" customFormat="1" ht="15.75" customHeight="1">
      <c r="D596" s="24"/>
      <c r="E596" s="24"/>
      <c r="F596" s="26"/>
      <c r="G596" s="26"/>
      <c r="H596" s="26"/>
      <c r="I596" s="26"/>
      <c r="J596" s="24"/>
      <c r="K596"/>
      <c r="L596"/>
      <c r="M596"/>
      <c r="N596"/>
      <c r="O596"/>
      <c r="P596"/>
      <c r="Q596"/>
      <c r="R596"/>
    </row>
    <row r="597" spans="4:18" s="23" customFormat="1" ht="15.75" customHeight="1">
      <c r="D597" s="24"/>
      <c r="E597" s="24"/>
      <c r="F597" s="26"/>
      <c r="G597" s="26"/>
      <c r="H597" s="26"/>
      <c r="I597" s="26"/>
      <c r="J597" s="24"/>
      <c r="K597"/>
      <c r="L597"/>
      <c r="M597"/>
      <c r="N597"/>
      <c r="O597"/>
      <c r="P597"/>
      <c r="Q597"/>
      <c r="R597"/>
    </row>
    <row r="598" spans="4:18" s="23" customFormat="1" ht="15.75" customHeight="1">
      <c r="D598" s="24"/>
      <c r="E598" s="24"/>
      <c r="F598" s="26"/>
      <c r="G598" s="26"/>
      <c r="H598" s="26"/>
      <c r="I598" s="26"/>
      <c r="J598" s="24"/>
      <c r="K598"/>
      <c r="L598"/>
      <c r="M598"/>
      <c r="N598"/>
      <c r="O598"/>
      <c r="P598"/>
      <c r="Q598"/>
      <c r="R598"/>
    </row>
    <row r="599" spans="4:18" s="23" customFormat="1" ht="15.75" customHeight="1">
      <c r="D599" s="24"/>
      <c r="E599" s="24"/>
      <c r="F599" s="26"/>
      <c r="G599" s="26"/>
      <c r="H599" s="26"/>
      <c r="I599" s="26"/>
      <c r="J599" s="24"/>
      <c r="K599"/>
      <c r="L599"/>
      <c r="M599"/>
      <c r="N599"/>
      <c r="O599"/>
      <c r="P599"/>
      <c r="Q599"/>
      <c r="R599"/>
    </row>
    <row r="600" spans="4:18" s="23" customFormat="1" ht="15.75" customHeight="1">
      <c r="D600" s="24"/>
      <c r="E600" s="24"/>
      <c r="F600" s="26"/>
      <c r="G600" s="26"/>
      <c r="H600" s="26"/>
      <c r="I600" s="26"/>
      <c r="J600" s="24"/>
      <c r="K600"/>
      <c r="L600"/>
      <c r="M600"/>
      <c r="N600"/>
      <c r="O600"/>
      <c r="P600"/>
      <c r="Q600"/>
      <c r="R600"/>
    </row>
    <row r="601" spans="4:18" s="23" customFormat="1" ht="15.75" customHeight="1">
      <c r="D601" s="24"/>
      <c r="E601" s="24"/>
      <c r="F601" s="26"/>
      <c r="G601" s="26"/>
      <c r="H601" s="26"/>
      <c r="I601" s="26"/>
      <c r="J601" s="24"/>
      <c r="K601"/>
      <c r="L601"/>
      <c r="M601"/>
      <c r="N601"/>
      <c r="O601"/>
      <c r="P601"/>
      <c r="Q601"/>
      <c r="R601"/>
    </row>
    <row r="602" spans="4:18" s="23" customFormat="1" ht="15.75" customHeight="1">
      <c r="D602" s="24"/>
      <c r="E602" s="24"/>
      <c r="F602" s="26"/>
      <c r="G602" s="26"/>
      <c r="H602" s="26"/>
      <c r="I602" s="26"/>
      <c r="J602" s="24"/>
      <c r="K602"/>
      <c r="L602"/>
      <c r="M602"/>
      <c r="N602"/>
      <c r="O602"/>
      <c r="P602"/>
      <c r="Q602"/>
      <c r="R602"/>
    </row>
    <row r="603" spans="4:18" s="23" customFormat="1" ht="15.75" customHeight="1">
      <c r="D603" s="24"/>
      <c r="E603" s="24"/>
      <c r="F603" s="26"/>
      <c r="G603" s="26"/>
      <c r="H603" s="26"/>
      <c r="I603" s="26"/>
      <c r="J603" s="24"/>
      <c r="K603"/>
      <c r="L603"/>
      <c r="M603"/>
      <c r="N603"/>
      <c r="O603"/>
      <c r="P603"/>
      <c r="Q603"/>
      <c r="R603"/>
    </row>
    <row r="604" spans="4:18" s="23" customFormat="1" ht="15.75" customHeight="1">
      <c r="D604" s="24"/>
      <c r="E604" s="24"/>
      <c r="F604" s="26"/>
      <c r="G604" s="26"/>
      <c r="H604" s="26"/>
      <c r="I604" s="26"/>
      <c r="J604" s="24"/>
      <c r="K604"/>
      <c r="L604"/>
      <c r="M604"/>
      <c r="N604"/>
      <c r="O604"/>
      <c r="P604"/>
      <c r="Q604"/>
      <c r="R604"/>
    </row>
    <row r="605" spans="4:18" s="23" customFormat="1" ht="15.75" customHeight="1">
      <c r="D605" s="24"/>
      <c r="E605" s="24"/>
      <c r="F605" s="26"/>
      <c r="G605" s="26"/>
      <c r="H605" s="26"/>
      <c r="I605" s="26"/>
      <c r="J605" s="24"/>
      <c r="K605"/>
      <c r="L605"/>
      <c r="M605"/>
      <c r="N605"/>
      <c r="O605"/>
      <c r="P605"/>
      <c r="Q605"/>
      <c r="R605"/>
    </row>
    <row r="606" spans="4:18" s="23" customFormat="1" ht="15.75" customHeight="1">
      <c r="D606" s="24"/>
      <c r="E606" s="24"/>
      <c r="F606" s="26"/>
      <c r="G606" s="26"/>
      <c r="H606" s="26"/>
      <c r="I606" s="26"/>
      <c r="J606" s="24"/>
      <c r="K606"/>
      <c r="L606"/>
      <c r="M606"/>
      <c r="N606"/>
      <c r="O606"/>
      <c r="P606"/>
      <c r="Q606"/>
      <c r="R606"/>
    </row>
    <row r="607" spans="4:18" s="23" customFormat="1" ht="15.75" customHeight="1">
      <c r="D607" s="24"/>
      <c r="E607" s="24"/>
      <c r="F607" s="26"/>
      <c r="G607" s="26"/>
      <c r="H607" s="26"/>
      <c r="I607" s="26"/>
      <c r="J607" s="24"/>
      <c r="K607"/>
      <c r="L607"/>
      <c r="M607"/>
      <c r="N607"/>
      <c r="O607"/>
      <c r="P607"/>
      <c r="Q607"/>
      <c r="R607"/>
    </row>
    <row r="608" spans="4:18" s="23" customFormat="1" ht="15.75" customHeight="1">
      <c r="D608" s="24"/>
      <c r="E608" s="24"/>
      <c r="F608" s="26"/>
      <c r="G608" s="26"/>
      <c r="H608" s="26"/>
      <c r="I608" s="26"/>
      <c r="J608" s="24"/>
      <c r="K608"/>
      <c r="L608"/>
      <c r="M608"/>
      <c r="N608"/>
      <c r="O608"/>
      <c r="P608"/>
      <c r="Q608"/>
      <c r="R608"/>
    </row>
    <row r="609" spans="4:18" s="23" customFormat="1" ht="15.75" customHeight="1">
      <c r="D609" s="24"/>
      <c r="E609" s="24"/>
      <c r="F609" s="26"/>
      <c r="G609" s="26"/>
      <c r="H609" s="26"/>
      <c r="I609" s="26"/>
      <c r="J609" s="24"/>
      <c r="K609"/>
      <c r="L609"/>
      <c r="M609"/>
      <c r="N609"/>
      <c r="O609"/>
      <c r="P609"/>
      <c r="Q609"/>
      <c r="R609"/>
    </row>
    <row r="610" spans="4:18" s="23" customFormat="1" ht="15.75" customHeight="1">
      <c r="D610" s="24"/>
      <c r="E610" s="24"/>
      <c r="F610" s="26"/>
      <c r="G610" s="26"/>
      <c r="H610" s="26"/>
      <c r="I610" s="26"/>
      <c r="J610" s="24"/>
      <c r="K610"/>
      <c r="L610"/>
      <c r="M610"/>
      <c r="N610"/>
      <c r="O610"/>
      <c r="P610"/>
      <c r="Q610"/>
      <c r="R610"/>
    </row>
    <row r="611" spans="4:18" s="23" customFormat="1" ht="15.75" customHeight="1">
      <c r="D611" s="24"/>
      <c r="E611" s="24"/>
      <c r="F611" s="26"/>
      <c r="G611" s="26"/>
      <c r="H611" s="26"/>
      <c r="I611" s="26"/>
      <c r="J611" s="24"/>
      <c r="K611"/>
      <c r="L611"/>
      <c r="M611"/>
      <c r="N611"/>
      <c r="O611"/>
      <c r="P611"/>
      <c r="Q611"/>
      <c r="R611"/>
    </row>
    <row r="612" spans="4:18" s="23" customFormat="1" ht="15.75" customHeight="1">
      <c r="D612" s="24"/>
      <c r="E612" s="24"/>
      <c r="F612" s="26"/>
      <c r="G612" s="26"/>
      <c r="H612" s="26"/>
      <c r="I612" s="26"/>
      <c r="J612" s="24"/>
      <c r="K612"/>
      <c r="L612"/>
      <c r="M612"/>
      <c r="N612"/>
      <c r="O612"/>
      <c r="P612"/>
      <c r="Q612"/>
      <c r="R612"/>
    </row>
    <row r="613" spans="4:18" s="23" customFormat="1" ht="15.75" customHeight="1">
      <c r="D613" s="24"/>
      <c r="E613" s="24"/>
      <c r="F613" s="26"/>
      <c r="G613" s="26"/>
      <c r="H613" s="26"/>
      <c r="I613" s="26"/>
      <c r="J613" s="24"/>
      <c r="K613"/>
      <c r="L613"/>
      <c r="M613"/>
      <c r="N613"/>
      <c r="O613"/>
      <c r="P613"/>
      <c r="Q613"/>
      <c r="R613"/>
    </row>
    <row r="614" spans="4:18" s="23" customFormat="1" ht="15.75" customHeight="1">
      <c r="D614" s="24"/>
      <c r="E614" s="24"/>
      <c r="F614" s="26"/>
      <c r="G614" s="26"/>
      <c r="H614" s="26"/>
      <c r="I614" s="26"/>
      <c r="J614" s="24"/>
      <c r="K614"/>
      <c r="L614"/>
      <c r="M614"/>
      <c r="N614"/>
      <c r="O614"/>
      <c r="P614"/>
      <c r="Q614"/>
      <c r="R614"/>
    </row>
    <row r="615" spans="4:18" s="23" customFormat="1" ht="15.75" customHeight="1">
      <c r="D615" s="24"/>
      <c r="E615" s="24"/>
      <c r="F615" s="26"/>
      <c r="G615" s="26"/>
      <c r="H615" s="26"/>
      <c r="I615" s="26"/>
      <c r="J615" s="24"/>
      <c r="K615"/>
      <c r="L615"/>
      <c r="M615"/>
      <c r="N615"/>
      <c r="O615"/>
      <c r="P615"/>
      <c r="Q615"/>
      <c r="R615"/>
    </row>
    <row r="616" spans="4:18" s="23" customFormat="1" ht="15.75" customHeight="1">
      <c r="D616" s="24"/>
      <c r="E616" s="24"/>
      <c r="F616" s="26"/>
      <c r="G616" s="26"/>
      <c r="H616" s="26"/>
      <c r="I616" s="26"/>
      <c r="J616" s="24"/>
      <c r="K616"/>
      <c r="L616"/>
      <c r="M616"/>
      <c r="N616"/>
      <c r="O616"/>
      <c r="P616"/>
      <c r="Q616"/>
      <c r="R616"/>
    </row>
    <row r="617" spans="4:18" s="23" customFormat="1" ht="15.75" customHeight="1">
      <c r="D617" s="24"/>
      <c r="E617" s="24"/>
      <c r="F617" s="26"/>
      <c r="G617" s="26"/>
      <c r="H617" s="26"/>
      <c r="I617" s="26"/>
      <c r="J617" s="24"/>
      <c r="K617"/>
      <c r="L617"/>
      <c r="M617"/>
      <c r="N617"/>
      <c r="O617"/>
      <c r="P617"/>
      <c r="Q617"/>
      <c r="R617"/>
    </row>
    <row r="618" spans="4:18" s="23" customFormat="1" ht="15.75" customHeight="1">
      <c r="D618" s="24"/>
      <c r="E618" s="24"/>
      <c r="F618" s="26"/>
      <c r="G618" s="26"/>
      <c r="H618" s="26"/>
      <c r="I618" s="26"/>
      <c r="J618" s="24"/>
      <c r="K618"/>
      <c r="L618"/>
      <c r="M618"/>
      <c r="N618"/>
      <c r="O618"/>
      <c r="P618"/>
      <c r="Q618"/>
      <c r="R618"/>
    </row>
    <row r="619" spans="4:18" s="23" customFormat="1" ht="15.75" customHeight="1">
      <c r="D619" s="24"/>
      <c r="E619" s="24"/>
      <c r="F619" s="26"/>
      <c r="G619" s="26"/>
      <c r="H619" s="26"/>
      <c r="I619" s="26"/>
      <c r="J619" s="24"/>
      <c r="K619"/>
      <c r="L619"/>
      <c r="M619"/>
      <c r="N619"/>
      <c r="O619"/>
      <c r="P619"/>
      <c r="Q619"/>
      <c r="R619"/>
    </row>
    <row r="620" spans="4:18" s="23" customFormat="1" ht="15.75" customHeight="1">
      <c r="D620" s="24"/>
      <c r="E620" s="24"/>
      <c r="F620" s="26"/>
      <c r="G620" s="26"/>
      <c r="H620" s="26"/>
      <c r="I620" s="26"/>
      <c r="J620" s="24"/>
      <c r="K620"/>
      <c r="L620"/>
      <c r="M620"/>
      <c r="N620"/>
      <c r="O620"/>
      <c r="P620"/>
      <c r="Q620"/>
      <c r="R620"/>
    </row>
    <row r="621" spans="4:18" s="23" customFormat="1" ht="15.75" customHeight="1">
      <c r="D621" s="24"/>
      <c r="E621" s="24"/>
      <c r="F621" s="26"/>
      <c r="G621" s="26"/>
      <c r="H621" s="26"/>
      <c r="I621" s="26"/>
      <c r="J621" s="24"/>
      <c r="K621"/>
      <c r="L621"/>
      <c r="M621"/>
      <c r="N621"/>
      <c r="O621"/>
      <c r="P621"/>
      <c r="Q621"/>
      <c r="R621"/>
    </row>
    <row r="622" spans="4:18" s="23" customFormat="1" ht="15.75" customHeight="1">
      <c r="D622" s="24"/>
      <c r="E622" s="24"/>
      <c r="F622" s="26"/>
      <c r="G622" s="26"/>
      <c r="H622" s="26"/>
      <c r="I622" s="26"/>
      <c r="J622" s="24"/>
      <c r="K622"/>
      <c r="L622"/>
      <c r="M622"/>
      <c r="N622"/>
      <c r="O622"/>
      <c r="P622"/>
      <c r="Q622"/>
      <c r="R622"/>
    </row>
    <row r="623" spans="4:18" s="23" customFormat="1" ht="15.75" customHeight="1">
      <c r="D623" s="24"/>
      <c r="E623" s="24"/>
      <c r="F623" s="26"/>
      <c r="G623" s="26"/>
      <c r="H623" s="26"/>
      <c r="I623" s="26"/>
      <c r="J623" s="24"/>
      <c r="K623"/>
      <c r="L623"/>
      <c r="M623"/>
      <c r="N623"/>
      <c r="O623"/>
      <c r="P623"/>
      <c r="Q623"/>
      <c r="R623"/>
    </row>
    <row r="624" spans="4:18" s="23" customFormat="1" ht="15.75" customHeight="1">
      <c r="D624" s="24"/>
      <c r="E624" s="24"/>
      <c r="F624" s="26"/>
      <c r="G624" s="26"/>
      <c r="H624" s="26"/>
      <c r="I624" s="26"/>
      <c r="J624" s="24"/>
      <c r="K624"/>
      <c r="L624"/>
      <c r="M624"/>
      <c r="N624"/>
      <c r="O624"/>
      <c r="P624"/>
      <c r="Q624"/>
      <c r="R624"/>
    </row>
    <row r="625" spans="4:18" s="23" customFormat="1" ht="15.75" customHeight="1">
      <c r="D625" s="24"/>
      <c r="E625" s="24"/>
      <c r="F625" s="26"/>
      <c r="G625" s="26"/>
      <c r="H625" s="26"/>
      <c r="I625" s="26"/>
      <c r="J625" s="24"/>
      <c r="K625"/>
      <c r="L625"/>
      <c r="M625"/>
      <c r="N625"/>
      <c r="O625"/>
      <c r="P625"/>
      <c r="Q625"/>
      <c r="R625"/>
    </row>
    <row r="626" spans="4:18" s="23" customFormat="1" ht="15.75" customHeight="1">
      <c r="D626" s="24"/>
      <c r="E626" s="24"/>
      <c r="F626" s="26"/>
      <c r="G626" s="26"/>
      <c r="H626" s="26"/>
      <c r="I626" s="26"/>
      <c r="J626" s="24"/>
      <c r="K626"/>
      <c r="L626"/>
      <c r="M626"/>
      <c r="N626"/>
      <c r="O626"/>
      <c r="P626"/>
      <c r="Q626"/>
      <c r="R626"/>
    </row>
    <row r="627" spans="4:18" s="23" customFormat="1" ht="15.75" customHeight="1">
      <c r="D627" s="24"/>
      <c r="E627" s="24"/>
      <c r="F627" s="26"/>
      <c r="G627" s="26"/>
      <c r="H627" s="26"/>
      <c r="I627" s="26"/>
      <c r="J627" s="24"/>
      <c r="K627"/>
      <c r="L627"/>
      <c r="M627"/>
      <c r="N627"/>
      <c r="O627"/>
      <c r="P627"/>
      <c r="Q627"/>
      <c r="R627"/>
    </row>
    <row r="628" spans="4:18" s="23" customFormat="1" ht="15.75" customHeight="1">
      <c r="D628" s="24"/>
      <c r="E628" s="24"/>
      <c r="F628" s="26"/>
      <c r="G628" s="26"/>
      <c r="H628" s="26"/>
      <c r="I628" s="26"/>
      <c r="J628" s="24"/>
      <c r="K628"/>
      <c r="L628"/>
      <c r="M628"/>
      <c r="N628"/>
      <c r="O628"/>
      <c r="P628"/>
      <c r="Q628"/>
      <c r="R628"/>
    </row>
    <row r="629" spans="4:18" s="23" customFormat="1" ht="15.75" customHeight="1">
      <c r="D629" s="24"/>
      <c r="E629" s="24"/>
      <c r="F629" s="26"/>
      <c r="G629" s="26"/>
      <c r="H629" s="26"/>
      <c r="I629" s="26"/>
      <c r="J629" s="24"/>
      <c r="K629"/>
      <c r="L629"/>
      <c r="M629"/>
      <c r="N629"/>
      <c r="O629"/>
      <c r="P629"/>
      <c r="Q629"/>
      <c r="R629"/>
    </row>
    <row r="630" spans="4:18" s="23" customFormat="1" ht="15.75" customHeight="1">
      <c r="D630" s="24"/>
      <c r="E630" s="24"/>
      <c r="F630" s="26"/>
      <c r="G630" s="26"/>
      <c r="H630" s="26"/>
      <c r="I630" s="26"/>
      <c r="J630" s="24"/>
      <c r="K630"/>
      <c r="L630"/>
      <c r="M630"/>
      <c r="N630"/>
      <c r="O630"/>
      <c r="P630"/>
      <c r="Q630"/>
      <c r="R630"/>
    </row>
    <row r="631" spans="4:18" s="23" customFormat="1" ht="15.75" customHeight="1">
      <c r="D631" s="24"/>
      <c r="E631" s="24"/>
      <c r="F631" s="26"/>
      <c r="G631" s="26"/>
      <c r="H631" s="26"/>
      <c r="I631" s="26"/>
      <c r="J631" s="24"/>
      <c r="K631"/>
      <c r="L631"/>
      <c r="M631"/>
      <c r="N631"/>
      <c r="O631"/>
      <c r="P631"/>
      <c r="Q631"/>
      <c r="R631"/>
    </row>
    <row r="632" spans="4:18" s="23" customFormat="1" ht="15.75" customHeight="1">
      <c r="D632" s="24"/>
      <c r="E632" s="24"/>
      <c r="F632" s="26"/>
      <c r="G632" s="26"/>
      <c r="H632" s="26"/>
      <c r="I632" s="26"/>
      <c r="J632" s="24"/>
      <c r="K632"/>
      <c r="L632"/>
      <c r="M632"/>
      <c r="N632"/>
      <c r="O632"/>
      <c r="P632"/>
      <c r="Q632"/>
      <c r="R632"/>
    </row>
    <row r="633" spans="4:18" s="23" customFormat="1" ht="15.75" customHeight="1">
      <c r="D633" s="24"/>
      <c r="E633" s="24"/>
      <c r="F633" s="26"/>
      <c r="G633" s="26"/>
      <c r="H633" s="26"/>
      <c r="I633" s="26"/>
      <c r="J633" s="24"/>
      <c r="K633"/>
      <c r="L633"/>
      <c r="M633"/>
      <c r="N633"/>
      <c r="O633"/>
      <c r="P633"/>
      <c r="Q633"/>
      <c r="R633"/>
    </row>
    <row r="634" spans="4:18" s="23" customFormat="1" ht="15.75" customHeight="1">
      <c r="D634" s="24"/>
      <c r="E634" s="24"/>
      <c r="F634" s="26"/>
      <c r="G634" s="26"/>
      <c r="H634" s="26"/>
      <c r="I634" s="26"/>
      <c r="J634" s="24"/>
      <c r="K634"/>
      <c r="L634"/>
      <c r="M634"/>
      <c r="N634"/>
      <c r="O634"/>
      <c r="P634"/>
      <c r="Q634"/>
      <c r="R634"/>
    </row>
    <row r="635" spans="4:18" s="23" customFormat="1" ht="15.75" customHeight="1">
      <c r="D635" s="24"/>
      <c r="E635" s="24"/>
      <c r="F635" s="26"/>
      <c r="G635" s="26"/>
      <c r="H635" s="26"/>
      <c r="I635" s="26"/>
      <c r="J635" s="24"/>
      <c r="K635"/>
      <c r="L635"/>
      <c r="M635"/>
      <c r="N635"/>
      <c r="O635"/>
      <c r="P635"/>
      <c r="Q635"/>
      <c r="R635"/>
    </row>
    <row r="636" spans="4:18" s="23" customFormat="1" ht="15.75" customHeight="1">
      <c r="D636" s="24"/>
      <c r="E636" s="24"/>
      <c r="F636" s="26"/>
      <c r="G636" s="26"/>
      <c r="H636" s="26"/>
      <c r="I636" s="26"/>
      <c r="J636" s="24"/>
      <c r="K636"/>
      <c r="L636"/>
      <c r="M636"/>
      <c r="N636"/>
      <c r="O636"/>
      <c r="P636"/>
      <c r="Q636"/>
      <c r="R636"/>
    </row>
    <row r="637" spans="4:18" s="23" customFormat="1" ht="15.75" customHeight="1">
      <c r="D637" s="24"/>
      <c r="E637" s="24"/>
      <c r="F637" s="26"/>
      <c r="G637" s="26"/>
      <c r="H637" s="26"/>
      <c r="I637" s="26"/>
      <c r="J637" s="24"/>
      <c r="K637"/>
      <c r="L637"/>
      <c r="M637"/>
      <c r="N637"/>
      <c r="O637"/>
      <c r="P637"/>
      <c r="Q637"/>
      <c r="R637"/>
    </row>
    <row r="638" spans="4:18" s="23" customFormat="1" ht="15.75" customHeight="1">
      <c r="D638" s="24"/>
      <c r="E638" s="24"/>
      <c r="F638" s="26"/>
      <c r="G638" s="26"/>
      <c r="H638" s="26"/>
      <c r="I638" s="26"/>
      <c r="J638" s="24"/>
      <c r="K638"/>
      <c r="L638"/>
      <c r="M638"/>
      <c r="N638"/>
      <c r="O638"/>
      <c r="P638"/>
      <c r="Q638"/>
      <c r="R638"/>
    </row>
    <row r="639" spans="4:18" s="23" customFormat="1" ht="15.75" customHeight="1">
      <c r="D639" s="24"/>
      <c r="E639" s="24"/>
      <c r="F639" s="26"/>
      <c r="G639" s="26"/>
      <c r="H639" s="26"/>
      <c r="I639" s="26"/>
      <c r="J639" s="24"/>
      <c r="K639"/>
      <c r="L639"/>
      <c r="M639"/>
      <c r="N639"/>
      <c r="O639"/>
      <c r="P639"/>
      <c r="Q639"/>
      <c r="R639"/>
    </row>
    <row r="640" spans="4:18" s="23" customFormat="1" ht="15.75" customHeight="1">
      <c r="D640" s="24"/>
      <c r="E640" s="24"/>
      <c r="F640" s="26"/>
      <c r="G640" s="26"/>
      <c r="H640" s="26"/>
      <c r="I640" s="26"/>
      <c r="J640" s="24"/>
      <c r="K640"/>
      <c r="L640"/>
      <c r="M640"/>
      <c r="N640"/>
      <c r="O640"/>
      <c r="P640"/>
      <c r="Q640"/>
      <c r="R640"/>
    </row>
    <row r="641" spans="4:18" s="23" customFormat="1" ht="15.75" customHeight="1">
      <c r="D641" s="24"/>
      <c r="E641" s="24"/>
      <c r="F641" s="26"/>
      <c r="G641" s="26"/>
      <c r="H641" s="26"/>
      <c r="I641" s="26"/>
      <c r="J641" s="24"/>
      <c r="K641"/>
      <c r="L641"/>
      <c r="M641"/>
      <c r="N641"/>
      <c r="O641"/>
      <c r="P641"/>
      <c r="Q641"/>
      <c r="R641"/>
    </row>
    <row r="642" spans="4:18" s="23" customFormat="1" ht="15.75" customHeight="1">
      <c r="D642" s="24"/>
      <c r="E642" s="24"/>
      <c r="F642" s="26"/>
      <c r="G642" s="26"/>
      <c r="H642" s="26"/>
      <c r="I642" s="26"/>
      <c r="J642" s="24"/>
      <c r="K642"/>
      <c r="L642"/>
      <c r="M642"/>
      <c r="N642"/>
      <c r="O642"/>
      <c r="P642"/>
      <c r="Q642"/>
      <c r="R642"/>
    </row>
    <row r="643" spans="4:18" s="23" customFormat="1" ht="15.75" customHeight="1">
      <c r="D643" s="24"/>
      <c r="E643" s="24"/>
      <c r="F643" s="26"/>
      <c r="G643" s="26"/>
      <c r="H643" s="26"/>
      <c r="I643" s="26"/>
      <c r="J643" s="24"/>
      <c r="K643"/>
      <c r="L643"/>
      <c r="M643"/>
      <c r="N643"/>
      <c r="O643"/>
      <c r="P643"/>
      <c r="Q643"/>
      <c r="R643"/>
    </row>
    <row r="644" spans="4:18" s="23" customFormat="1" ht="15.75" customHeight="1">
      <c r="D644" s="24"/>
      <c r="E644" s="24"/>
      <c r="F644" s="26"/>
      <c r="G644" s="26"/>
      <c r="H644" s="26"/>
      <c r="I644" s="26"/>
      <c r="J644" s="24"/>
      <c r="K644"/>
      <c r="L644"/>
      <c r="M644"/>
      <c r="N644"/>
      <c r="O644"/>
      <c r="P644"/>
      <c r="Q644"/>
      <c r="R644"/>
    </row>
    <row r="645" spans="4:18" s="23" customFormat="1" ht="15.75" customHeight="1">
      <c r="D645" s="24"/>
      <c r="E645" s="24"/>
      <c r="F645" s="26"/>
      <c r="G645" s="26"/>
      <c r="H645" s="26"/>
      <c r="I645" s="26"/>
      <c r="J645" s="24"/>
      <c r="K645"/>
      <c r="L645"/>
      <c r="M645"/>
      <c r="N645"/>
      <c r="O645"/>
      <c r="P645"/>
      <c r="Q645"/>
      <c r="R645"/>
    </row>
    <row r="646" spans="4:18" s="23" customFormat="1" ht="15.75" customHeight="1">
      <c r="D646" s="24"/>
      <c r="E646" s="24"/>
      <c r="F646" s="26"/>
      <c r="G646" s="26"/>
      <c r="H646" s="26"/>
      <c r="I646" s="26"/>
      <c r="J646" s="24"/>
      <c r="K646"/>
      <c r="L646"/>
      <c r="M646"/>
      <c r="N646"/>
      <c r="O646"/>
      <c r="P646"/>
      <c r="Q646"/>
      <c r="R646"/>
    </row>
    <row r="647" spans="4:18" s="23" customFormat="1" ht="15.75" customHeight="1">
      <c r="D647" s="24"/>
      <c r="E647" s="24"/>
      <c r="F647" s="26"/>
      <c r="G647" s="26"/>
      <c r="H647" s="26"/>
      <c r="I647" s="26"/>
      <c r="J647" s="24"/>
      <c r="K647"/>
      <c r="L647"/>
      <c r="M647"/>
      <c r="N647"/>
      <c r="O647"/>
      <c r="P647"/>
      <c r="Q647"/>
      <c r="R647"/>
    </row>
    <row r="648" spans="4:18" s="23" customFormat="1" ht="15.75" customHeight="1">
      <c r="D648" s="24"/>
      <c r="E648" s="24"/>
      <c r="F648" s="26"/>
      <c r="G648" s="26"/>
      <c r="H648" s="26"/>
      <c r="I648" s="26"/>
      <c r="J648" s="24"/>
      <c r="K648"/>
      <c r="L648"/>
      <c r="M648"/>
      <c r="N648"/>
      <c r="O648"/>
      <c r="P648"/>
      <c r="Q648"/>
      <c r="R648"/>
    </row>
    <row r="649" spans="4:18" s="23" customFormat="1" ht="15.75" customHeight="1">
      <c r="D649" s="24"/>
      <c r="E649" s="24"/>
      <c r="F649" s="26"/>
      <c r="G649" s="26"/>
      <c r="H649" s="26"/>
      <c r="I649" s="26"/>
      <c r="J649" s="24"/>
      <c r="K649"/>
      <c r="L649"/>
      <c r="M649"/>
      <c r="N649"/>
      <c r="O649"/>
      <c r="P649"/>
      <c r="Q649"/>
      <c r="R649"/>
    </row>
    <row r="650" spans="4:18" s="23" customFormat="1" ht="15.75" customHeight="1">
      <c r="D650" s="24"/>
      <c r="E650" s="24"/>
      <c r="F650" s="26"/>
      <c r="G650" s="26"/>
      <c r="H650" s="26"/>
      <c r="I650" s="26"/>
      <c r="J650" s="24"/>
      <c r="K650"/>
      <c r="L650"/>
      <c r="M650"/>
      <c r="N650"/>
      <c r="O650"/>
      <c r="P650"/>
      <c r="Q650"/>
      <c r="R650"/>
    </row>
    <row r="651" spans="4:18" s="23" customFormat="1" ht="15.75" customHeight="1">
      <c r="D651" s="24"/>
      <c r="E651" s="24"/>
      <c r="F651" s="26"/>
      <c r="G651" s="26"/>
      <c r="H651" s="26"/>
      <c r="I651" s="26"/>
      <c r="J651" s="24"/>
      <c r="K651"/>
      <c r="L651"/>
      <c r="M651"/>
      <c r="N651"/>
      <c r="O651"/>
      <c r="P651"/>
      <c r="Q651"/>
      <c r="R651"/>
    </row>
    <row r="652" spans="4:18" s="23" customFormat="1" ht="15.75" customHeight="1">
      <c r="D652" s="24"/>
      <c r="E652" s="24"/>
      <c r="F652" s="26"/>
      <c r="G652" s="26"/>
      <c r="H652" s="26"/>
      <c r="I652" s="26"/>
      <c r="J652" s="24"/>
      <c r="K652"/>
      <c r="L652"/>
      <c r="M652"/>
      <c r="N652"/>
      <c r="O652"/>
      <c r="P652"/>
      <c r="Q652"/>
      <c r="R652"/>
    </row>
    <row r="653" spans="4:18" s="23" customFormat="1" ht="15.75" customHeight="1">
      <c r="D653" s="24"/>
      <c r="E653" s="24"/>
      <c r="F653" s="26"/>
      <c r="G653" s="26"/>
      <c r="H653" s="26"/>
      <c r="I653" s="26"/>
      <c r="J653" s="24"/>
      <c r="K653"/>
      <c r="L653"/>
      <c r="M653"/>
      <c r="N653"/>
      <c r="O653"/>
      <c r="P653"/>
      <c r="Q653"/>
      <c r="R653"/>
    </row>
    <row r="654" spans="4:18" s="23" customFormat="1" ht="15.75" customHeight="1">
      <c r="D654" s="24"/>
      <c r="E654" s="24"/>
      <c r="F654" s="26"/>
      <c r="G654" s="26"/>
      <c r="H654" s="26"/>
      <c r="I654" s="26"/>
      <c r="J654" s="24"/>
      <c r="K654"/>
      <c r="L654"/>
      <c r="M654"/>
      <c r="N654"/>
      <c r="O654"/>
      <c r="P654"/>
      <c r="Q654"/>
      <c r="R654"/>
    </row>
    <row r="655" spans="4:18" s="23" customFormat="1" ht="15.75" customHeight="1">
      <c r="D655" s="24"/>
      <c r="E655" s="24"/>
      <c r="F655" s="26"/>
      <c r="G655" s="26"/>
      <c r="H655" s="26"/>
      <c r="I655" s="26"/>
      <c r="J655" s="24"/>
      <c r="K655"/>
      <c r="L655"/>
      <c r="M655"/>
      <c r="N655"/>
      <c r="O655"/>
      <c r="P655"/>
      <c r="Q655"/>
      <c r="R655"/>
    </row>
    <row r="656" spans="4:18" s="23" customFormat="1" ht="15.75" customHeight="1">
      <c r="D656" s="24"/>
      <c r="E656" s="24"/>
      <c r="F656" s="26"/>
      <c r="G656" s="26"/>
      <c r="H656" s="26"/>
      <c r="I656" s="26"/>
      <c r="J656" s="24"/>
      <c r="K656"/>
      <c r="L656"/>
      <c r="M656"/>
      <c r="N656"/>
      <c r="O656"/>
      <c r="P656"/>
      <c r="Q656"/>
      <c r="R656"/>
    </row>
    <row r="657" spans="4:18" s="23" customFormat="1" ht="15.75" customHeight="1">
      <c r="D657" s="24"/>
      <c r="E657" s="24"/>
      <c r="F657" s="26"/>
      <c r="G657" s="26"/>
      <c r="H657" s="26"/>
      <c r="I657" s="26"/>
      <c r="J657" s="24"/>
      <c r="K657"/>
      <c r="L657"/>
      <c r="M657"/>
      <c r="N657"/>
      <c r="O657"/>
      <c r="P657"/>
      <c r="Q657"/>
      <c r="R657"/>
    </row>
    <row r="658" spans="4:18" s="23" customFormat="1" ht="15.75" customHeight="1">
      <c r="D658" s="24"/>
      <c r="E658" s="24"/>
      <c r="F658" s="26"/>
      <c r="G658" s="26"/>
      <c r="H658" s="26"/>
      <c r="I658" s="26"/>
      <c r="J658" s="24"/>
      <c r="K658"/>
      <c r="L658"/>
      <c r="M658"/>
      <c r="N658"/>
      <c r="O658"/>
      <c r="P658"/>
      <c r="Q658"/>
      <c r="R658"/>
    </row>
    <row r="659" spans="4:18" s="23" customFormat="1" ht="15.75" customHeight="1">
      <c r="D659" s="24"/>
      <c r="E659" s="24"/>
      <c r="F659" s="26"/>
      <c r="G659" s="26"/>
      <c r="H659" s="26"/>
      <c r="I659" s="26"/>
      <c r="J659" s="24"/>
      <c r="K659"/>
      <c r="L659"/>
      <c r="M659"/>
      <c r="N659"/>
      <c r="O659"/>
      <c r="P659"/>
      <c r="Q659"/>
      <c r="R659"/>
    </row>
    <row r="660" spans="4:18" s="23" customFormat="1" ht="15.75" customHeight="1">
      <c r="D660" s="24"/>
      <c r="E660" s="24"/>
      <c r="F660" s="26"/>
      <c r="G660" s="26"/>
      <c r="H660" s="26"/>
      <c r="I660" s="26"/>
      <c r="J660" s="24"/>
      <c r="K660"/>
      <c r="L660"/>
      <c r="M660"/>
      <c r="N660"/>
      <c r="O660"/>
      <c r="P660"/>
      <c r="Q660"/>
      <c r="R660"/>
    </row>
    <row r="661" spans="4:18" s="23" customFormat="1" ht="15.75" customHeight="1">
      <c r="D661" s="24"/>
      <c r="E661" s="24"/>
      <c r="F661" s="26"/>
      <c r="G661" s="26"/>
      <c r="H661" s="26"/>
      <c r="I661" s="26"/>
      <c r="J661" s="24"/>
      <c r="K661"/>
      <c r="L661"/>
      <c r="M661"/>
      <c r="N661"/>
      <c r="O661"/>
      <c r="P661"/>
      <c r="Q661"/>
      <c r="R661"/>
    </row>
    <row r="662" spans="4:18" s="23" customFormat="1" ht="15.75" customHeight="1">
      <c r="D662" s="24"/>
      <c r="E662" s="24"/>
      <c r="F662" s="26"/>
      <c r="G662" s="26"/>
      <c r="H662" s="26"/>
      <c r="I662" s="26"/>
      <c r="J662" s="24"/>
      <c r="K662"/>
      <c r="L662"/>
      <c r="M662"/>
      <c r="N662"/>
      <c r="O662"/>
      <c r="P662"/>
      <c r="Q662"/>
      <c r="R662"/>
    </row>
    <row r="663" spans="4:18" s="23" customFormat="1" ht="15.75" customHeight="1">
      <c r="D663" s="24"/>
      <c r="E663" s="24"/>
      <c r="F663" s="26"/>
      <c r="G663" s="26"/>
      <c r="H663" s="26"/>
      <c r="I663" s="26"/>
      <c r="J663" s="24"/>
      <c r="K663"/>
      <c r="L663"/>
      <c r="M663"/>
      <c r="N663"/>
      <c r="O663"/>
      <c r="P663"/>
      <c r="Q663"/>
      <c r="R663"/>
    </row>
    <row r="664" spans="4:18" s="23" customFormat="1" ht="15.75" customHeight="1">
      <c r="D664" s="24"/>
      <c r="E664" s="24"/>
      <c r="F664" s="26"/>
      <c r="G664" s="26"/>
      <c r="H664" s="26"/>
      <c r="I664" s="26"/>
      <c r="J664" s="24"/>
      <c r="K664"/>
      <c r="L664"/>
      <c r="M664"/>
      <c r="N664"/>
      <c r="O664"/>
      <c r="P664"/>
      <c r="Q664"/>
      <c r="R664"/>
    </row>
    <row r="665" spans="4:18" s="23" customFormat="1" ht="15.75" customHeight="1">
      <c r="D665" s="24"/>
      <c r="E665" s="24"/>
      <c r="F665" s="26"/>
      <c r="G665" s="26"/>
      <c r="H665" s="26"/>
      <c r="I665" s="26"/>
      <c r="J665" s="24"/>
      <c r="K665"/>
      <c r="L665"/>
      <c r="M665"/>
      <c r="N665"/>
      <c r="O665"/>
      <c r="P665"/>
      <c r="Q665"/>
      <c r="R665"/>
    </row>
    <row r="666" spans="4:18" s="23" customFormat="1" ht="15.75" customHeight="1">
      <c r="D666" s="24"/>
      <c r="E666" s="24"/>
      <c r="F666" s="26"/>
      <c r="G666" s="26"/>
      <c r="H666" s="26"/>
      <c r="I666" s="26"/>
      <c r="J666" s="24"/>
      <c r="K666"/>
      <c r="L666"/>
      <c r="M666"/>
      <c r="N666"/>
      <c r="O666"/>
      <c r="P666"/>
      <c r="Q666"/>
      <c r="R666"/>
    </row>
    <row r="667" spans="4:18" s="23" customFormat="1" ht="15.75" customHeight="1">
      <c r="D667" s="24"/>
      <c r="E667" s="24"/>
      <c r="F667" s="26"/>
      <c r="G667" s="26"/>
      <c r="H667" s="26"/>
      <c r="I667" s="26"/>
      <c r="J667" s="24"/>
      <c r="K667"/>
      <c r="L667"/>
      <c r="M667"/>
      <c r="N667"/>
      <c r="O667"/>
      <c r="P667"/>
      <c r="Q667"/>
      <c r="R667"/>
    </row>
    <row r="668" spans="4:18" s="23" customFormat="1" ht="15.75" customHeight="1">
      <c r="D668" s="24"/>
      <c r="E668" s="24"/>
      <c r="F668" s="26"/>
      <c r="G668" s="26"/>
      <c r="H668" s="26"/>
      <c r="I668" s="26"/>
      <c r="J668" s="24"/>
      <c r="K668"/>
      <c r="L668"/>
      <c r="M668"/>
      <c r="N668"/>
      <c r="O668"/>
      <c r="P668"/>
      <c r="Q668"/>
      <c r="R668"/>
    </row>
    <row r="669" spans="4:18" s="23" customFormat="1" ht="15.75" customHeight="1">
      <c r="D669" s="24"/>
      <c r="E669" s="24"/>
      <c r="F669" s="26"/>
      <c r="G669" s="26"/>
      <c r="H669" s="26"/>
      <c r="I669" s="26"/>
      <c r="J669" s="24"/>
      <c r="K669"/>
      <c r="L669"/>
      <c r="M669"/>
      <c r="N669"/>
      <c r="O669"/>
      <c r="P669"/>
      <c r="Q669"/>
      <c r="R669"/>
    </row>
    <row r="670" spans="4:18" s="23" customFormat="1" ht="15.75" customHeight="1">
      <c r="D670" s="24"/>
      <c r="E670" s="24"/>
      <c r="F670" s="26"/>
      <c r="G670" s="26"/>
      <c r="H670" s="26"/>
      <c r="I670" s="26"/>
      <c r="J670" s="24"/>
      <c r="K670"/>
      <c r="L670"/>
      <c r="M670"/>
      <c r="N670"/>
      <c r="O670"/>
      <c r="P670"/>
      <c r="Q670"/>
      <c r="R670"/>
    </row>
    <row r="671" spans="4:18" s="23" customFormat="1" ht="15.75" customHeight="1">
      <c r="D671" s="24"/>
      <c r="E671" s="24"/>
      <c r="F671" s="26"/>
      <c r="G671" s="26"/>
      <c r="H671" s="26"/>
      <c r="I671" s="26"/>
      <c r="J671" s="24"/>
      <c r="K671"/>
      <c r="L671"/>
      <c r="M671"/>
      <c r="N671"/>
      <c r="O671"/>
      <c r="P671"/>
      <c r="Q671"/>
      <c r="R671"/>
    </row>
    <row r="672" spans="4:18" s="23" customFormat="1" ht="15.75" customHeight="1">
      <c r="D672" s="24"/>
      <c r="E672" s="24"/>
      <c r="F672" s="26"/>
      <c r="G672" s="26"/>
      <c r="H672" s="26"/>
      <c r="I672" s="26"/>
      <c r="J672" s="24"/>
      <c r="K672"/>
      <c r="L672"/>
      <c r="M672"/>
      <c r="N672"/>
      <c r="O672"/>
      <c r="P672"/>
      <c r="Q672"/>
      <c r="R672"/>
    </row>
    <row r="673" spans="4:18" s="23" customFormat="1" ht="15.75" customHeight="1">
      <c r="D673" s="24"/>
      <c r="E673" s="24"/>
      <c r="F673" s="26"/>
      <c r="G673" s="26"/>
      <c r="H673" s="26"/>
      <c r="I673" s="26"/>
      <c r="J673" s="24"/>
      <c r="K673"/>
      <c r="L673"/>
      <c r="M673"/>
      <c r="N673"/>
      <c r="O673"/>
      <c r="P673"/>
      <c r="Q673"/>
      <c r="R673"/>
    </row>
    <row r="674" spans="4:18" s="23" customFormat="1" ht="15.75" customHeight="1">
      <c r="D674" s="24"/>
      <c r="E674" s="24"/>
      <c r="F674" s="26"/>
      <c r="G674" s="26"/>
      <c r="H674" s="26"/>
      <c r="I674" s="26"/>
      <c r="J674" s="24"/>
      <c r="K674"/>
      <c r="L674"/>
      <c r="M674"/>
      <c r="N674"/>
      <c r="O674"/>
      <c r="P674"/>
      <c r="Q674"/>
      <c r="R674"/>
    </row>
    <row r="675" spans="4:18" s="23" customFormat="1" ht="15.75" customHeight="1">
      <c r="D675" s="24"/>
      <c r="E675" s="24"/>
      <c r="F675" s="26"/>
      <c r="G675" s="26"/>
      <c r="H675" s="26"/>
      <c r="I675" s="26"/>
      <c r="J675" s="24"/>
      <c r="K675"/>
      <c r="L675"/>
      <c r="M675"/>
      <c r="N675"/>
      <c r="O675"/>
      <c r="P675"/>
      <c r="Q675"/>
      <c r="R675"/>
    </row>
    <row r="676" spans="4:18" s="23" customFormat="1" ht="15.75" customHeight="1">
      <c r="D676" s="24"/>
      <c r="E676" s="24"/>
      <c r="F676" s="26"/>
      <c r="G676" s="26"/>
      <c r="H676" s="26"/>
      <c r="I676" s="26"/>
      <c r="J676" s="24"/>
      <c r="K676"/>
      <c r="L676"/>
      <c r="M676"/>
      <c r="N676"/>
      <c r="O676"/>
      <c r="P676"/>
      <c r="Q676"/>
      <c r="R676"/>
    </row>
    <row r="677" spans="4:18" s="23" customFormat="1" ht="15.75" customHeight="1">
      <c r="D677" s="24"/>
      <c r="E677" s="24"/>
      <c r="F677" s="26"/>
      <c r="G677" s="26"/>
      <c r="H677" s="26"/>
      <c r="I677" s="26"/>
      <c r="J677" s="24"/>
      <c r="K677"/>
      <c r="L677"/>
      <c r="M677"/>
      <c r="N677"/>
      <c r="O677"/>
      <c r="P677"/>
      <c r="Q677"/>
      <c r="R677"/>
    </row>
    <row r="678" spans="4:18" s="23" customFormat="1" ht="15.75" customHeight="1">
      <c r="D678" s="24"/>
      <c r="E678" s="24"/>
      <c r="F678" s="26"/>
      <c r="G678" s="26"/>
      <c r="H678" s="26"/>
      <c r="I678" s="26"/>
      <c r="J678" s="24"/>
      <c r="K678"/>
      <c r="L678"/>
      <c r="M678"/>
      <c r="N678"/>
      <c r="O678"/>
      <c r="P678"/>
      <c r="Q678"/>
      <c r="R678"/>
    </row>
    <row r="679" spans="4:18" s="23" customFormat="1" ht="15.75" customHeight="1">
      <c r="D679" s="24"/>
      <c r="E679" s="24"/>
      <c r="F679" s="26"/>
      <c r="G679" s="26"/>
      <c r="H679" s="26"/>
      <c r="I679" s="26"/>
      <c r="J679" s="24"/>
      <c r="K679"/>
      <c r="L679"/>
      <c r="M679"/>
      <c r="N679"/>
      <c r="O679"/>
      <c r="P679"/>
      <c r="Q679"/>
      <c r="R679"/>
    </row>
    <row r="680" spans="4:18" s="23" customFormat="1" ht="15.75" customHeight="1">
      <c r="D680" s="24"/>
      <c r="E680" s="24"/>
      <c r="F680" s="26"/>
      <c r="G680" s="26"/>
      <c r="H680" s="26"/>
      <c r="I680" s="26"/>
      <c r="J680" s="24"/>
      <c r="K680"/>
      <c r="L680"/>
      <c r="M680"/>
      <c r="N680"/>
      <c r="O680"/>
      <c r="P680"/>
      <c r="Q680"/>
      <c r="R680"/>
    </row>
    <row r="681" spans="4:18" s="23" customFormat="1" ht="15.75" customHeight="1">
      <c r="D681" s="24"/>
      <c r="E681" s="24"/>
      <c r="F681" s="26"/>
      <c r="G681" s="26"/>
      <c r="H681" s="26"/>
      <c r="I681" s="26"/>
      <c r="J681" s="24"/>
      <c r="K681"/>
      <c r="L681"/>
      <c r="M681"/>
      <c r="N681"/>
      <c r="O681"/>
      <c r="P681"/>
      <c r="Q681"/>
      <c r="R681"/>
    </row>
    <row r="682" spans="4:18" s="23" customFormat="1" ht="15.75" customHeight="1">
      <c r="D682" s="24"/>
      <c r="E682" s="24"/>
      <c r="F682" s="26"/>
      <c r="G682" s="26"/>
      <c r="H682" s="26"/>
      <c r="I682" s="26"/>
      <c r="J682" s="24"/>
      <c r="K682"/>
      <c r="L682"/>
      <c r="M682"/>
      <c r="N682"/>
      <c r="O682"/>
      <c r="P682"/>
      <c r="Q682"/>
      <c r="R682"/>
    </row>
    <row r="683" spans="4:18" s="23" customFormat="1" ht="15.75" customHeight="1">
      <c r="D683" s="24"/>
      <c r="E683" s="24"/>
      <c r="F683" s="26"/>
      <c r="G683" s="26"/>
      <c r="H683" s="26"/>
      <c r="I683" s="26"/>
      <c r="J683" s="24"/>
      <c r="K683"/>
      <c r="L683"/>
      <c r="M683"/>
      <c r="N683"/>
      <c r="O683"/>
      <c r="P683"/>
      <c r="Q683"/>
      <c r="R683"/>
    </row>
    <row r="684" spans="4:18" s="23" customFormat="1" ht="15.75" customHeight="1">
      <c r="D684" s="24"/>
      <c r="E684" s="24"/>
      <c r="F684" s="26"/>
      <c r="G684" s="26"/>
      <c r="H684" s="26"/>
      <c r="I684" s="26"/>
      <c r="J684" s="24"/>
      <c r="K684"/>
      <c r="L684"/>
      <c r="M684"/>
      <c r="N684"/>
      <c r="O684"/>
      <c r="P684"/>
      <c r="Q684"/>
      <c r="R684"/>
    </row>
    <row r="685" spans="4:18" s="23" customFormat="1" ht="15.75" customHeight="1">
      <c r="D685" s="24"/>
      <c r="E685" s="24"/>
      <c r="F685" s="26"/>
      <c r="G685" s="26"/>
      <c r="H685" s="26"/>
      <c r="I685" s="26"/>
      <c r="J685" s="24"/>
      <c r="K685"/>
      <c r="L685"/>
      <c r="M685"/>
      <c r="N685"/>
      <c r="O685"/>
      <c r="P685"/>
      <c r="Q685"/>
      <c r="R685"/>
    </row>
    <row r="686" spans="4:18" s="23" customFormat="1" ht="15.75" customHeight="1">
      <c r="D686" s="24"/>
      <c r="E686" s="24"/>
      <c r="F686" s="26"/>
      <c r="G686" s="26"/>
      <c r="H686" s="26"/>
      <c r="I686" s="26"/>
      <c r="J686" s="24"/>
      <c r="K686"/>
      <c r="L686"/>
      <c r="M686"/>
      <c r="N686"/>
      <c r="O686"/>
      <c r="P686"/>
      <c r="Q686"/>
      <c r="R686"/>
    </row>
    <row r="687" spans="4:18" s="23" customFormat="1" ht="15.75" customHeight="1">
      <c r="D687" s="24"/>
      <c r="E687" s="24"/>
      <c r="F687" s="26"/>
      <c r="G687" s="26"/>
      <c r="H687" s="26"/>
      <c r="I687" s="26"/>
      <c r="J687" s="24"/>
      <c r="K687"/>
      <c r="L687"/>
      <c r="M687"/>
      <c r="N687"/>
      <c r="O687"/>
      <c r="P687"/>
      <c r="Q687"/>
      <c r="R687"/>
    </row>
    <row r="688" spans="4:18" s="23" customFormat="1" ht="15.75" customHeight="1">
      <c r="D688" s="24"/>
      <c r="E688" s="24"/>
      <c r="F688" s="26"/>
      <c r="G688" s="26"/>
      <c r="H688" s="26"/>
      <c r="I688" s="26"/>
      <c r="J688" s="24"/>
      <c r="K688"/>
      <c r="L688"/>
      <c r="M688"/>
      <c r="N688"/>
      <c r="O688"/>
      <c r="P688"/>
      <c r="Q688"/>
      <c r="R688"/>
    </row>
    <row r="689" spans="4:18" s="23" customFormat="1" ht="15.75" customHeight="1">
      <c r="D689" s="24"/>
      <c r="E689" s="24"/>
      <c r="F689" s="26"/>
      <c r="G689" s="26"/>
      <c r="H689" s="26"/>
      <c r="I689" s="26"/>
      <c r="J689" s="24"/>
      <c r="K689"/>
      <c r="L689"/>
      <c r="M689"/>
      <c r="N689"/>
      <c r="O689"/>
      <c r="P689"/>
      <c r="Q689"/>
      <c r="R689"/>
    </row>
    <row r="690" spans="4:18" s="23" customFormat="1" ht="15.75" customHeight="1">
      <c r="D690" s="24"/>
      <c r="E690" s="24"/>
      <c r="F690" s="26"/>
      <c r="G690" s="26"/>
      <c r="H690" s="26"/>
      <c r="I690" s="26"/>
      <c r="J690" s="24"/>
      <c r="K690"/>
      <c r="L690"/>
      <c r="M690"/>
      <c r="N690"/>
      <c r="O690"/>
      <c r="P690"/>
      <c r="Q690"/>
      <c r="R690"/>
    </row>
    <row r="691" spans="4:18" s="23" customFormat="1" ht="15.75" customHeight="1">
      <c r="D691" s="24"/>
      <c r="E691" s="24"/>
      <c r="F691" s="26"/>
      <c r="G691" s="26"/>
      <c r="H691" s="26"/>
      <c r="I691" s="26"/>
      <c r="J691" s="24"/>
      <c r="K691"/>
      <c r="L691"/>
      <c r="M691"/>
      <c r="N691"/>
      <c r="O691"/>
      <c r="P691"/>
      <c r="Q691"/>
      <c r="R691"/>
    </row>
    <row r="692" spans="4:18" s="23" customFormat="1" ht="15.75" customHeight="1">
      <c r="D692" s="24"/>
      <c r="E692" s="24"/>
      <c r="F692" s="26"/>
      <c r="G692" s="26"/>
      <c r="H692" s="26"/>
      <c r="I692" s="26"/>
      <c r="J692" s="24"/>
      <c r="K692"/>
      <c r="L692"/>
      <c r="M692"/>
      <c r="N692"/>
      <c r="O692"/>
      <c r="P692"/>
      <c r="Q692"/>
      <c r="R692"/>
    </row>
    <row r="693" spans="4:18" s="23" customFormat="1" ht="15.75" customHeight="1">
      <c r="D693" s="24"/>
      <c r="E693" s="24"/>
      <c r="F693" s="26"/>
      <c r="G693" s="26"/>
      <c r="H693" s="26"/>
      <c r="I693" s="26"/>
      <c r="J693" s="24"/>
      <c r="K693"/>
      <c r="L693"/>
      <c r="M693"/>
      <c r="N693"/>
      <c r="O693"/>
      <c r="P693"/>
      <c r="Q693"/>
      <c r="R693"/>
    </row>
    <row r="694" spans="4:18" s="23" customFormat="1" ht="15.75" customHeight="1">
      <c r="D694" s="24"/>
      <c r="E694" s="24"/>
      <c r="F694" s="26"/>
      <c r="G694" s="26"/>
      <c r="H694" s="26"/>
      <c r="I694" s="26"/>
      <c r="J694" s="24"/>
      <c r="K694"/>
      <c r="L694"/>
      <c r="M694"/>
      <c r="N694"/>
      <c r="O694"/>
      <c r="P694"/>
      <c r="Q694"/>
      <c r="R694"/>
    </row>
    <row r="695" spans="4:18" s="23" customFormat="1" ht="15.75" customHeight="1">
      <c r="D695" s="24"/>
      <c r="E695" s="24"/>
      <c r="F695" s="26"/>
      <c r="G695" s="26"/>
      <c r="H695" s="26"/>
      <c r="I695" s="26"/>
      <c r="J695" s="24"/>
      <c r="K695"/>
      <c r="L695"/>
      <c r="M695"/>
      <c r="N695"/>
      <c r="O695"/>
      <c r="P695"/>
      <c r="Q695"/>
      <c r="R695"/>
    </row>
    <row r="696" spans="4:18" s="23" customFormat="1" ht="15.75" customHeight="1">
      <c r="D696" s="24"/>
      <c r="E696" s="24"/>
      <c r="F696" s="26"/>
      <c r="G696" s="26"/>
      <c r="H696" s="26"/>
      <c r="I696" s="26"/>
      <c r="J696" s="24"/>
      <c r="K696"/>
      <c r="L696"/>
      <c r="M696"/>
      <c r="N696"/>
      <c r="O696"/>
      <c r="P696"/>
      <c r="Q696"/>
      <c r="R696"/>
    </row>
    <row r="697" spans="4:18" s="23" customFormat="1" ht="15.75" customHeight="1">
      <c r="D697" s="24"/>
      <c r="E697" s="24"/>
      <c r="F697" s="26"/>
      <c r="G697" s="26"/>
      <c r="H697" s="26"/>
      <c r="I697" s="26"/>
      <c r="J697" s="24"/>
      <c r="K697"/>
      <c r="L697"/>
      <c r="M697"/>
      <c r="N697"/>
      <c r="O697"/>
      <c r="P697"/>
      <c r="Q697"/>
      <c r="R697"/>
    </row>
    <row r="698" spans="4:18" s="23" customFormat="1" ht="15.75" customHeight="1">
      <c r="D698" s="24"/>
      <c r="E698" s="24"/>
      <c r="F698" s="26"/>
      <c r="G698" s="26"/>
      <c r="H698" s="26"/>
      <c r="I698" s="26"/>
      <c r="J698" s="24"/>
      <c r="K698"/>
      <c r="L698"/>
      <c r="M698"/>
      <c r="N698"/>
      <c r="O698"/>
      <c r="P698"/>
      <c r="Q698"/>
      <c r="R698"/>
    </row>
    <row r="699" spans="4:18" s="23" customFormat="1" ht="15.75" customHeight="1">
      <c r="D699" s="24"/>
      <c r="E699" s="24"/>
      <c r="F699" s="26"/>
      <c r="G699" s="26"/>
      <c r="H699" s="26"/>
      <c r="I699" s="26"/>
      <c r="J699" s="24"/>
      <c r="K699"/>
      <c r="L699"/>
      <c r="M699"/>
      <c r="N699"/>
      <c r="O699"/>
      <c r="P699"/>
      <c r="Q699"/>
      <c r="R699"/>
    </row>
    <row r="700" spans="4:18" s="23" customFormat="1" ht="15.75" customHeight="1">
      <c r="D700" s="24"/>
      <c r="E700" s="24"/>
      <c r="F700" s="26"/>
      <c r="G700" s="26"/>
      <c r="H700" s="26"/>
      <c r="I700" s="26"/>
      <c r="J700" s="24"/>
      <c r="K700"/>
      <c r="L700"/>
      <c r="M700"/>
      <c r="N700"/>
      <c r="O700"/>
      <c r="P700"/>
      <c r="Q700"/>
      <c r="R700"/>
    </row>
    <row r="701" spans="4:18" s="23" customFormat="1" ht="15.75" customHeight="1">
      <c r="D701" s="24"/>
      <c r="E701" s="24"/>
      <c r="F701" s="26"/>
      <c r="G701" s="26"/>
      <c r="H701" s="26"/>
      <c r="I701" s="26"/>
      <c r="J701" s="24"/>
      <c r="K701"/>
      <c r="L701"/>
      <c r="M701"/>
      <c r="N701"/>
      <c r="O701"/>
      <c r="P701"/>
      <c r="Q701"/>
      <c r="R701"/>
    </row>
    <row r="702" spans="4:18" s="23" customFormat="1" ht="15.75" customHeight="1">
      <c r="D702" s="24"/>
      <c r="E702" s="24"/>
      <c r="F702" s="26"/>
      <c r="G702" s="26"/>
      <c r="H702" s="26"/>
      <c r="I702" s="26"/>
      <c r="J702" s="24"/>
      <c r="K702"/>
      <c r="L702"/>
      <c r="M702"/>
      <c r="N702"/>
      <c r="O702"/>
      <c r="P702"/>
      <c r="Q702"/>
      <c r="R702"/>
    </row>
    <row r="703" spans="4:18" s="23" customFormat="1" ht="15.75" customHeight="1">
      <c r="D703" s="24"/>
      <c r="E703" s="24"/>
      <c r="F703" s="26"/>
      <c r="G703" s="26"/>
      <c r="H703" s="26"/>
      <c r="I703" s="26"/>
      <c r="J703" s="24"/>
      <c r="K703"/>
      <c r="L703"/>
      <c r="M703"/>
      <c r="N703"/>
      <c r="O703"/>
      <c r="P703"/>
      <c r="Q703"/>
      <c r="R703"/>
    </row>
    <row r="704" spans="4:18" s="23" customFormat="1" ht="15.75" customHeight="1">
      <c r="D704" s="24"/>
      <c r="E704" s="24"/>
      <c r="F704" s="26"/>
      <c r="G704" s="26"/>
      <c r="H704" s="26"/>
      <c r="I704" s="26"/>
      <c r="J704" s="24"/>
      <c r="K704"/>
      <c r="L704"/>
      <c r="M704"/>
      <c r="N704"/>
      <c r="O704"/>
      <c r="P704"/>
      <c r="Q704"/>
      <c r="R704"/>
    </row>
    <row r="705" spans="4:18" s="23" customFormat="1" ht="15.75" customHeight="1">
      <c r="D705" s="24"/>
      <c r="E705" s="24"/>
      <c r="F705" s="26"/>
      <c r="G705" s="26"/>
      <c r="H705" s="26"/>
      <c r="I705" s="26"/>
      <c r="J705" s="24"/>
      <c r="K705"/>
      <c r="L705"/>
      <c r="M705"/>
      <c r="N705"/>
      <c r="O705"/>
      <c r="P705"/>
      <c r="Q705"/>
      <c r="R705"/>
    </row>
    <row r="706" spans="4:18" s="23" customFormat="1" ht="15.75" customHeight="1">
      <c r="D706" s="24"/>
      <c r="E706" s="24"/>
      <c r="F706" s="26"/>
      <c r="G706" s="26"/>
      <c r="H706" s="26"/>
      <c r="I706" s="26"/>
      <c r="J706" s="24"/>
      <c r="K706"/>
      <c r="L706"/>
      <c r="M706"/>
      <c r="N706"/>
      <c r="O706"/>
      <c r="P706"/>
      <c r="Q706"/>
      <c r="R706"/>
    </row>
    <row r="707" spans="4:18" s="23" customFormat="1" ht="15.75" customHeight="1">
      <c r="D707" s="24"/>
      <c r="E707" s="24"/>
      <c r="F707" s="26"/>
      <c r="G707" s="26"/>
      <c r="H707" s="26"/>
      <c r="I707" s="26"/>
      <c r="J707" s="24"/>
      <c r="K707"/>
      <c r="L707"/>
      <c r="M707"/>
      <c r="N707"/>
      <c r="O707"/>
      <c r="P707"/>
      <c r="Q707"/>
      <c r="R707"/>
    </row>
    <row r="708" spans="4:18" s="23" customFormat="1" ht="15.75" customHeight="1">
      <c r="D708" s="24"/>
      <c r="E708" s="24"/>
      <c r="F708" s="26"/>
      <c r="G708" s="26"/>
      <c r="H708" s="26"/>
      <c r="I708" s="26"/>
      <c r="J708" s="24"/>
      <c r="K708"/>
      <c r="L708"/>
      <c r="M708"/>
      <c r="N708"/>
      <c r="O708"/>
      <c r="P708"/>
      <c r="Q708"/>
      <c r="R708"/>
    </row>
    <row r="709" spans="4:18" s="23" customFormat="1" ht="15.75" customHeight="1">
      <c r="D709" s="24"/>
      <c r="E709" s="24"/>
      <c r="F709" s="26"/>
      <c r="G709" s="26"/>
      <c r="H709" s="26"/>
      <c r="I709" s="26"/>
      <c r="J709" s="24"/>
      <c r="K709"/>
      <c r="L709"/>
      <c r="M709"/>
      <c r="N709"/>
      <c r="O709"/>
      <c r="P709"/>
      <c r="Q709"/>
      <c r="R709"/>
    </row>
    <row r="710" spans="4:18" s="23" customFormat="1" ht="15.75" customHeight="1">
      <c r="D710" s="24"/>
      <c r="E710" s="24"/>
      <c r="F710" s="26"/>
      <c r="G710" s="26"/>
      <c r="H710" s="26"/>
      <c r="I710" s="26"/>
      <c r="J710" s="24"/>
      <c r="K710"/>
      <c r="L710"/>
      <c r="M710"/>
      <c r="N710"/>
      <c r="O710"/>
      <c r="P710"/>
      <c r="Q710"/>
      <c r="R710"/>
    </row>
    <row r="711" spans="4:18" s="23" customFormat="1" ht="15.75" customHeight="1">
      <c r="D711" s="24"/>
      <c r="E711" s="24"/>
      <c r="F711" s="26"/>
      <c r="G711" s="26"/>
      <c r="H711" s="26"/>
      <c r="I711" s="26"/>
      <c r="J711" s="24"/>
      <c r="K711"/>
      <c r="L711"/>
      <c r="M711"/>
      <c r="N711"/>
      <c r="O711"/>
      <c r="P711"/>
      <c r="Q711"/>
      <c r="R711"/>
    </row>
    <row r="712" spans="4:18" s="23" customFormat="1" ht="15.75" customHeight="1">
      <c r="D712" s="24"/>
      <c r="E712" s="24"/>
      <c r="F712" s="26"/>
      <c r="G712" s="26"/>
      <c r="H712" s="26"/>
      <c r="I712" s="26"/>
      <c r="J712" s="24"/>
      <c r="K712"/>
      <c r="L712"/>
      <c r="M712"/>
      <c r="N712"/>
      <c r="O712"/>
      <c r="P712"/>
      <c r="Q712"/>
      <c r="R712"/>
    </row>
    <row r="713" spans="4:18" s="23" customFormat="1" ht="15.75" customHeight="1">
      <c r="D713" s="24"/>
      <c r="E713" s="24"/>
      <c r="F713" s="26"/>
      <c r="G713" s="26"/>
      <c r="H713" s="26"/>
      <c r="I713" s="26"/>
      <c r="J713" s="24"/>
      <c r="K713"/>
      <c r="L713"/>
      <c r="M713"/>
      <c r="N713"/>
      <c r="O713"/>
      <c r="P713"/>
      <c r="Q713"/>
      <c r="R713"/>
    </row>
    <row r="714" spans="4:18" s="23" customFormat="1" ht="15.75" customHeight="1">
      <c r="D714" s="24"/>
      <c r="E714" s="24"/>
      <c r="F714" s="26"/>
      <c r="G714" s="26"/>
      <c r="H714" s="26"/>
      <c r="I714" s="26"/>
      <c r="J714" s="24"/>
      <c r="K714"/>
      <c r="L714"/>
      <c r="M714"/>
      <c r="N714"/>
      <c r="O714"/>
      <c r="P714"/>
      <c r="Q714"/>
      <c r="R714"/>
    </row>
    <row r="715" spans="4:18" s="23" customFormat="1" ht="15.75" customHeight="1">
      <c r="D715" s="24"/>
      <c r="E715" s="24"/>
      <c r="F715" s="26"/>
      <c r="G715" s="26"/>
      <c r="H715" s="26"/>
      <c r="I715" s="26"/>
      <c r="J715" s="24"/>
      <c r="K715"/>
      <c r="L715"/>
      <c r="M715"/>
      <c r="N715"/>
      <c r="O715"/>
      <c r="P715"/>
      <c r="Q715"/>
      <c r="R715"/>
    </row>
    <row r="716" spans="4:18" s="23" customFormat="1" ht="15.75" customHeight="1">
      <c r="D716" s="24"/>
      <c r="E716" s="24"/>
      <c r="F716" s="26"/>
      <c r="G716" s="26"/>
      <c r="H716" s="26"/>
      <c r="I716" s="26"/>
      <c r="J716" s="24"/>
      <c r="K716"/>
      <c r="L716"/>
      <c r="M716"/>
      <c r="N716"/>
      <c r="O716"/>
      <c r="P716"/>
      <c r="Q716"/>
      <c r="R716"/>
    </row>
    <row r="717" spans="4:18" s="23" customFormat="1" ht="15.75" customHeight="1">
      <c r="D717" s="24"/>
      <c r="E717" s="24"/>
      <c r="F717" s="26"/>
      <c r="G717" s="26"/>
      <c r="H717" s="26"/>
      <c r="I717" s="26"/>
      <c r="J717" s="24"/>
      <c r="K717"/>
      <c r="L717"/>
      <c r="M717"/>
      <c r="N717"/>
      <c r="O717"/>
      <c r="P717"/>
      <c r="Q717"/>
      <c r="R717"/>
    </row>
    <row r="718" spans="4:18" s="23" customFormat="1" ht="15.75" customHeight="1">
      <c r="D718" s="24"/>
      <c r="E718" s="24"/>
      <c r="F718" s="26"/>
      <c r="G718" s="26"/>
      <c r="H718" s="26"/>
      <c r="I718" s="26"/>
      <c r="J718" s="24"/>
      <c r="K718"/>
      <c r="L718"/>
      <c r="M718"/>
      <c r="N718"/>
      <c r="O718"/>
      <c r="P718"/>
      <c r="Q718"/>
      <c r="R718"/>
    </row>
    <row r="719" spans="4:18" s="23" customFormat="1" ht="15.75" customHeight="1">
      <c r="D719" s="24"/>
      <c r="E719" s="24"/>
      <c r="F719" s="26"/>
      <c r="G719" s="26"/>
      <c r="H719" s="26"/>
      <c r="I719" s="26"/>
      <c r="J719" s="24"/>
      <c r="K719"/>
      <c r="L719"/>
      <c r="M719"/>
      <c r="N719"/>
      <c r="O719"/>
      <c r="P719"/>
      <c r="Q719"/>
      <c r="R719"/>
    </row>
    <row r="720" spans="4:18" s="23" customFormat="1" ht="15.75" customHeight="1">
      <c r="D720" s="24"/>
      <c r="E720" s="24"/>
      <c r="F720" s="26"/>
      <c r="G720" s="26"/>
      <c r="H720" s="26"/>
      <c r="I720" s="26"/>
      <c r="J720" s="24"/>
      <c r="K720"/>
      <c r="L720"/>
      <c r="M720"/>
      <c r="N720"/>
      <c r="O720"/>
      <c r="P720"/>
      <c r="Q720"/>
      <c r="R720"/>
    </row>
    <row r="721" spans="4:18" s="23" customFormat="1" ht="15.75" customHeight="1">
      <c r="D721" s="24"/>
      <c r="E721" s="24"/>
      <c r="F721" s="26"/>
      <c r="G721" s="26"/>
      <c r="H721" s="26"/>
      <c r="I721" s="26"/>
      <c r="J721" s="24"/>
      <c r="K721"/>
      <c r="L721"/>
      <c r="M721"/>
      <c r="N721"/>
      <c r="O721"/>
      <c r="P721"/>
      <c r="Q721"/>
      <c r="R721"/>
    </row>
    <row r="722" spans="4:18" s="23" customFormat="1" ht="15.75" customHeight="1">
      <c r="D722" s="24"/>
      <c r="E722" s="24"/>
      <c r="F722" s="26"/>
      <c r="G722" s="26"/>
      <c r="H722" s="26"/>
      <c r="I722" s="26"/>
      <c r="J722" s="24"/>
      <c r="K722"/>
      <c r="L722"/>
      <c r="M722"/>
      <c r="N722"/>
      <c r="O722"/>
      <c r="P722"/>
      <c r="Q722"/>
      <c r="R722"/>
    </row>
    <row r="723" spans="4:18" s="23" customFormat="1" ht="15.75" customHeight="1">
      <c r="D723" s="24"/>
      <c r="E723" s="24"/>
      <c r="F723" s="26"/>
      <c r="G723" s="26"/>
      <c r="H723" s="26"/>
      <c r="I723" s="26"/>
      <c r="J723" s="24"/>
      <c r="K723"/>
      <c r="L723"/>
      <c r="M723"/>
      <c r="N723"/>
      <c r="O723"/>
      <c r="P723"/>
      <c r="Q723"/>
      <c r="R723"/>
    </row>
    <row r="724" spans="4:18" s="23" customFormat="1" ht="15.75" customHeight="1">
      <c r="D724" s="24"/>
      <c r="E724" s="24"/>
      <c r="F724" s="26"/>
      <c r="G724" s="26"/>
      <c r="H724" s="26"/>
      <c r="I724" s="26"/>
      <c r="J724" s="24"/>
      <c r="K724"/>
      <c r="L724"/>
      <c r="M724"/>
      <c r="N724"/>
      <c r="O724"/>
      <c r="P724"/>
      <c r="Q724"/>
      <c r="R724"/>
    </row>
    <row r="725" spans="4:18" s="23" customFormat="1" ht="15.75" customHeight="1">
      <c r="D725" s="24"/>
      <c r="E725" s="24"/>
      <c r="F725" s="26"/>
      <c r="G725" s="26"/>
      <c r="H725" s="26"/>
      <c r="I725" s="26"/>
      <c r="J725" s="24"/>
      <c r="K725"/>
      <c r="L725"/>
      <c r="M725"/>
      <c r="N725"/>
      <c r="O725"/>
      <c r="P725"/>
      <c r="Q725"/>
      <c r="R725"/>
    </row>
    <row r="726" spans="4:18" s="23" customFormat="1" ht="15.75" customHeight="1">
      <c r="D726" s="24"/>
      <c r="E726" s="24"/>
      <c r="F726" s="26"/>
      <c r="G726" s="26"/>
      <c r="H726" s="26"/>
      <c r="I726" s="26"/>
      <c r="J726" s="24"/>
      <c r="K726"/>
      <c r="L726"/>
      <c r="M726"/>
      <c r="N726"/>
      <c r="O726"/>
      <c r="P726"/>
      <c r="Q726"/>
      <c r="R726"/>
    </row>
    <row r="727" spans="4:18" s="23" customFormat="1" ht="15.75" customHeight="1">
      <c r="D727" s="24"/>
      <c r="E727" s="24"/>
      <c r="F727" s="26"/>
      <c r="G727" s="26"/>
      <c r="H727" s="26"/>
      <c r="I727" s="26"/>
      <c r="J727" s="24"/>
      <c r="K727"/>
      <c r="L727"/>
      <c r="M727"/>
      <c r="N727"/>
      <c r="O727"/>
      <c r="P727"/>
      <c r="Q727"/>
      <c r="R727"/>
    </row>
    <row r="728" spans="4:18" s="23" customFormat="1" ht="15.75" customHeight="1">
      <c r="D728" s="24"/>
      <c r="E728" s="24"/>
      <c r="F728" s="26"/>
      <c r="G728" s="26"/>
      <c r="H728" s="26"/>
      <c r="I728" s="26"/>
      <c r="J728" s="24"/>
      <c r="K728"/>
      <c r="L728"/>
      <c r="M728"/>
      <c r="N728"/>
      <c r="O728"/>
      <c r="P728"/>
      <c r="Q728"/>
      <c r="R728"/>
    </row>
    <row r="729" spans="4:18" s="23" customFormat="1" ht="15.75" customHeight="1">
      <c r="D729" s="24"/>
      <c r="E729" s="24"/>
      <c r="F729" s="26"/>
      <c r="G729" s="26"/>
      <c r="H729" s="26"/>
      <c r="I729" s="26"/>
      <c r="J729" s="24"/>
      <c r="K729"/>
      <c r="L729"/>
      <c r="M729"/>
      <c r="N729"/>
      <c r="O729"/>
      <c r="P729"/>
      <c r="Q729"/>
      <c r="R729"/>
    </row>
    <row r="730" spans="4:18" s="23" customFormat="1" ht="15.75" customHeight="1">
      <c r="D730" s="24"/>
      <c r="E730" s="24"/>
      <c r="F730" s="26"/>
      <c r="G730" s="26"/>
      <c r="H730" s="26"/>
      <c r="I730" s="26"/>
      <c r="J730" s="24"/>
      <c r="K730"/>
      <c r="L730"/>
      <c r="M730"/>
      <c r="N730"/>
      <c r="O730"/>
      <c r="P730"/>
      <c r="Q730"/>
      <c r="R730"/>
    </row>
    <row r="731" spans="4:18" s="23" customFormat="1" ht="15.75" customHeight="1">
      <c r="D731" s="24"/>
      <c r="E731" s="24"/>
      <c r="F731" s="26"/>
      <c r="G731" s="26"/>
      <c r="H731" s="26"/>
      <c r="I731" s="26"/>
      <c r="J731" s="24"/>
      <c r="K731"/>
      <c r="L731"/>
      <c r="M731"/>
      <c r="N731"/>
      <c r="O731"/>
      <c r="P731"/>
      <c r="Q731"/>
      <c r="R731"/>
    </row>
    <row r="732" spans="4:18" s="23" customFormat="1" ht="15.75" customHeight="1">
      <c r="D732" s="24"/>
      <c r="E732" s="24"/>
      <c r="F732" s="26"/>
      <c r="G732" s="26"/>
      <c r="H732" s="26"/>
      <c r="I732" s="26"/>
      <c r="J732" s="24"/>
      <c r="K732"/>
      <c r="L732"/>
      <c r="M732"/>
      <c r="N732"/>
      <c r="O732"/>
      <c r="P732"/>
      <c r="Q732"/>
      <c r="R732"/>
    </row>
    <row r="733" spans="4:18" s="23" customFormat="1" ht="15.75" customHeight="1">
      <c r="D733" s="24"/>
      <c r="E733" s="24"/>
      <c r="F733" s="26"/>
      <c r="G733" s="26"/>
      <c r="H733" s="26"/>
      <c r="I733" s="26"/>
      <c r="J733" s="24"/>
      <c r="K733"/>
      <c r="L733"/>
      <c r="M733"/>
      <c r="N733"/>
      <c r="O733"/>
      <c r="P733"/>
      <c r="Q733"/>
      <c r="R733"/>
    </row>
    <row r="734" spans="4:18" s="23" customFormat="1" ht="15.75" customHeight="1">
      <c r="D734" s="24"/>
      <c r="E734" s="24"/>
      <c r="F734" s="26"/>
      <c r="G734" s="26"/>
      <c r="H734" s="26"/>
      <c r="I734" s="26"/>
      <c r="J734" s="24"/>
      <c r="K734"/>
      <c r="L734"/>
      <c r="M734"/>
      <c r="N734"/>
      <c r="O734"/>
      <c r="P734"/>
      <c r="Q734"/>
      <c r="R734"/>
    </row>
    <row r="735" spans="4:18" s="23" customFormat="1" ht="15.75" customHeight="1">
      <c r="D735" s="24"/>
      <c r="E735" s="24"/>
      <c r="F735" s="26"/>
      <c r="G735" s="26"/>
      <c r="H735" s="26"/>
      <c r="I735" s="26"/>
      <c r="J735" s="24"/>
      <c r="K735"/>
      <c r="L735"/>
      <c r="M735"/>
      <c r="N735"/>
      <c r="O735"/>
      <c r="P735"/>
      <c r="Q735"/>
      <c r="R735"/>
    </row>
    <row r="736" spans="4:18" s="23" customFormat="1" ht="15.75" customHeight="1">
      <c r="D736" s="24"/>
      <c r="E736" s="24"/>
      <c r="F736" s="26"/>
      <c r="G736" s="26"/>
      <c r="H736" s="26"/>
      <c r="I736" s="26"/>
      <c r="J736" s="24"/>
      <c r="K736"/>
      <c r="L736"/>
      <c r="M736"/>
      <c r="N736"/>
      <c r="O736"/>
      <c r="P736"/>
      <c r="Q736"/>
      <c r="R736"/>
    </row>
    <row r="737" spans="4:18" s="23" customFormat="1" ht="15.75" customHeight="1">
      <c r="D737" s="24"/>
      <c r="E737" s="24"/>
      <c r="F737" s="26"/>
      <c r="G737" s="26"/>
      <c r="H737" s="26"/>
      <c r="I737" s="26"/>
      <c r="J737" s="24"/>
      <c r="K737"/>
      <c r="L737"/>
      <c r="M737"/>
      <c r="N737"/>
      <c r="O737"/>
      <c r="P737"/>
      <c r="Q737"/>
      <c r="R737"/>
    </row>
    <row r="738" spans="4:18" s="23" customFormat="1" ht="15.75" customHeight="1">
      <c r="D738" s="24"/>
      <c r="E738" s="24"/>
      <c r="F738" s="26"/>
      <c r="G738" s="26"/>
      <c r="H738" s="26"/>
      <c r="I738" s="26"/>
      <c r="J738" s="24"/>
      <c r="K738"/>
      <c r="L738"/>
      <c r="M738"/>
      <c r="N738"/>
      <c r="O738"/>
      <c r="P738"/>
      <c r="Q738"/>
      <c r="R738"/>
    </row>
    <row r="739" spans="4:18" s="23" customFormat="1" ht="15.75" customHeight="1">
      <c r="D739" s="24"/>
      <c r="E739" s="24"/>
      <c r="F739" s="26"/>
      <c r="G739" s="26"/>
      <c r="H739" s="26"/>
      <c r="I739" s="26"/>
      <c r="J739" s="24"/>
      <c r="K739"/>
      <c r="L739"/>
      <c r="M739"/>
      <c r="N739"/>
      <c r="O739"/>
      <c r="P739"/>
      <c r="Q739"/>
      <c r="R739"/>
    </row>
    <row r="740" spans="4:18" s="23" customFormat="1" ht="15.75" customHeight="1">
      <c r="D740" s="24"/>
      <c r="E740" s="24"/>
      <c r="F740" s="26"/>
      <c r="G740" s="26"/>
      <c r="H740" s="26"/>
      <c r="I740" s="26"/>
      <c r="J740" s="24"/>
      <c r="K740"/>
      <c r="L740"/>
      <c r="M740"/>
      <c r="N740"/>
      <c r="O740"/>
      <c r="P740"/>
      <c r="Q740"/>
      <c r="R740"/>
    </row>
    <row r="741" spans="4:18" s="23" customFormat="1" ht="15.75" customHeight="1">
      <c r="D741" s="24"/>
      <c r="E741" s="24"/>
      <c r="F741" s="26"/>
      <c r="G741" s="26"/>
      <c r="H741" s="26"/>
      <c r="I741" s="26"/>
      <c r="J741" s="24"/>
      <c r="K741"/>
      <c r="L741"/>
      <c r="M741"/>
      <c r="N741"/>
      <c r="O741"/>
      <c r="P741"/>
      <c r="Q741"/>
      <c r="R741"/>
    </row>
    <row r="742" spans="4:18" s="23" customFormat="1" ht="15.75" customHeight="1">
      <c r="D742" s="24"/>
      <c r="E742" s="24"/>
      <c r="F742" s="26"/>
      <c r="G742" s="26"/>
      <c r="H742" s="26"/>
      <c r="I742" s="26"/>
      <c r="J742" s="24"/>
      <c r="K742"/>
      <c r="L742"/>
      <c r="M742"/>
      <c r="N742"/>
      <c r="O742"/>
      <c r="P742"/>
      <c r="Q742"/>
      <c r="R742"/>
    </row>
    <row r="743" spans="4:18" s="23" customFormat="1" ht="15.75" customHeight="1">
      <c r="D743" s="24"/>
      <c r="E743" s="24"/>
      <c r="F743" s="26"/>
      <c r="G743" s="26"/>
      <c r="H743" s="26"/>
      <c r="I743" s="26"/>
      <c r="J743" s="24"/>
      <c r="K743"/>
      <c r="L743"/>
      <c r="M743"/>
      <c r="N743"/>
      <c r="O743"/>
      <c r="P743"/>
      <c r="Q743"/>
      <c r="R743"/>
    </row>
    <row r="744" spans="4:18" s="23" customFormat="1" ht="15.75" customHeight="1">
      <c r="D744" s="24"/>
      <c r="E744" s="24"/>
      <c r="F744" s="26"/>
      <c r="G744" s="26"/>
      <c r="H744" s="26"/>
      <c r="I744" s="26"/>
      <c r="J744" s="24"/>
      <c r="K744"/>
      <c r="L744"/>
      <c r="M744"/>
      <c r="N744"/>
      <c r="O744"/>
      <c r="P744"/>
      <c r="Q744"/>
      <c r="R744"/>
    </row>
    <row r="745" spans="4:18" s="23" customFormat="1" ht="15.75" customHeight="1">
      <c r="D745" s="24"/>
      <c r="E745" s="24"/>
      <c r="F745" s="26"/>
      <c r="G745" s="26"/>
      <c r="H745" s="26"/>
      <c r="I745" s="26"/>
      <c r="J745" s="24"/>
      <c r="K745"/>
      <c r="L745"/>
      <c r="M745"/>
      <c r="N745"/>
      <c r="O745"/>
      <c r="P745"/>
      <c r="Q745"/>
      <c r="R745"/>
    </row>
    <row r="746" spans="4:18" s="23" customFormat="1" ht="15.75" customHeight="1">
      <c r="D746" s="24"/>
      <c r="E746" s="24"/>
      <c r="F746" s="26"/>
      <c r="G746" s="26"/>
      <c r="H746" s="26"/>
      <c r="I746" s="26"/>
      <c r="J746" s="24"/>
      <c r="K746"/>
      <c r="L746"/>
      <c r="M746"/>
      <c r="N746"/>
      <c r="O746"/>
      <c r="P746"/>
      <c r="Q746"/>
      <c r="R746"/>
    </row>
    <row r="747" spans="4:18" s="23" customFormat="1" ht="15.75" customHeight="1">
      <c r="D747" s="24"/>
      <c r="E747" s="24"/>
      <c r="F747" s="26"/>
      <c r="G747" s="26"/>
      <c r="H747" s="26"/>
      <c r="I747" s="26"/>
      <c r="J747" s="24"/>
      <c r="K747"/>
      <c r="L747"/>
      <c r="M747"/>
      <c r="N747"/>
      <c r="O747"/>
      <c r="P747"/>
      <c r="Q747"/>
      <c r="R747"/>
    </row>
    <row r="748" spans="4:18" s="23" customFormat="1" ht="15.75" customHeight="1">
      <c r="D748" s="24"/>
      <c r="E748" s="24"/>
      <c r="F748" s="26"/>
      <c r="G748" s="26"/>
      <c r="H748" s="26"/>
      <c r="I748" s="26"/>
      <c r="J748" s="24"/>
      <c r="K748"/>
      <c r="L748"/>
      <c r="M748"/>
      <c r="N748"/>
      <c r="O748"/>
      <c r="P748"/>
      <c r="Q748"/>
      <c r="R748"/>
    </row>
    <row r="749" spans="4:18" s="23" customFormat="1" ht="15.75" customHeight="1">
      <c r="D749" s="24"/>
      <c r="E749" s="24"/>
      <c r="F749" s="26"/>
      <c r="G749" s="26"/>
      <c r="H749" s="26"/>
      <c r="I749" s="26"/>
      <c r="J749" s="24"/>
      <c r="K749"/>
      <c r="L749"/>
      <c r="M749"/>
      <c r="N749"/>
      <c r="O749"/>
      <c r="P749"/>
      <c r="Q749"/>
      <c r="R749"/>
    </row>
    <row r="750" spans="4:18" s="23" customFormat="1" ht="15.75" customHeight="1">
      <c r="D750" s="24"/>
      <c r="E750" s="24"/>
      <c r="F750" s="26"/>
      <c r="G750" s="26"/>
      <c r="H750" s="26"/>
      <c r="I750" s="26"/>
      <c r="J750" s="24"/>
      <c r="K750"/>
      <c r="L750"/>
      <c r="M750"/>
      <c r="N750"/>
      <c r="O750"/>
      <c r="P750"/>
      <c r="Q750"/>
      <c r="R750"/>
    </row>
    <row r="751" spans="4:18" s="23" customFormat="1" ht="15.75" customHeight="1">
      <c r="D751" s="24"/>
      <c r="E751" s="24"/>
      <c r="F751" s="26"/>
      <c r="G751" s="26"/>
      <c r="H751" s="26"/>
      <c r="I751" s="26"/>
      <c r="J751" s="24"/>
      <c r="K751"/>
      <c r="L751"/>
      <c r="M751"/>
      <c r="N751"/>
      <c r="O751"/>
      <c r="P751"/>
      <c r="Q751"/>
      <c r="R751"/>
    </row>
    <row r="752" spans="4:18" s="23" customFormat="1" ht="15.75" customHeight="1">
      <c r="D752" s="24"/>
      <c r="E752" s="24"/>
      <c r="F752" s="26"/>
      <c r="G752" s="26"/>
      <c r="H752" s="26"/>
      <c r="I752" s="26"/>
      <c r="J752" s="24"/>
      <c r="K752"/>
      <c r="L752"/>
      <c r="M752"/>
      <c r="N752"/>
      <c r="O752"/>
      <c r="P752"/>
      <c r="Q752"/>
      <c r="R752"/>
    </row>
    <row r="753" spans="4:18" s="23" customFormat="1" ht="15.75" customHeight="1">
      <c r="D753" s="24"/>
      <c r="E753" s="24"/>
      <c r="F753" s="26"/>
      <c r="G753" s="26"/>
      <c r="H753" s="26"/>
      <c r="I753" s="26"/>
      <c r="J753" s="24"/>
      <c r="K753"/>
      <c r="L753"/>
      <c r="M753"/>
      <c r="N753"/>
      <c r="O753"/>
      <c r="P753"/>
      <c r="Q753"/>
      <c r="R753"/>
    </row>
    <row r="754" spans="4:18" s="23" customFormat="1" ht="15.75" customHeight="1">
      <c r="D754" s="24"/>
      <c r="E754" s="24"/>
      <c r="F754" s="26"/>
      <c r="G754" s="26"/>
      <c r="H754" s="26"/>
      <c r="I754" s="26"/>
      <c r="J754" s="24"/>
      <c r="K754"/>
      <c r="L754"/>
      <c r="M754"/>
      <c r="N754"/>
      <c r="O754"/>
      <c r="P754"/>
      <c r="Q754"/>
      <c r="R754"/>
    </row>
    <row r="755" spans="4:18" s="23" customFormat="1" ht="15.75" customHeight="1">
      <c r="D755" s="24"/>
      <c r="E755" s="24"/>
      <c r="F755" s="26"/>
      <c r="G755" s="26"/>
      <c r="H755" s="26"/>
      <c r="I755" s="26"/>
      <c r="J755" s="24"/>
      <c r="K755"/>
      <c r="L755"/>
      <c r="M755"/>
      <c r="N755"/>
      <c r="O755"/>
      <c r="P755"/>
      <c r="Q755"/>
      <c r="R755"/>
    </row>
    <row r="756" spans="4:18" s="23" customFormat="1" ht="15.75" customHeight="1">
      <c r="D756" s="24"/>
      <c r="E756" s="24"/>
      <c r="F756" s="26"/>
      <c r="G756" s="26"/>
      <c r="H756" s="26"/>
      <c r="I756" s="26"/>
      <c r="J756" s="24"/>
      <c r="K756"/>
      <c r="L756"/>
      <c r="M756"/>
      <c r="N756"/>
      <c r="O756"/>
      <c r="P756"/>
      <c r="Q756"/>
      <c r="R756"/>
    </row>
    <row r="757" spans="4:18" s="23" customFormat="1" ht="15.75" customHeight="1">
      <c r="D757" s="24"/>
      <c r="E757" s="24"/>
      <c r="F757" s="26"/>
      <c r="G757" s="26"/>
      <c r="H757" s="26"/>
      <c r="I757" s="26"/>
      <c r="J757" s="24"/>
      <c r="K757"/>
      <c r="L757"/>
      <c r="M757"/>
      <c r="N757"/>
      <c r="O757"/>
      <c r="P757"/>
      <c r="Q757"/>
      <c r="R757"/>
    </row>
    <row r="758" spans="4:18" s="23" customFormat="1" ht="15.75" customHeight="1">
      <c r="D758" s="24"/>
      <c r="E758" s="24"/>
      <c r="F758" s="26"/>
      <c r="G758" s="26"/>
      <c r="H758" s="26"/>
      <c r="I758" s="26"/>
      <c r="J758" s="24"/>
      <c r="K758"/>
      <c r="L758"/>
      <c r="M758"/>
      <c r="N758"/>
      <c r="O758"/>
      <c r="P758"/>
      <c r="Q758"/>
      <c r="R758"/>
    </row>
    <row r="759" spans="4:18" s="23" customFormat="1" ht="15.75" customHeight="1">
      <c r="D759" s="24"/>
      <c r="E759" s="24"/>
      <c r="F759" s="26"/>
      <c r="G759" s="26"/>
      <c r="H759" s="26"/>
      <c r="I759" s="26"/>
      <c r="J759" s="24"/>
      <c r="K759"/>
      <c r="L759"/>
      <c r="M759"/>
      <c r="N759"/>
      <c r="O759"/>
      <c r="P759"/>
      <c r="Q759"/>
      <c r="R759"/>
    </row>
    <row r="760" spans="4:18" s="23" customFormat="1" ht="15.75" customHeight="1">
      <c r="D760" s="24"/>
      <c r="E760" s="24"/>
      <c r="F760" s="26"/>
      <c r="G760" s="26"/>
      <c r="H760" s="26"/>
      <c r="I760" s="26"/>
      <c r="J760" s="24"/>
      <c r="K760"/>
      <c r="L760"/>
      <c r="M760"/>
      <c r="N760"/>
      <c r="O760"/>
      <c r="P760"/>
      <c r="Q760"/>
      <c r="R760"/>
    </row>
    <row r="761" spans="4:18" s="23" customFormat="1" ht="15.75" customHeight="1">
      <c r="D761" s="24"/>
      <c r="E761" s="24"/>
      <c r="F761" s="26"/>
      <c r="G761" s="26"/>
      <c r="H761" s="26"/>
      <c r="I761" s="26"/>
      <c r="J761" s="24"/>
      <c r="K761"/>
      <c r="L761"/>
      <c r="M761"/>
      <c r="N761"/>
      <c r="O761"/>
      <c r="P761"/>
      <c r="Q761"/>
      <c r="R761"/>
    </row>
    <row r="762" spans="4:18" s="23" customFormat="1" ht="15.75" customHeight="1">
      <c r="D762" s="24"/>
      <c r="E762" s="24"/>
      <c r="F762" s="26"/>
      <c r="G762" s="26"/>
      <c r="H762" s="26"/>
      <c r="I762" s="26"/>
      <c r="J762" s="24"/>
      <c r="K762"/>
      <c r="L762"/>
      <c r="M762"/>
      <c r="N762"/>
      <c r="O762"/>
      <c r="P762"/>
      <c r="Q762"/>
      <c r="R762"/>
    </row>
    <row r="763" spans="4:18" s="23" customFormat="1" ht="15.75" customHeight="1">
      <c r="D763" s="24"/>
      <c r="E763" s="24"/>
      <c r="F763" s="26"/>
      <c r="G763" s="26"/>
      <c r="H763" s="26"/>
      <c r="I763" s="26"/>
      <c r="J763" s="24"/>
      <c r="K763"/>
      <c r="L763"/>
      <c r="M763"/>
      <c r="N763"/>
      <c r="O763"/>
      <c r="P763"/>
      <c r="Q763"/>
      <c r="R763"/>
    </row>
    <row r="764" spans="4:18" s="23" customFormat="1" ht="15.75" customHeight="1">
      <c r="D764" s="24"/>
      <c r="E764" s="24"/>
      <c r="F764" s="26"/>
      <c r="G764" s="26"/>
      <c r="H764" s="26"/>
      <c r="I764" s="26"/>
      <c r="J764" s="24"/>
      <c r="K764"/>
      <c r="L764"/>
      <c r="M764"/>
      <c r="N764"/>
      <c r="O764"/>
      <c r="P764"/>
      <c r="Q764"/>
      <c r="R764"/>
    </row>
    <row r="765" spans="4:18" s="23" customFormat="1" ht="15.75" customHeight="1">
      <c r="D765" s="24"/>
      <c r="E765" s="24"/>
      <c r="F765" s="26"/>
      <c r="G765" s="26"/>
      <c r="H765" s="26"/>
      <c r="I765" s="26"/>
      <c r="J765" s="24"/>
      <c r="K765"/>
      <c r="L765"/>
      <c r="M765"/>
      <c r="N765"/>
      <c r="O765"/>
      <c r="P765"/>
      <c r="Q765"/>
      <c r="R765"/>
    </row>
    <row r="766" spans="4:18" s="23" customFormat="1" ht="15.75" customHeight="1">
      <c r="D766" s="24"/>
      <c r="E766" s="24"/>
      <c r="F766" s="26"/>
      <c r="G766" s="26"/>
      <c r="H766" s="26"/>
      <c r="I766" s="26"/>
      <c r="J766" s="24"/>
      <c r="K766"/>
      <c r="L766"/>
      <c r="M766"/>
      <c r="N766"/>
      <c r="O766"/>
      <c r="P766"/>
      <c r="Q766"/>
      <c r="R766"/>
    </row>
    <row r="767" spans="4:18" s="23" customFormat="1" ht="15.75" customHeight="1">
      <c r="D767" s="24"/>
      <c r="E767" s="24"/>
      <c r="F767" s="26"/>
      <c r="G767" s="26"/>
      <c r="H767" s="26"/>
      <c r="I767" s="26"/>
      <c r="J767" s="24"/>
      <c r="K767"/>
      <c r="L767"/>
      <c r="M767"/>
      <c r="N767"/>
      <c r="O767"/>
      <c r="P767"/>
      <c r="Q767"/>
      <c r="R767"/>
    </row>
    <row r="768" spans="4:18" s="23" customFormat="1" ht="15.75" customHeight="1">
      <c r="D768" s="24"/>
      <c r="E768" s="24"/>
      <c r="F768" s="26"/>
      <c r="G768" s="26"/>
      <c r="H768" s="26"/>
      <c r="I768" s="26"/>
      <c r="J768" s="24"/>
      <c r="K768"/>
      <c r="L768"/>
      <c r="M768"/>
      <c r="N768"/>
      <c r="O768"/>
      <c r="P768"/>
      <c r="Q768"/>
      <c r="R768"/>
    </row>
    <row r="769" spans="4:18" s="23" customFormat="1" ht="15.75" customHeight="1">
      <c r="D769" s="24"/>
      <c r="E769" s="24"/>
      <c r="F769" s="26"/>
      <c r="G769" s="26"/>
      <c r="H769" s="26"/>
      <c r="I769" s="26"/>
      <c r="J769" s="24"/>
      <c r="K769"/>
      <c r="L769"/>
      <c r="M769"/>
      <c r="N769"/>
      <c r="O769"/>
      <c r="P769"/>
      <c r="Q769"/>
      <c r="R769"/>
    </row>
    <row r="770" spans="4:18" s="23" customFormat="1" ht="15.75" customHeight="1">
      <c r="D770" s="24"/>
      <c r="E770" s="24"/>
      <c r="F770" s="26"/>
      <c r="G770" s="26"/>
      <c r="H770" s="26"/>
      <c r="I770" s="26"/>
      <c r="J770" s="24"/>
      <c r="K770"/>
      <c r="L770"/>
      <c r="M770"/>
      <c r="N770"/>
      <c r="O770"/>
      <c r="P770"/>
      <c r="Q770"/>
      <c r="R770"/>
    </row>
    <row r="771" spans="4:18" s="23" customFormat="1" ht="15.75" customHeight="1">
      <c r="D771" s="24"/>
      <c r="E771" s="24"/>
      <c r="F771" s="26"/>
      <c r="G771" s="26"/>
      <c r="H771" s="26"/>
      <c r="I771" s="26"/>
      <c r="J771" s="24"/>
      <c r="K771"/>
      <c r="L771"/>
      <c r="M771"/>
      <c r="N771"/>
      <c r="O771"/>
      <c r="P771"/>
      <c r="Q771"/>
      <c r="R771"/>
    </row>
    <row r="772" spans="4:18" s="23" customFormat="1" ht="15.75" customHeight="1">
      <c r="D772" s="24"/>
      <c r="E772" s="24"/>
      <c r="F772" s="26"/>
      <c r="G772" s="26"/>
      <c r="H772" s="26"/>
      <c r="I772" s="26"/>
      <c r="J772" s="24"/>
      <c r="K772"/>
      <c r="L772"/>
      <c r="M772"/>
      <c r="N772"/>
      <c r="O772"/>
      <c r="P772"/>
      <c r="Q772"/>
      <c r="R772"/>
    </row>
    <row r="773" spans="4:18" s="23" customFormat="1" ht="15.75" customHeight="1">
      <c r="D773" s="24"/>
      <c r="E773" s="24"/>
      <c r="F773" s="26"/>
      <c r="G773" s="26"/>
      <c r="H773" s="26"/>
      <c r="I773" s="26"/>
      <c r="J773" s="24"/>
      <c r="K773"/>
      <c r="L773"/>
      <c r="M773"/>
      <c r="N773"/>
      <c r="O773"/>
      <c r="P773"/>
      <c r="Q773"/>
      <c r="R773"/>
    </row>
    <row r="774" spans="4:18" s="23" customFormat="1" ht="15.75" customHeight="1">
      <c r="D774" s="24"/>
      <c r="E774" s="24"/>
      <c r="F774" s="26"/>
      <c r="G774" s="26"/>
      <c r="H774" s="26"/>
      <c r="I774" s="26"/>
      <c r="J774" s="24"/>
      <c r="K774"/>
      <c r="L774"/>
      <c r="M774"/>
      <c r="N774"/>
      <c r="O774"/>
      <c r="P774"/>
      <c r="Q774"/>
      <c r="R774"/>
    </row>
    <row r="775" spans="4:18" s="23" customFormat="1" ht="15.75" customHeight="1">
      <c r="D775" s="24"/>
      <c r="E775" s="24"/>
      <c r="F775" s="26"/>
      <c r="G775" s="26"/>
      <c r="H775" s="26"/>
      <c r="I775" s="26"/>
      <c r="J775" s="24"/>
      <c r="K775"/>
      <c r="L775"/>
      <c r="M775"/>
      <c r="N775"/>
      <c r="O775"/>
      <c r="P775"/>
      <c r="Q775"/>
      <c r="R775"/>
    </row>
    <row r="776" spans="4:18" s="23" customFormat="1" ht="15.75" customHeight="1">
      <c r="D776" s="24"/>
      <c r="E776" s="24"/>
      <c r="F776" s="26"/>
      <c r="G776" s="26"/>
      <c r="H776" s="26"/>
      <c r="I776" s="26"/>
      <c r="J776" s="24"/>
      <c r="K776"/>
      <c r="L776"/>
      <c r="M776"/>
      <c r="N776"/>
      <c r="O776"/>
      <c r="P776"/>
      <c r="Q776"/>
      <c r="R776"/>
    </row>
    <row r="777" spans="4:18" s="23" customFormat="1" ht="15.75" customHeight="1">
      <c r="D777" s="24"/>
      <c r="E777" s="24"/>
      <c r="F777" s="26"/>
      <c r="G777" s="26"/>
      <c r="H777" s="26"/>
      <c r="I777" s="26"/>
      <c r="J777" s="24"/>
      <c r="K777"/>
      <c r="L777"/>
      <c r="M777"/>
      <c r="N777"/>
      <c r="O777"/>
      <c r="P777"/>
      <c r="Q777"/>
      <c r="R777"/>
    </row>
    <row r="778" spans="4:18" s="23" customFormat="1" ht="15.75" customHeight="1">
      <c r="D778" s="24"/>
      <c r="E778" s="24"/>
      <c r="F778" s="26"/>
      <c r="G778" s="26"/>
      <c r="H778" s="26"/>
      <c r="I778" s="26"/>
      <c r="J778" s="24"/>
      <c r="K778"/>
      <c r="L778"/>
      <c r="M778"/>
      <c r="N778"/>
      <c r="O778"/>
      <c r="P778"/>
      <c r="Q778"/>
      <c r="R778"/>
    </row>
    <row r="779" spans="4:18" s="23" customFormat="1" ht="15.75" customHeight="1">
      <c r="D779" s="24"/>
      <c r="E779" s="24"/>
      <c r="F779" s="26"/>
      <c r="G779" s="26"/>
      <c r="H779" s="26"/>
      <c r="I779" s="26"/>
      <c r="J779" s="24"/>
      <c r="K779"/>
      <c r="L779"/>
      <c r="M779"/>
      <c r="N779"/>
      <c r="O779"/>
      <c r="P779"/>
      <c r="Q779"/>
      <c r="R779"/>
    </row>
    <row r="780" spans="4:18" s="23" customFormat="1" ht="15.75" customHeight="1">
      <c r="D780" s="24"/>
      <c r="E780" s="24"/>
      <c r="F780" s="26"/>
      <c r="G780" s="26"/>
      <c r="H780" s="26"/>
      <c r="I780" s="26"/>
      <c r="J780" s="24"/>
      <c r="K780"/>
      <c r="L780"/>
      <c r="M780"/>
      <c r="N780"/>
      <c r="O780"/>
      <c r="P780"/>
      <c r="Q780"/>
      <c r="R780"/>
    </row>
    <row r="781" spans="4:18" s="23" customFormat="1" ht="15.75" customHeight="1">
      <c r="D781" s="24"/>
      <c r="E781" s="24"/>
      <c r="F781" s="26"/>
      <c r="G781" s="26"/>
      <c r="H781" s="26"/>
      <c r="I781" s="26"/>
      <c r="J781" s="24"/>
      <c r="K781"/>
      <c r="L781"/>
      <c r="M781"/>
      <c r="N781"/>
      <c r="O781"/>
      <c r="P781"/>
      <c r="Q781"/>
      <c r="R781"/>
    </row>
    <row r="782" spans="4:18" s="23" customFormat="1" ht="15.75" customHeight="1">
      <c r="D782" s="24"/>
      <c r="E782" s="24"/>
      <c r="F782" s="26"/>
      <c r="G782" s="26"/>
      <c r="H782" s="26"/>
      <c r="I782" s="26"/>
      <c r="J782" s="24"/>
      <c r="K782"/>
      <c r="L782"/>
      <c r="M782"/>
      <c r="N782"/>
      <c r="O782"/>
      <c r="P782"/>
      <c r="Q782"/>
      <c r="R782"/>
    </row>
    <row r="783" spans="4:18" s="23" customFormat="1" ht="15.75" customHeight="1">
      <c r="D783" s="24"/>
      <c r="E783" s="24"/>
      <c r="F783" s="26"/>
      <c r="G783" s="26"/>
      <c r="H783" s="26"/>
      <c r="I783" s="26"/>
      <c r="J783" s="24"/>
      <c r="K783"/>
      <c r="L783"/>
      <c r="M783"/>
      <c r="N783"/>
      <c r="O783"/>
      <c r="P783"/>
      <c r="Q783"/>
      <c r="R783"/>
    </row>
    <row r="784" spans="4:18" s="23" customFormat="1" ht="15.75" customHeight="1">
      <c r="D784" s="24"/>
      <c r="E784" s="24"/>
      <c r="F784" s="26"/>
      <c r="G784" s="26"/>
      <c r="H784" s="26"/>
      <c r="I784" s="26"/>
      <c r="J784" s="24"/>
      <c r="K784"/>
      <c r="L784"/>
      <c r="M784"/>
      <c r="N784"/>
      <c r="O784"/>
      <c r="P784"/>
      <c r="Q784"/>
      <c r="R784"/>
    </row>
    <row r="785" spans="4:18" s="23" customFormat="1" ht="15.75" customHeight="1">
      <c r="D785" s="24"/>
      <c r="E785" s="24"/>
      <c r="F785" s="26"/>
      <c r="G785" s="26"/>
      <c r="H785" s="26"/>
      <c r="I785" s="26"/>
      <c r="J785" s="24"/>
      <c r="K785"/>
      <c r="L785"/>
      <c r="M785"/>
      <c r="N785"/>
      <c r="O785"/>
      <c r="P785"/>
      <c r="Q785"/>
      <c r="R785"/>
    </row>
    <row r="786" spans="4:18" s="23" customFormat="1" ht="15.75" customHeight="1">
      <c r="D786" s="24"/>
      <c r="E786" s="24"/>
      <c r="F786" s="26"/>
      <c r="G786" s="26"/>
      <c r="H786" s="26"/>
      <c r="I786" s="26"/>
      <c r="J786" s="24"/>
      <c r="K786"/>
      <c r="L786"/>
      <c r="M786"/>
      <c r="N786"/>
      <c r="O786"/>
      <c r="P786"/>
      <c r="Q786"/>
      <c r="R786"/>
    </row>
    <row r="787" spans="4:18" s="23" customFormat="1" ht="15.75" customHeight="1">
      <c r="D787" s="24"/>
      <c r="E787" s="24"/>
      <c r="F787" s="26"/>
      <c r="G787" s="26"/>
      <c r="H787" s="26"/>
      <c r="I787" s="26"/>
      <c r="J787" s="24"/>
      <c r="K787"/>
      <c r="L787"/>
      <c r="M787"/>
      <c r="N787"/>
      <c r="O787"/>
      <c r="P787"/>
      <c r="Q787"/>
      <c r="R787"/>
    </row>
    <row r="788" spans="4:18" s="23" customFormat="1" ht="15.75" customHeight="1">
      <c r="D788" s="24"/>
      <c r="E788" s="24"/>
      <c r="F788" s="26"/>
      <c r="G788" s="26"/>
      <c r="H788" s="26"/>
      <c r="I788" s="26"/>
      <c r="J788" s="24"/>
      <c r="K788"/>
      <c r="L788"/>
      <c r="M788"/>
      <c r="N788"/>
      <c r="O788"/>
      <c r="P788"/>
      <c r="Q788"/>
      <c r="R788"/>
    </row>
    <row r="789" spans="4:18" s="23" customFormat="1" ht="15.75" customHeight="1">
      <c r="D789" s="24"/>
      <c r="E789" s="24"/>
      <c r="F789" s="26"/>
      <c r="G789" s="26"/>
      <c r="H789" s="26"/>
      <c r="I789" s="26"/>
      <c r="J789" s="24"/>
      <c r="K789"/>
      <c r="L789"/>
      <c r="M789"/>
      <c r="N789"/>
      <c r="O789"/>
      <c r="P789"/>
      <c r="Q789"/>
      <c r="R789"/>
    </row>
    <row r="790" spans="4:18" s="23" customFormat="1" ht="15.75" customHeight="1">
      <c r="D790" s="24"/>
      <c r="E790" s="24"/>
      <c r="F790" s="26"/>
      <c r="G790" s="26"/>
      <c r="H790" s="26"/>
      <c r="I790" s="26"/>
      <c r="J790" s="24"/>
      <c r="K790"/>
      <c r="L790"/>
      <c r="M790"/>
      <c r="N790"/>
      <c r="O790"/>
      <c r="P790"/>
      <c r="Q790"/>
      <c r="R790"/>
    </row>
    <row r="791" spans="4:18" s="23" customFormat="1" ht="15.75" customHeight="1">
      <c r="D791" s="24"/>
      <c r="E791" s="24"/>
      <c r="F791" s="26"/>
      <c r="G791" s="26"/>
      <c r="H791" s="26"/>
      <c r="I791" s="26"/>
      <c r="J791" s="24"/>
      <c r="K791"/>
      <c r="L791"/>
      <c r="M791"/>
      <c r="N791"/>
      <c r="O791"/>
      <c r="P791"/>
      <c r="Q791"/>
      <c r="R791"/>
    </row>
    <row r="792" spans="4:18" s="23" customFormat="1" ht="15.75" customHeight="1">
      <c r="D792" s="24"/>
      <c r="E792" s="24"/>
      <c r="F792" s="26"/>
      <c r="G792" s="26"/>
      <c r="H792" s="26"/>
      <c r="I792" s="26"/>
      <c r="J792" s="24"/>
      <c r="K792"/>
      <c r="L792"/>
      <c r="M792"/>
      <c r="N792"/>
      <c r="O792"/>
      <c r="P792"/>
      <c r="Q792"/>
      <c r="R792"/>
    </row>
    <row r="793" spans="4:18" s="23" customFormat="1" ht="15.75" customHeight="1">
      <c r="D793" s="24"/>
      <c r="E793" s="24"/>
      <c r="F793" s="26"/>
      <c r="G793" s="26"/>
      <c r="H793" s="26"/>
      <c r="I793" s="26"/>
      <c r="J793" s="24"/>
      <c r="K793"/>
      <c r="L793"/>
      <c r="M793"/>
      <c r="N793"/>
      <c r="O793"/>
      <c r="P793"/>
      <c r="Q793"/>
      <c r="R793"/>
    </row>
    <row r="794" spans="4:18" s="23" customFormat="1" ht="15.75" customHeight="1">
      <c r="D794" s="24"/>
      <c r="E794" s="24"/>
      <c r="F794" s="26"/>
      <c r="G794" s="26"/>
      <c r="H794" s="26"/>
      <c r="I794" s="26"/>
      <c r="J794" s="24"/>
      <c r="K794"/>
      <c r="L794"/>
      <c r="M794"/>
      <c r="N794"/>
      <c r="O794"/>
      <c r="P794"/>
      <c r="Q794"/>
      <c r="R794"/>
    </row>
    <row r="795" spans="4:18" s="23" customFormat="1" ht="15.75" customHeight="1">
      <c r="D795" s="24"/>
      <c r="E795" s="24"/>
      <c r="F795" s="26"/>
      <c r="G795" s="26"/>
      <c r="H795" s="26"/>
      <c r="I795" s="26"/>
      <c r="J795" s="24"/>
      <c r="K795"/>
      <c r="L795"/>
      <c r="M795"/>
      <c r="N795"/>
      <c r="O795"/>
      <c r="P795"/>
      <c r="Q795"/>
      <c r="R795"/>
    </row>
    <row r="796" spans="4:18" s="23" customFormat="1" ht="15.75" customHeight="1">
      <c r="D796" s="24"/>
      <c r="E796" s="24"/>
      <c r="F796" s="26"/>
      <c r="G796" s="26"/>
      <c r="H796" s="26"/>
      <c r="I796" s="26"/>
      <c r="J796" s="24"/>
      <c r="K796"/>
      <c r="L796"/>
      <c r="M796"/>
      <c r="N796"/>
      <c r="O796"/>
      <c r="P796"/>
      <c r="Q796"/>
      <c r="R796"/>
    </row>
    <row r="797" spans="4:18" s="23" customFormat="1" ht="15.75" customHeight="1">
      <c r="D797" s="24"/>
      <c r="E797" s="24"/>
      <c r="F797" s="26"/>
      <c r="G797" s="26"/>
      <c r="H797" s="26"/>
      <c r="I797" s="26"/>
      <c r="J797" s="24"/>
      <c r="K797"/>
      <c r="L797"/>
      <c r="M797"/>
      <c r="N797"/>
      <c r="O797"/>
      <c r="P797"/>
      <c r="Q797"/>
      <c r="R797"/>
    </row>
    <row r="798" spans="4:18" s="23" customFormat="1" ht="15.75" customHeight="1">
      <c r="D798" s="24"/>
      <c r="E798" s="24"/>
      <c r="F798" s="26"/>
      <c r="G798" s="26"/>
      <c r="H798" s="26"/>
      <c r="I798" s="26"/>
      <c r="J798" s="24"/>
      <c r="K798"/>
      <c r="L798"/>
      <c r="M798"/>
      <c r="N798"/>
      <c r="O798"/>
      <c r="P798"/>
      <c r="Q798"/>
      <c r="R798"/>
    </row>
    <row r="799" spans="4:18" s="23" customFormat="1" ht="15.75" customHeight="1">
      <c r="D799" s="24"/>
      <c r="E799" s="24"/>
      <c r="F799" s="26"/>
      <c r="G799" s="26"/>
      <c r="H799" s="26"/>
      <c r="I799" s="26"/>
      <c r="J799" s="24"/>
      <c r="K799"/>
      <c r="L799"/>
      <c r="M799"/>
      <c r="N799"/>
      <c r="O799"/>
      <c r="P799"/>
      <c r="Q799"/>
      <c r="R799"/>
    </row>
    <row r="800" spans="4:18" s="23" customFormat="1" ht="15.75" customHeight="1">
      <c r="D800" s="24"/>
      <c r="E800" s="24"/>
      <c r="F800" s="26"/>
      <c r="G800" s="26"/>
      <c r="H800" s="26"/>
      <c r="I800" s="26"/>
      <c r="J800" s="24"/>
      <c r="K800"/>
      <c r="L800"/>
      <c r="M800"/>
      <c r="N800"/>
      <c r="O800"/>
      <c r="P800"/>
      <c r="Q800"/>
      <c r="R800"/>
    </row>
    <row r="801" spans="4:18" s="23" customFormat="1" ht="15.75" customHeight="1">
      <c r="D801" s="24"/>
      <c r="E801" s="24"/>
      <c r="F801" s="26"/>
      <c r="G801" s="26"/>
      <c r="H801" s="26"/>
      <c r="I801" s="26"/>
      <c r="J801" s="24"/>
      <c r="K801"/>
      <c r="L801"/>
      <c r="M801"/>
      <c r="N801"/>
      <c r="O801"/>
      <c r="P801"/>
      <c r="Q801"/>
      <c r="R801"/>
    </row>
    <row r="802" spans="4:18" s="23" customFormat="1" ht="15.75" customHeight="1">
      <c r="D802" s="24"/>
      <c r="E802" s="24"/>
      <c r="F802" s="26"/>
      <c r="G802" s="26"/>
      <c r="H802" s="26"/>
      <c r="I802" s="26"/>
      <c r="J802" s="24"/>
      <c r="K802"/>
      <c r="L802"/>
      <c r="M802"/>
      <c r="N802"/>
      <c r="O802"/>
      <c r="P802"/>
      <c r="Q802"/>
      <c r="R802"/>
    </row>
    <row r="803" spans="4:18" s="23" customFormat="1" ht="15.75" customHeight="1">
      <c r="D803" s="24"/>
      <c r="E803" s="24"/>
      <c r="F803" s="26"/>
      <c r="G803" s="26"/>
      <c r="H803" s="26"/>
      <c r="I803" s="26"/>
      <c r="J803" s="24"/>
      <c r="K803"/>
      <c r="L803"/>
      <c r="M803"/>
      <c r="N803"/>
      <c r="O803"/>
      <c r="P803"/>
      <c r="Q803"/>
      <c r="R803"/>
    </row>
    <row r="804" spans="4:18" s="23" customFormat="1" ht="15.75" customHeight="1">
      <c r="D804" s="24"/>
      <c r="E804" s="24"/>
      <c r="F804" s="26"/>
      <c r="G804" s="26"/>
      <c r="H804" s="26"/>
      <c r="I804" s="26"/>
      <c r="J804" s="24"/>
      <c r="K804"/>
      <c r="L804"/>
      <c r="M804"/>
      <c r="N804"/>
      <c r="O804"/>
      <c r="P804"/>
      <c r="Q804"/>
      <c r="R804"/>
    </row>
    <row r="805" spans="4:18" s="23" customFormat="1" ht="15.75" customHeight="1">
      <c r="D805" s="24"/>
      <c r="E805" s="24"/>
      <c r="F805" s="26"/>
      <c r="G805" s="26"/>
      <c r="H805" s="26"/>
      <c r="I805" s="26"/>
      <c r="J805" s="24"/>
      <c r="K805"/>
      <c r="L805"/>
      <c r="M805"/>
      <c r="N805"/>
      <c r="O805"/>
      <c r="P805"/>
      <c r="Q805"/>
      <c r="R805"/>
    </row>
    <row r="806" spans="4:18" s="23" customFormat="1" ht="15.75" customHeight="1">
      <c r="D806" s="24"/>
      <c r="E806" s="24"/>
      <c r="F806" s="26"/>
      <c r="G806" s="26"/>
      <c r="H806" s="26"/>
      <c r="I806" s="26"/>
      <c r="J806" s="24"/>
      <c r="K806"/>
      <c r="L806"/>
      <c r="M806"/>
      <c r="N806"/>
      <c r="O806"/>
      <c r="P806"/>
      <c r="Q806"/>
      <c r="R806"/>
    </row>
    <row r="807" spans="4:18" s="23" customFormat="1" ht="15.75" customHeight="1">
      <c r="D807" s="24"/>
      <c r="E807" s="24"/>
      <c r="F807" s="26"/>
      <c r="G807" s="26"/>
      <c r="H807" s="26"/>
      <c r="I807" s="26"/>
      <c r="J807" s="24"/>
      <c r="K807"/>
      <c r="L807"/>
      <c r="M807"/>
      <c r="N807"/>
      <c r="O807"/>
      <c r="P807"/>
      <c r="Q807"/>
      <c r="R807"/>
    </row>
    <row r="808" spans="4:18" s="23" customFormat="1" ht="15.75" customHeight="1">
      <c r="D808" s="24"/>
      <c r="E808" s="24"/>
      <c r="F808" s="26"/>
      <c r="G808" s="26"/>
      <c r="H808" s="26"/>
      <c r="I808" s="26"/>
      <c r="J808" s="24"/>
      <c r="K808"/>
      <c r="L808"/>
      <c r="M808"/>
      <c r="N808"/>
      <c r="O808"/>
      <c r="P808"/>
      <c r="Q808"/>
      <c r="R808"/>
    </row>
    <row r="809" spans="4:18" s="23" customFormat="1" ht="15.75" customHeight="1">
      <c r="D809" s="24"/>
      <c r="E809" s="24"/>
      <c r="F809" s="26"/>
      <c r="G809" s="26"/>
      <c r="H809" s="26"/>
      <c r="I809" s="26"/>
      <c r="J809" s="24"/>
      <c r="K809"/>
      <c r="L809"/>
      <c r="M809"/>
      <c r="N809"/>
      <c r="O809"/>
      <c r="P809"/>
      <c r="Q809"/>
      <c r="R809"/>
    </row>
    <row r="810" spans="4:18" s="23" customFormat="1" ht="15.75" customHeight="1">
      <c r="D810" s="24"/>
      <c r="E810" s="24"/>
      <c r="F810" s="26"/>
      <c r="G810" s="26"/>
      <c r="H810" s="26"/>
      <c r="I810" s="26"/>
      <c r="J810" s="24"/>
      <c r="K810"/>
      <c r="L810"/>
      <c r="M810"/>
      <c r="N810"/>
      <c r="O810"/>
      <c r="P810"/>
      <c r="Q810"/>
      <c r="R810"/>
    </row>
    <row r="811" spans="4:18" s="23" customFormat="1" ht="15.75" customHeight="1">
      <c r="D811" s="24"/>
      <c r="E811" s="24"/>
      <c r="F811" s="26"/>
      <c r="G811" s="26"/>
      <c r="H811" s="26"/>
      <c r="I811" s="26"/>
      <c r="J811" s="24"/>
      <c r="K811"/>
      <c r="L811"/>
      <c r="M811"/>
      <c r="N811"/>
      <c r="O811"/>
      <c r="P811"/>
      <c r="Q811"/>
      <c r="R811"/>
    </row>
    <row r="812" spans="4:18" s="23" customFormat="1" ht="15.75" customHeight="1">
      <c r="D812" s="24"/>
      <c r="E812" s="24"/>
      <c r="F812" s="26"/>
      <c r="G812" s="26"/>
      <c r="H812" s="26"/>
      <c r="I812" s="26"/>
      <c r="J812" s="24"/>
      <c r="K812"/>
      <c r="L812"/>
      <c r="M812"/>
      <c r="N812"/>
      <c r="O812"/>
      <c r="P812"/>
      <c r="Q812"/>
      <c r="R812"/>
    </row>
    <row r="813" spans="4:18" s="23" customFormat="1" ht="15.75" customHeight="1">
      <c r="D813" s="24"/>
      <c r="E813" s="24"/>
      <c r="F813" s="26"/>
      <c r="G813" s="26"/>
      <c r="H813" s="26"/>
      <c r="I813" s="26"/>
      <c r="J813" s="24"/>
      <c r="K813"/>
      <c r="L813"/>
      <c r="M813"/>
      <c r="N813"/>
      <c r="O813"/>
      <c r="P813"/>
      <c r="Q813"/>
      <c r="R813"/>
    </row>
    <row r="814" spans="4:18" s="23" customFormat="1" ht="15.75" customHeight="1">
      <c r="D814" s="24"/>
      <c r="E814" s="24"/>
      <c r="F814" s="26"/>
      <c r="G814" s="26"/>
      <c r="H814" s="26"/>
      <c r="I814" s="26"/>
      <c r="J814" s="24"/>
      <c r="K814"/>
      <c r="L814"/>
      <c r="M814"/>
      <c r="N814"/>
      <c r="O814"/>
      <c r="P814"/>
      <c r="Q814"/>
      <c r="R814"/>
    </row>
    <row r="815" spans="4:18" s="23" customFormat="1" ht="15.75" customHeight="1">
      <c r="D815" s="24"/>
      <c r="E815" s="24"/>
      <c r="F815" s="26"/>
      <c r="G815" s="26"/>
      <c r="H815" s="26"/>
      <c r="I815" s="26"/>
      <c r="J815" s="24"/>
      <c r="K815"/>
      <c r="L815"/>
      <c r="M815"/>
      <c r="N815"/>
      <c r="O815"/>
      <c r="P815"/>
      <c r="Q815"/>
      <c r="R815"/>
    </row>
    <row r="816" spans="4:18" s="23" customFormat="1" ht="15.75" customHeight="1">
      <c r="D816" s="24"/>
      <c r="E816" s="24"/>
      <c r="F816" s="26"/>
      <c r="G816" s="26"/>
      <c r="H816" s="26"/>
      <c r="I816" s="26"/>
      <c r="J816" s="24"/>
      <c r="K816"/>
      <c r="L816"/>
      <c r="M816"/>
      <c r="N816"/>
      <c r="O816"/>
      <c r="P816"/>
      <c r="Q816"/>
      <c r="R816"/>
    </row>
    <row r="817" spans="4:18" s="23" customFormat="1" ht="15.75" customHeight="1">
      <c r="D817" s="24"/>
      <c r="E817" s="24"/>
      <c r="F817" s="26"/>
      <c r="G817" s="26"/>
      <c r="H817" s="26"/>
      <c r="I817" s="26"/>
      <c r="J817" s="24"/>
      <c r="K817"/>
      <c r="L817"/>
      <c r="M817"/>
      <c r="N817"/>
      <c r="O817"/>
      <c r="P817"/>
      <c r="Q817"/>
      <c r="R817"/>
    </row>
    <row r="818" spans="4:18" s="23" customFormat="1" ht="15.75" customHeight="1">
      <c r="D818" s="24"/>
      <c r="E818" s="24"/>
      <c r="F818" s="26"/>
      <c r="G818" s="26"/>
      <c r="H818" s="26"/>
      <c r="I818" s="26"/>
      <c r="J818" s="24"/>
      <c r="K818"/>
      <c r="L818"/>
      <c r="M818"/>
      <c r="N818"/>
      <c r="O818"/>
      <c r="P818"/>
      <c r="Q818"/>
      <c r="R818"/>
    </row>
    <row r="819" spans="4:18" s="23" customFormat="1" ht="15.75" customHeight="1">
      <c r="D819" s="24"/>
      <c r="E819" s="24"/>
      <c r="F819" s="26"/>
      <c r="G819" s="26"/>
      <c r="H819" s="26"/>
      <c r="I819" s="26"/>
      <c r="J819" s="24"/>
      <c r="K819"/>
      <c r="L819"/>
      <c r="M819"/>
      <c r="N819"/>
      <c r="O819"/>
      <c r="P819"/>
      <c r="Q819"/>
      <c r="R819"/>
    </row>
    <row r="820" spans="4:18" s="23" customFormat="1" ht="15.75" customHeight="1">
      <c r="D820" s="24"/>
      <c r="E820" s="24"/>
      <c r="F820" s="26"/>
      <c r="G820" s="26"/>
      <c r="H820" s="26"/>
      <c r="I820" s="26"/>
      <c r="J820" s="24"/>
      <c r="K820"/>
      <c r="L820"/>
      <c r="M820"/>
      <c r="N820"/>
      <c r="O820"/>
      <c r="P820"/>
      <c r="Q820"/>
      <c r="R820"/>
    </row>
    <row r="821" spans="4:18" s="23" customFormat="1" ht="15.75" customHeight="1">
      <c r="D821" s="24"/>
      <c r="E821" s="24"/>
      <c r="F821" s="26"/>
      <c r="G821" s="26"/>
      <c r="H821" s="26"/>
      <c r="I821" s="26"/>
      <c r="J821" s="24"/>
      <c r="K821"/>
      <c r="L821"/>
      <c r="M821"/>
      <c r="N821"/>
      <c r="O821"/>
      <c r="P821"/>
      <c r="Q821"/>
      <c r="R821"/>
    </row>
    <row r="822" spans="4:18" s="23" customFormat="1" ht="15.75" customHeight="1">
      <c r="D822" s="24"/>
      <c r="E822" s="24"/>
      <c r="F822" s="26"/>
      <c r="G822" s="26"/>
      <c r="H822" s="26"/>
      <c r="I822" s="26"/>
      <c r="J822" s="24"/>
      <c r="K822"/>
      <c r="L822"/>
      <c r="M822"/>
      <c r="N822"/>
      <c r="O822"/>
      <c r="P822"/>
      <c r="Q822"/>
      <c r="R822"/>
    </row>
    <row r="823" spans="4:18" s="23" customFormat="1" ht="15.75" customHeight="1">
      <c r="D823" s="24"/>
      <c r="E823" s="24"/>
      <c r="F823" s="26"/>
      <c r="G823" s="26"/>
      <c r="H823" s="26"/>
      <c r="I823" s="26"/>
      <c r="J823" s="24"/>
      <c r="K823"/>
      <c r="L823"/>
      <c r="M823"/>
      <c r="N823"/>
      <c r="O823"/>
      <c r="P823"/>
      <c r="Q823"/>
      <c r="R823"/>
    </row>
    <row r="824" spans="4:18" s="23" customFormat="1" ht="15.75" customHeight="1">
      <c r="D824" s="24"/>
      <c r="E824" s="24"/>
      <c r="F824" s="26"/>
      <c r="G824" s="26"/>
      <c r="H824" s="26"/>
      <c r="I824" s="26"/>
      <c r="J824" s="24"/>
      <c r="K824"/>
      <c r="L824"/>
      <c r="M824"/>
      <c r="N824"/>
      <c r="O824"/>
      <c r="P824"/>
      <c r="Q824"/>
      <c r="R824"/>
    </row>
    <row r="825" spans="4:18" s="23" customFormat="1" ht="15.75" customHeight="1">
      <c r="D825" s="24"/>
      <c r="E825" s="24"/>
      <c r="F825" s="26"/>
      <c r="G825" s="26"/>
      <c r="H825" s="26"/>
      <c r="I825" s="26"/>
      <c r="J825" s="24"/>
      <c r="K825"/>
      <c r="L825"/>
      <c r="M825"/>
      <c r="N825"/>
      <c r="O825"/>
      <c r="P825"/>
      <c r="Q825"/>
      <c r="R825"/>
    </row>
    <row r="826" spans="4:18" s="23" customFormat="1" ht="15.75" customHeight="1">
      <c r="D826" s="24"/>
      <c r="E826" s="24"/>
      <c r="F826" s="26"/>
      <c r="G826" s="26"/>
      <c r="H826" s="26"/>
      <c r="I826" s="26"/>
      <c r="J826" s="24"/>
      <c r="K826"/>
      <c r="L826"/>
      <c r="M826"/>
      <c r="N826"/>
      <c r="O826"/>
      <c r="P826"/>
      <c r="Q826"/>
      <c r="R826"/>
    </row>
    <row r="827" spans="4:18" s="23" customFormat="1" ht="15.75" customHeight="1">
      <c r="D827" s="24"/>
      <c r="E827" s="24"/>
      <c r="F827" s="26"/>
      <c r="G827" s="26"/>
      <c r="H827" s="26"/>
      <c r="I827" s="26"/>
      <c r="J827" s="24"/>
      <c r="K827"/>
      <c r="L827"/>
      <c r="M827"/>
      <c r="N827"/>
      <c r="O827"/>
      <c r="P827"/>
      <c r="Q827"/>
      <c r="R827"/>
    </row>
    <row r="828" spans="4:18" s="23" customFormat="1" ht="15.75" customHeight="1">
      <c r="D828" s="24"/>
      <c r="E828" s="24"/>
      <c r="F828" s="26"/>
      <c r="G828" s="26"/>
      <c r="H828" s="26"/>
      <c r="I828" s="26"/>
      <c r="J828" s="24"/>
      <c r="K828"/>
      <c r="L828"/>
      <c r="M828"/>
      <c r="N828"/>
      <c r="O828"/>
      <c r="P828"/>
      <c r="Q828"/>
      <c r="R828"/>
    </row>
    <row r="829" spans="4:18" s="23" customFormat="1" ht="15.75" customHeight="1">
      <c r="D829" s="24"/>
      <c r="E829" s="24"/>
      <c r="F829" s="26"/>
      <c r="G829" s="26"/>
      <c r="H829" s="26"/>
      <c r="I829" s="26"/>
      <c r="J829" s="24"/>
      <c r="K829"/>
      <c r="L829"/>
      <c r="M829"/>
      <c r="N829"/>
      <c r="O829"/>
      <c r="P829"/>
      <c r="Q829"/>
      <c r="R829"/>
    </row>
    <row r="830" spans="4:18" s="23" customFormat="1" ht="15.75" customHeight="1">
      <c r="D830" s="24"/>
      <c r="E830" s="24"/>
      <c r="F830" s="26"/>
      <c r="G830" s="26"/>
      <c r="H830" s="26"/>
      <c r="I830" s="26"/>
      <c r="J830" s="24"/>
      <c r="K830"/>
      <c r="L830"/>
      <c r="M830"/>
      <c r="N830"/>
      <c r="O830"/>
      <c r="P830"/>
      <c r="Q830"/>
      <c r="R830"/>
    </row>
    <row r="831" spans="4:18" s="23" customFormat="1" ht="15.75" customHeight="1">
      <c r="D831" s="24"/>
      <c r="E831" s="24"/>
      <c r="F831" s="26"/>
      <c r="G831" s="26"/>
      <c r="H831" s="26"/>
      <c r="I831" s="26"/>
      <c r="J831" s="24"/>
      <c r="K831"/>
      <c r="L831"/>
      <c r="M831"/>
      <c r="N831"/>
      <c r="O831"/>
      <c r="P831"/>
      <c r="Q831"/>
      <c r="R831"/>
    </row>
    <row r="832" spans="4:18" s="23" customFormat="1" ht="15.75" customHeight="1">
      <c r="D832" s="24"/>
      <c r="E832" s="24"/>
      <c r="F832" s="26"/>
      <c r="G832" s="26"/>
      <c r="H832" s="26"/>
      <c r="I832" s="26"/>
      <c r="J832" s="24"/>
      <c r="K832"/>
      <c r="L832"/>
      <c r="M832"/>
      <c r="N832"/>
      <c r="O832"/>
      <c r="P832"/>
      <c r="Q832"/>
      <c r="R832"/>
    </row>
    <row r="833" spans="4:18" s="23" customFormat="1" ht="15.75" customHeight="1">
      <c r="D833" s="24"/>
      <c r="E833" s="24"/>
      <c r="F833" s="26"/>
      <c r="G833" s="26"/>
      <c r="H833" s="26"/>
      <c r="I833" s="26"/>
      <c r="J833" s="24"/>
      <c r="K833"/>
      <c r="L833"/>
      <c r="M833"/>
      <c r="N833"/>
      <c r="O833"/>
      <c r="P833"/>
      <c r="Q833"/>
      <c r="R833"/>
    </row>
    <row r="834" spans="4:18" s="23" customFormat="1" ht="15.75" customHeight="1">
      <c r="D834" s="24"/>
      <c r="E834" s="24"/>
      <c r="F834" s="26"/>
      <c r="G834" s="26"/>
      <c r="H834" s="26"/>
      <c r="I834" s="26"/>
      <c r="J834" s="24"/>
      <c r="K834"/>
      <c r="L834"/>
      <c r="M834"/>
      <c r="N834"/>
      <c r="O834"/>
      <c r="P834"/>
      <c r="Q834"/>
      <c r="R834"/>
    </row>
    <row r="835" spans="4:18" s="23" customFormat="1" ht="15.75" customHeight="1">
      <c r="D835" s="24"/>
      <c r="E835" s="24"/>
      <c r="F835" s="26"/>
      <c r="G835" s="26"/>
      <c r="H835" s="26"/>
      <c r="I835" s="26"/>
      <c r="J835" s="24"/>
      <c r="K835"/>
      <c r="L835"/>
      <c r="M835"/>
      <c r="N835"/>
      <c r="O835"/>
      <c r="P835"/>
      <c r="Q835"/>
      <c r="R835"/>
    </row>
    <row r="836" spans="4:18" s="23" customFormat="1" ht="15.75" customHeight="1">
      <c r="D836" s="24"/>
      <c r="E836" s="24"/>
      <c r="F836" s="26"/>
      <c r="G836" s="26"/>
      <c r="H836" s="26"/>
      <c r="I836" s="26"/>
      <c r="J836" s="24"/>
      <c r="K836"/>
      <c r="L836"/>
      <c r="M836"/>
      <c r="N836"/>
      <c r="O836"/>
      <c r="P836"/>
      <c r="Q836"/>
      <c r="R836"/>
    </row>
    <row r="837" spans="4:18" s="23" customFormat="1" ht="15.75" customHeight="1">
      <c r="D837" s="24"/>
      <c r="E837" s="24"/>
      <c r="F837" s="26"/>
      <c r="G837" s="26"/>
      <c r="H837" s="26"/>
      <c r="I837" s="26"/>
      <c r="J837" s="24"/>
      <c r="K837"/>
      <c r="L837"/>
      <c r="M837"/>
      <c r="N837"/>
      <c r="O837"/>
      <c r="P837"/>
      <c r="Q837"/>
      <c r="R837"/>
    </row>
    <row r="838" spans="4:18" s="23" customFormat="1" ht="15.75" customHeight="1">
      <c r="D838" s="24"/>
      <c r="E838" s="24"/>
      <c r="F838" s="26"/>
      <c r="G838" s="26"/>
      <c r="H838" s="26"/>
      <c r="I838" s="26"/>
      <c r="J838" s="24"/>
      <c r="K838"/>
      <c r="L838"/>
      <c r="M838"/>
      <c r="N838"/>
      <c r="O838"/>
      <c r="P838"/>
      <c r="Q838"/>
      <c r="R838"/>
    </row>
    <row r="839" spans="4:18" s="23" customFormat="1" ht="15.75" customHeight="1">
      <c r="D839" s="24"/>
      <c r="E839" s="24"/>
      <c r="F839" s="26"/>
      <c r="G839" s="26"/>
      <c r="H839" s="26"/>
      <c r="I839" s="26"/>
      <c r="J839" s="24"/>
      <c r="K839"/>
      <c r="L839"/>
      <c r="M839"/>
      <c r="N839"/>
      <c r="O839"/>
      <c r="P839"/>
      <c r="Q839"/>
      <c r="R839"/>
    </row>
    <row r="840" spans="4:18" s="23" customFormat="1" ht="15.75" customHeight="1">
      <c r="D840" s="24"/>
      <c r="E840" s="24"/>
      <c r="F840" s="26"/>
      <c r="G840" s="26"/>
      <c r="H840" s="26"/>
      <c r="I840" s="26"/>
      <c r="J840" s="24"/>
      <c r="K840"/>
      <c r="L840"/>
      <c r="M840"/>
      <c r="N840"/>
      <c r="O840"/>
      <c r="P840"/>
      <c r="Q840"/>
      <c r="R840"/>
    </row>
    <row r="841" spans="4:18" s="23" customFormat="1" ht="15.75" customHeight="1">
      <c r="D841" s="24"/>
      <c r="E841" s="24"/>
      <c r="F841" s="26"/>
      <c r="G841" s="26"/>
      <c r="H841" s="26"/>
      <c r="I841" s="26"/>
      <c r="J841" s="24"/>
      <c r="K841"/>
      <c r="L841"/>
      <c r="M841"/>
      <c r="N841"/>
      <c r="O841"/>
      <c r="P841"/>
      <c r="Q841"/>
      <c r="R841"/>
    </row>
    <row r="842" spans="4:18" s="23" customFormat="1" ht="15.75" customHeight="1">
      <c r="D842" s="24"/>
      <c r="E842" s="24"/>
      <c r="F842" s="26"/>
      <c r="G842" s="26"/>
      <c r="H842" s="26"/>
      <c r="I842" s="26"/>
      <c r="J842" s="24"/>
      <c r="K842"/>
      <c r="L842"/>
      <c r="M842"/>
      <c r="N842"/>
      <c r="O842"/>
      <c r="P842"/>
      <c r="Q842"/>
      <c r="R842"/>
    </row>
    <row r="843" spans="4:18" s="23" customFormat="1" ht="15.75" customHeight="1">
      <c r="D843" s="24"/>
      <c r="E843" s="24"/>
      <c r="F843" s="26"/>
      <c r="G843" s="26"/>
      <c r="H843" s="26"/>
      <c r="I843" s="26"/>
      <c r="J843" s="24"/>
      <c r="K843"/>
      <c r="L843"/>
      <c r="M843"/>
      <c r="N843"/>
      <c r="O843"/>
      <c r="P843"/>
      <c r="Q843"/>
      <c r="R843"/>
    </row>
    <row r="844" spans="4:18" s="23" customFormat="1" ht="15.75" customHeight="1">
      <c r="D844" s="24"/>
      <c r="E844" s="24"/>
      <c r="F844" s="26"/>
      <c r="G844" s="26"/>
      <c r="H844" s="26"/>
      <c r="I844" s="26"/>
      <c r="J844" s="24"/>
      <c r="K844"/>
      <c r="L844"/>
      <c r="M844"/>
      <c r="N844"/>
      <c r="O844"/>
      <c r="P844"/>
      <c r="Q844"/>
      <c r="R844"/>
    </row>
    <row r="845" spans="4:18" s="23" customFormat="1" ht="15.75" customHeight="1">
      <c r="D845" s="24"/>
      <c r="E845" s="24"/>
      <c r="F845" s="26"/>
      <c r="G845" s="26"/>
      <c r="H845" s="26"/>
      <c r="I845" s="26"/>
      <c r="J845" s="24"/>
      <c r="K845"/>
      <c r="L845"/>
      <c r="M845"/>
      <c r="N845"/>
      <c r="O845"/>
      <c r="P845"/>
      <c r="Q845"/>
      <c r="R845"/>
    </row>
    <row r="846" spans="4:18" s="23" customFormat="1" ht="15.75" customHeight="1">
      <c r="D846" s="24"/>
      <c r="E846" s="24"/>
      <c r="F846" s="26"/>
      <c r="G846" s="26"/>
      <c r="H846" s="26"/>
      <c r="I846" s="26"/>
      <c r="J846" s="24"/>
      <c r="K846"/>
      <c r="L846"/>
      <c r="M846"/>
      <c r="N846"/>
      <c r="O846"/>
      <c r="P846"/>
      <c r="Q846"/>
      <c r="R846"/>
    </row>
    <row r="847" spans="4:18" s="23" customFormat="1" ht="15.75" customHeight="1">
      <c r="D847" s="24"/>
      <c r="E847" s="24"/>
      <c r="F847" s="26"/>
      <c r="G847" s="26"/>
      <c r="H847" s="26"/>
      <c r="I847" s="26"/>
      <c r="J847" s="24"/>
      <c r="K847"/>
      <c r="L847"/>
      <c r="M847"/>
      <c r="N847"/>
      <c r="O847"/>
      <c r="P847"/>
      <c r="Q847"/>
      <c r="R847"/>
    </row>
    <row r="848" spans="4:18" s="23" customFormat="1" ht="15.75" customHeight="1">
      <c r="D848" s="24"/>
      <c r="E848" s="24"/>
      <c r="F848" s="26"/>
      <c r="G848" s="26"/>
      <c r="H848" s="26"/>
      <c r="I848" s="26"/>
      <c r="J848" s="24"/>
      <c r="K848"/>
      <c r="L848"/>
      <c r="M848"/>
      <c r="N848"/>
      <c r="O848"/>
      <c r="P848"/>
      <c r="Q848"/>
      <c r="R848"/>
    </row>
    <row r="849" spans="4:18" s="23" customFormat="1" ht="15.75" customHeight="1">
      <c r="D849" s="24"/>
      <c r="E849" s="24"/>
      <c r="F849" s="26"/>
      <c r="G849" s="26"/>
      <c r="H849" s="26"/>
      <c r="I849" s="26"/>
      <c r="J849" s="24"/>
      <c r="K849"/>
      <c r="L849"/>
      <c r="M849"/>
      <c r="N849"/>
      <c r="O849"/>
      <c r="P849"/>
      <c r="Q849"/>
      <c r="R849"/>
    </row>
    <row r="850" spans="4:18" s="23" customFormat="1" ht="15.75" customHeight="1">
      <c r="D850" s="24"/>
      <c r="E850" s="24"/>
      <c r="F850" s="26"/>
      <c r="G850" s="26"/>
      <c r="H850" s="26"/>
      <c r="I850" s="26"/>
      <c r="J850" s="24"/>
      <c r="K850"/>
      <c r="L850"/>
      <c r="M850"/>
      <c r="N850"/>
      <c r="O850"/>
      <c r="P850"/>
      <c r="Q850"/>
      <c r="R850"/>
    </row>
    <row r="851" spans="4:18" s="23" customFormat="1" ht="15.75" customHeight="1">
      <c r="D851" s="24"/>
      <c r="E851" s="24"/>
      <c r="F851" s="26"/>
      <c r="G851" s="26"/>
      <c r="H851" s="26"/>
      <c r="I851" s="26"/>
      <c r="J851" s="24"/>
      <c r="K851"/>
      <c r="L851"/>
      <c r="M851"/>
      <c r="N851"/>
      <c r="O851"/>
      <c r="P851"/>
      <c r="Q851"/>
      <c r="R851"/>
    </row>
    <row r="852" spans="4:18" s="23" customFormat="1" ht="15.75" customHeight="1">
      <c r="D852" s="24"/>
      <c r="E852" s="24"/>
      <c r="F852" s="26"/>
      <c r="G852" s="26"/>
      <c r="H852" s="26"/>
      <c r="I852" s="26"/>
      <c r="J852" s="24"/>
      <c r="K852"/>
      <c r="L852"/>
      <c r="M852"/>
      <c r="N852"/>
      <c r="O852"/>
      <c r="P852"/>
      <c r="Q852"/>
      <c r="R852"/>
    </row>
    <row r="853" spans="4:18" s="23" customFormat="1" ht="15.75" customHeight="1">
      <c r="D853" s="24"/>
      <c r="E853" s="24"/>
      <c r="F853" s="26"/>
      <c r="G853" s="26"/>
      <c r="H853" s="26"/>
      <c r="I853" s="26"/>
      <c r="J853" s="24"/>
      <c r="K853"/>
      <c r="L853"/>
      <c r="M853"/>
      <c r="N853"/>
      <c r="O853"/>
      <c r="P853"/>
      <c r="Q853"/>
      <c r="R853"/>
    </row>
    <row r="854" spans="4:18" s="23" customFormat="1" ht="15.75" customHeight="1">
      <c r="D854" s="24"/>
      <c r="E854" s="24"/>
      <c r="F854" s="26"/>
      <c r="G854" s="26"/>
      <c r="H854" s="26"/>
      <c r="I854" s="26"/>
      <c r="J854" s="24"/>
      <c r="K854"/>
      <c r="L854"/>
      <c r="M854"/>
      <c r="N854"/>
      <c r="O854"/>
      <c r="P854"/>
      <c r="Q854"/>
      <c r="R854"/>
    </row>
    <row r="855" spans="4:18" s="23" customFormat="1" ht="15.75" customHeight="1">
      <c r="D855" s="24"/>
      <c r="E855" s="24"/>
      <c r="F855" s="26"/>
      <c r="G855" s="26"/>
      <c r="H855" s="26"/>
      <c r="I855" s="26"/>
      <c r="J855" s="24"/>
      <c r="K855"/>
      <c r="L855"/>
      <c r="M855"/>
      <c r="N855"/>
      <c r="O855"/>
      <c r="P855"/>
      <c r="Q855"/>
      <c r="R855"/>
    </row>
    <row r="856" spans="4:18" s="23" customFormat="1" ht="15.75" customHeight="1">
      <c r="D856" s="24"/>
      <c r="E856" s="24"/>
      <c r="F856" s="26"/>
      <c r="G856" s="26"/>
      <c r="H856" s="26"/>
      <c r="I856" s="26"/>
      <c r="J856" s="24"/>
      <c r="K856"/>
      <c r="L856"/>
      <c r="M856"/>
      <c r="N856"/>
      <c r="O856"/>
      <c r="P856"/>
      <c r="Q856"/>
      <c r="R856"/>
    </row>
    <row r="857" spans="4:18" s="23" customFormat="1" ht="15.75" customHeight="1">
      <c r="D857" s="24"/>
      <c r="E857" s="24"/>
      <c r="F857" s="26"/>
      <c r="G857" s="26"/>
      <c r="H857" s="26"/>
      <c r="I857" s="26"/>
      <c r="J857" s="24"/>
      <c r="K857"/>
      <c r="L857"/>
      <c r="M857"/>
      <c r="N857"/>
      <c r="O857"/>
      <c r="P857"/>
      <c r="Q857"/>
      <c r="R857"/>
    </row>
    <row r="858" spans="4:18" s="23" customFormat="1" ht="15.75" customHeight="1">
      <c r="D858" s="24"/>
      <c r="E858" s="24"/>
      <c r="F858" s="26"/>
      <c r="G858" s="26"/>
      <c r="H858" s="26"/>
      <c r="I858" s="26"/>
      <c r="J858" s="24"/>
      <c r="K858"/>
      <c r="L858"/>
      <c r="M858"/>
      <c r="N858"/>
      <c r="O858"/>
      <c r="P858"/>
      <c r="Q858"/>
      <c r="R858"/>
    </row>
    <row r="859" spans="4:18" s="23" customFormat="1" ht="15.75" customHeight="1">
      <c r="D859" s="24"/>
      <c r="E859" s="24"/>
      <c r="F859" s="26"/>
      <c r="G859" s="26"/>
      <c r="H859" s="26"/>
      <c r="I859" s="26"/>
      <c r="J859" s="24"/>
      <c r="K859"/>
      <c r="L859"/>
      <c r="M859"/>
      <c r="N859"/>
      <c r="O859"/>
      <c r="P859"/>
      <c r="Q859"/>
      <c r="R859"/>
    </row>
    <row r="860" spans="4:18" s="23" customFormat="1" ht="15.75" customHeight="1">
      <c r="D860" s="24"/>
      <c r="E860" s="24"/>
      <c r="F860" s="26"/>
      <c r="G860" s="26"/>
      <c r="H860" s="26"/>
      <c r="I860" s="26"/>
      <c r="J860" s="24"/>
      <c r="K860"/>
      <c r="L860"/>
      <c r="M860"/>
      <c r="N860"/>
      <c r="O860"/>
      <c r="P860"/>
      <c r="Q860"/>
      <c r="R860"/>
    </row>
    <row r="861" spans="4:18" s="23" customFormat="1" ht="15.75" customHeight="1">
      <c r="D861" s="24"/>
      <c r="E861" s="24"/>
      <c r="F861" s="26"/>
      <c r="G861" s="26"/>
      <c r="H861" s="26"/>
      <c r="I861" s="26"/>
      <c r="J861" s="24"/>
      <c r="K861"/>
      <c r="L861"/>
      <c r="M861"/>
      <c r="N861"/>
      <c r="O861"/>
      <c r="P861"/>
      <c r="Q861"/>
      <c r="R861"/>
    </row>
    <row r="862" spans="4:18" s="23" customFormat="1" ht="15.75" customHeight="1">
      <c r="D862" s="24"/>
      <c r="E862" s="24"/>
      <c r="F862" s="26"/>
      <c r="G862" s="26"/>
      <c r="H862" s="26"/>
      <c r="I862" s="26"/>
      <c r="J862" s="24"/>
      <c r="K862"/>
      <c r="L862"/>
      <c r="M862"/>
      <c r="N862"/>
      <c r="O862"/>
      <c r="P862"/>
      <c r="Q862"/>
      <c r="R862"/>
    </row>
    <row r="863" spans="4:18" s="23" customFormat="1" ht="15.75" customHeight="1">
      <c r="D863" s="24"/>
      <c r="E863" s="24"/>
      <c r="F863" s="26"/>
      <c r="G863" s="26"/>
      <c r="H863" s="26"/>
      <c r="I863" s="26"/>
      <c r="J863" s="24"/>
      <c r="K863"/>
      <c r="L863"/>
      <c r="M863"/>
      <c r="N863"/>
      <c r="O863"/>
      <c r="P863"/>
      <c r="Q863"/>
      <c r="R863"/>
    </row>
    <row r="864" spans="4:18" s="23" customFormat="1" ht="15.75" customHeight="1">
      <c r="D864" s="24"/>
      <c r="E864" s="24"/>
      <c r="F864" s="26"/>
      <c r="G864" s="26"/>
      <c r="H864" s="26"/>
      <c r="I864" s="26"/>
      <c r="J864" s="24"/>
      <c r="K864"/>
      <c r="L864"/>
      <c r="M864"/>
      <c r="N864"/>
      <c r="O864"/>
      <c r="P864"/>
      <c r="Q864"/>
      <c r="R864"/>
    </row>
    <row r="865" spans="4:18" s="23" customFormat="1" ht="15.75" customHeight="1">
      <c r="D865" s="24"/>
      <c r="E865" s="24"/>
      <c r="F865" s="26"/>
      <c r="G865" s="26"/>
      <c r="H865" s="26"/>
      <c r="I865" s="26"/>
      <c r="J865" s="24"/>
      <c r="K865"/>
      <c r="L865"/>
      <c r="M865"/>
      <c r="N865"/>
      <c r="O865"/>
      <c r="P865"/>
      <c r="Q865"/>
      <c r="R865"/>
    </row>
    <row r="866" spans="4:18" s="23" customFormat="1" ht="15.75" customHeight="1">
      <c r="D866" s="24"/>
      <c r="E866" s="24"/>
      <c r="F866" s="26"/>
      <c r="G866" s="26"/>
      <c r="H866" s="26"/>
      <c r="I866" s="26"/>
      <c r="J866" s="24"/>
      <c r="K866"/>
      <c r="L866"/>
      <c r="M866"/>
      <c r="N866"/>
      <c r="O866"/>
      <c r="P866"/>
      <c r="Q866"/>
      <c r="R866"/>
    </row>
    <row r="867" spans="4:18" s="23" customFormat="1" ht="15.75" customHeight="1">
      <c r="D867" s="24"/>
      <c r="E867" s="24"/>
      <c r="F867" s="26"/>
      <c r="G867" s="26"/>
      <c r="H867" s="26"/>
      <c r="I867" s="26"/>
      <c r="J867" s="24"/>
      <c r="K867"/>
      <c r="L867"/>
      <c r="M867"/>
      <c r="N867"/>
      <c r="O867"/>
      <c r="P867"/>
      <c r="Q867"/>
      <c r="R867"/>
    </row>
    <row r="868" spans="4:18" s="23" customFormat="1" ht="15.75" customHeight="1">
      <c r="D868" s="24"/>
      <c r="E868" s="24"/>
      <c r="F868" s="26"/>
      <c r="G868" s="26"/>
      <c r="H868" s="26"/>
      <c r="I868" s="26"/>
      <c r="J868" s="24"/>
      <c r="K868"/>
      <c r="L868"/>
      <c r="M868"/>
      <c r="N868"/>
      <c r="O868"/>
      <c r="P868"/>
      <c r="Q868"/>
      <c r="R868"/>
    </row>
    <row r="869" spans="4:18" s="23" customFormat="1" ht="15.75" customHeight="1">
      <c r="D869" s="24"/>
      <c r="E869" s="24"/>
      <c r="F869" s="26"/>
      <c r="G869" s="26"/>
      <c r="H869" s="26"/>
      <c r="I869" s="26"/>
      <c r="J869" s="24"/>
      <c r="K869"/>
      <c r="L869"/>
      <c r="M869"/>
      <c r="N869"/>
      <c r="O869"/>
      <c r="P869"/>
      <c r="Q869"/>
      <c r="R869"/>
    </row>
    <row r="870" spans="4:18" s="23" customFormat="1" ht="15.75" customHeight="1">
      <c r="D870" s="24"/>
      <c r="E870" s="24"/>
      <c r="F870" s="26"/>
      <c r="G870" s="26"/>
      <c r="H870" s="26"/>
      <c r="I870" s="26"/>
      <c r="J870" s="24"/>
      <c r="K870"/>
      <c r="L870"/>
      <c r="M870"/>
      <c r="N870"/>
      <c r="O870"/>
      <c r="P870"/>
      <c r="Q870"/>
      <c r="R870"/>
    </row>
    <row r="871" spans="4:18" s="23" customFormat="1" ht="15.75" customHeight="1">
      <c r="D871" s="24"/>
      <c r="E871" s="24"/>
      <c r="F871" s="26"/>
      <c r="G871" s="26"/>
      <c r="H871" s="26"/>
      <c r="I871" s="26"/>
      <c r="J871" s="24"/>
      <c r="K871"/>
      <c r="L871"/>
      <c r="M871"/>
      <c r="N871"/>
      <c r="O871"/>
      <c r="P871"/>
      <c r="Q871"/>
      <c r="R871"/>
    </row>
    <row r="872" spans="4:18" s="23" customFormat="1" ht="15.75" customHeight="1">
      <c r="D872" s="24"/>
      <c r="E872" s="24"/>
      <c r="F872" s="26"/>
      <c r="G872" s="26"/>
      <c r="H872" s="26"/>
      <c r="I872" s="26"/>
      <c r="J872" s="24"/>
      <c r="K872"/>
      <c r="L872"/>
      <c r="M872"/>
      <c r="N872"/>
      <c r="O872"/>
      <c r="P872"/>
      <c r="Q872"/>
      <c r="R872"/>
    </row>
    <row r="873" spans="4:18" s="23" customFormat="1" ht="15.75" customHeight="1">
      <c r="D873" s="24"/>
      <c r="E873" s="24"/>
      <c r="F873" s="26"/>
      <c r="G873" s="26"/>
      <c r="H873" s="26"/>
      <c r="I873" s="26"/>
      <c r="J873" s="24"/>
      <c r="K873"/>
      <c r="L873"/>
      <c r="M873"/>
      <c r="N873"/>
      <c r="O873"/>
      <c r="P873"/>
      <c r="Q873"/>
      <c r="R873"/>
    </row>
    <row r="874" spans="4:18" s="23" customFormat="1" ht="15.75" customHeight="1">
      <c r="D874" s="24"/>
      <c r="E874" s="24"/>
      <c r="F874" s="26"/>
      <c r="G874" s="26"/>
      <c r="H874" s="26"/>
      <c r="I874" s="26"/>
      <c r="J874" s="24"/>
      <c r="K874"/>
      <c r="L874"/>
      <c r="M874"/>
      <c r="N874"/>
      <c r="O874"/>
      <c r="P874"/>
      <c r="Q874"/>
      <c r="R874"/>
    </row>
    <row r="875" spans="4:18" s="23" customFormat="1" ht="15.75" customHeight="1">
      <c r="D875" s="24"/>
      <c r="E875" s="24"/>
      <c r="F875" s="26"/>
      <c r="G875" s="26"/>
      <c r="H875" s="26"/>
      <c r="I875" s="26"/>
      <c r="J875" s="24"/>
      <c r="K875"/>
      <c r="L875"/>
      <c r="M875"/>
      <c r="N875"/>
      <c r="O875"/>
      <c r="P875"/>
      <c r="Q875"/>
      <c r="R875"/>
    </row>
    <row r="876" spans="4:18" s="23" customFormat="1" ht="15.75" customHeight="1">
      <c r="D876" s="24"/>
      <c r="E876" s="24"/>
      <c r="F876" s="26"/>
      <c r="G876" s="26"/>
      <c r="H876" s="26"/>
      <c r="I876" s="26"/>
      <c r="J876" s="24"/>
      <c r="K876"/>
      <c r="L876"/>
      <c r="M876"/>
      <c r="N876"/>
      <c r="O876"/>
      <c r="P876"/>
      <c r="Q876"/>
      <c r="R876"/>
    </row>
    <row r="877" spans="4:18" s="23" customFormat="1" ht="15.75" customHeight="1">
      <c r="D877" s="24"/>
      <c r="E877" s="24"/>
      <c r="F877" s="26"/>
      <c r="G877" s="26"/>
      <c r="H877" s="26"/>
      <c r="I877" s="26"/>
      <c r="J877" s="24"/>
      <c r="K877"/>
      <c r="L877"/>
      <c r="M877"/>
      <c r="N877"/>
      <c r="O877"/>
      <c r="P877"/>
      <c r="Q877"/>
      <c r="R877"/>
    </row>
    <row r="878" spans="4:18" s="23" customFormat="1" ht="15.75" customHeight="1">
      <c r="D878" s="24"/>
      <c r="E878" s="24"/>
      <c r="F878" s="26"/>
      <c r="G878" s="26"/>
      <c r="H878" s="26"/>
      <c r="I878" s="26"/>
      <c r="J878" s="24"/>
      <c r="K878"/>
      <c r="L878"/>
      <c r="M878"/>
      <c r="N878"/>
      <c r="O878"/>
      <c r="P878"/>
      <c r="Q878"/>
      <c r="R878"/>
    </row>
    <row r="879" spans="4:18" s="23" customFormat="1" ht="15.75" customHeight="1">
      <c r="D879" s="24"/>
      <c r="E879" s="24"/>
      <c r="F879" s="26"/>
      <c r="G879" s="26"/>
      <c r="H879" s="26"/>
      <c r="I879" s="26"/>
      <c r="J879" s="24"/>
      <c r="K879"/>
      <c r="L879"/>
      <c r="M879"/>
      <c r="N879"/>
      <c r="O879"/>
      <c r="P879"/>
      <c r="Q879"/>
      <c r="R879"/>
    </row>
    <row r="880" spans="4:18" s="23" customFormat="1" ht="15.75" customHeight="1">
      <c r="D880" s="24"/>
      <c r="E880" s="24"/>
      <c r="F880" s="26"/>
      <c r="G880" s="26"/>
      <c r="H880" s="26"/>
      <c r="I880" s="26"/>
      <c r="J880" s="24"/>
      <c r="K880"/>
      <c r="L880"/>
      <c r="M880"/>
      <c r="N880"/>
      <c r="O880"/>
      <c r="P880"/>
      <c r="Q880"/>
      <c r="R880"/>
    </row>
    <row r="881" spans="4:18" s="23" customFormat="1" ht="15.75" customHeight="1">
      <c r="D881" s="24"/>
      <c r="E881" s="24"/>
      <c r="F881" s="26"/>
      <c r="G881" s="26"/>
      <c r="H881" s="26"/>
      <c r="I881" s="26"/>
      <c r="J881" s="24"/>
      <c r="K881"/>
      <c r="L881"/>
      <c r="M881"/>
      <c r="N881"/>
      <c r="O881"/>
      <c r="P881"/>
      <c r="Q881"/>
      <c r="R881"/>
    </row>
    <row r="882" spans="4:18" s="23" customFormat="1" ht="15.75" customHeight="1">
      <c r="D882" s="24"/>
      <c r="E882" s="24"/>
      <c r="F882" s="26"/>
      <c r="G882" s="26"/>
      <c r="H882" s="26"/>
      <c r="I882" s="26"/>
      <c r="J882" s="24"/>
      <c r="K882"/>
      <c r="L882"/>
      <c r="M882"/>
      <c r="N882"/>
      <c r="O882"/>
      <c r="P882"/>
      <c r="Q882"/>
      <c r="R882"/>
    </row>
    <row r="883" spans="4:18" s="23" customFormat="1" ht="15.75" customHeight="1">
      <c r="D883" s="24"/>
      <c r="E883" s="24"/>
      <c r="F883" s="26"/>
      <c r="G883" s="26"/>
      <c r="H883" s="26"/>
      <c r="I883" s="26"/>
      <c r="J883" s="24"/>
      <c r="K883"/>
      <c r="L883"/>
      <c r="M883"/>
      <c r="N883"/>
      <c r="O883"/>
      <c r="P883"/>
      <c r="Q883"/>
      <c r="R883"/>
    </row>
    <row r="884" spans="4:18" s="23" customFormat="1" ht="15.75" customHeight="1">
      <c r="D884" s="24"/>
      <c r="E884" s="24"/>
      <c r="F884" s="26"/>
      <c r="G884" s="26"/>
      <c r="H884" s="26"/>
      <c r="I884" s="26"/>
      <c r="J884" s="24"/>
      <c r="K884"/>
      <c r="L884"/>
      <c r="M884"/>
      <c r="N884"/>
      <c r="O884"/>
      <c r="P884"/>
      <c r="Q884"/>
      <c r="R884"/>
    </row>
    <row r="885" spans="4:18" s="23" customFormat="1" ht="15.75" customHeight="1">
      <c r="D885" s="24"/>
      <c r="E885" s="24"/>
      <c r="F885" s="26"/>
      <c r="G885" s="26"/>
      <c r="H885" s="26"/>
      <c r="I885" s="26"/>
      <c r="J885" s="24"/>
      <c r="K885"/>
      <c r="L885"/>
      <c r="M885"/>
      <c r="N885"/>
      <c r="O885"/>
      <c r="P885"/>
      <c r="Q885"/>
      <c r="R885"/>
    </row>
    <row r="886" spans="4:18" s="23" customFormat="1" ht="15.75" customHeight="1">
      <c r="D886" s="24"/>
      <c r="E886" s="24"/>
      <c r="F886" s="26"/>
      <c r="G886" s="26"/>
      <c r="H886" s="26"/>
      <c r="I886" s="26"/>
      <c r="J886" s="24"/>
      <c r="K886"/>
      <c r="L886"/>
      <c r="M886"/>
      <c r="N886"/>
      <c r="O886"/>
      <c r="P886"/>
      <c r="Q886"/>
      <c r="R886"/>
    </row>
    <row r="887" spans="4:18" s="23" customFormat="1" ht="15.75" customHeight="1">
      <c r="D887" s="24"/>
      <c r="E887" s="24"/>
      <c r="F887" s="26"/>
      <c r="G887" s="26"/>
      <c r="H887" s="26"/>
      <c r="I887" s="26"/>
      <c r="J887" s="24"/>
      <c r="K887"/>
      <c r="L887"/>
      <c r="M887"/>
      <c r="N887"/>
      <c r="O887"/>
      <c r="P887"/>
      <c r="Q887"/>
      <c r="R887"/>
    </row>
    <row r="888" spans="4:18" s="23" customFormat="1" ht="15.75" customHeight="1">
      <c r="D888" s="24"/>
      <c r="E888" s="24"/>
      <c r="F888" s="26"/>
      <c r="G888" s="26"/>
      <c r="H888" s="26"/>
      <c r="I888" s="26"/>
      <c r="J888" s="24"/>
      <c r="K888"/>
      <c r="L888"/>
      <c r="M888"/>
      <c r="N888"/>
      <c r="O888"/>
      <c r="P888"/>
      <c r="Q888"/>
      <c r="R888"/>
    </row>
    <row r="889" spans="4:18" s="23" customFormat="1" ht="15.75" customHeight="1">
      <c r="D889" s="24"/>
      <c r="E889" s="24"/>
      <c r="F889" s="26"/>
      <c r="G889" s="26"/>
      <c r="H889" s="26"/>
      <c r="I889" s="26"/>
      <c r="J889" s="24"/>
      <c r="K889"/>
      <c r="L889"/>
      <c r="M889"/>
      <c r="N889"/>
      <c r="O889"/>
      <c r="P889"/>
      <c r="Q889"/>
      <c r="R889"/>
    </row>
    <row r="890" spans="4:18" s="23" customFormat="1" ht="15.75" customHeight="1">
      <c r="D890" s="24"/>
      <c r="E890" s="24"/>
      <c r="F890" s="26"/>
      <c r="G890" s="26"/>
      <c r="H890" s="26"/>
      <c r="I890" s="26"/>
      <c r="J890" s="24"/>
      <c r="K890"/>
      <c r="L890"/>
      <c r="M890"/>
      <c r="N890"/>
      <c r="O890"/>
      <c r="P890"/>
      <c r="Q890"/>
      <c r="R890"/>
    </row>
    <row r="891" spans="4:18" s="23" customFormat="1" ht="15.75" customHeight="1">
      <c r="D891" s="24"/>
      <c r="E891" s="24"/>
      <c r="F891" s="26"/>
      <c r="G891" s="26"/>
      <c r="H891" s="26"/>
      <c r="I891" s="26"/>
      <c r="J891" s="24"/>
      <c r="K891"/>
      <c r="L891"/>
      <c r="M891"/>
      <c r="N891"/>
      <c r="O891"/>
      <c r="P891"/>
      <c r="Q891"/>
      <c r="R891"/>
    </row>
    <row r="892" spans="4:18" s="23" customFormat="1" ht="15.75" customHeight="1">
      <c r="D892" s="24"/>
      <c r="E892" s="24"/>
      <c r="F892" s="26"/>
      <c r="G892" s="26"/>
      <c r="H892" s="26"/>
      <c r="I892" s="26"/>
      <c r="J892" s="24"/>
      <c r="K892"/>
      <c r="L892"/>
      <c r="M892"/>
      <c r="N892"/>
      <c r="O892"/>
      <c r="P892"/>
      <c r="Q892"/>
      <c r="R892"/>
    </row>
    <row r="893" spans="4:18" s="23" customFormat="1" ht="15.75" customHeight="1">
      <c r="D893" s="24"/>
      <c r="E893" s="24"/>
      <c r="F893" s="26"/>
      <c r="G893" s="26"/>
      <c r="H893" s="26"/>
      <c r="I893" s="26"/>
      <c r="J893" s="24"/>
      <c r="K893"/>
      <c r="L893"/>
      <c r="M893"/>
      <c r="N893"/>
      <c r="O893"/>
      <c r="P893"/>
      <c r="Q893"/>
      <c r="R893"/>
    </row>
    <row r="894" spans="4:18" s="23" customFormat="1" ht="15.75" customHeight="1">
      <c r="D894" s="24"/>
      <c r="E894" s="24"/>
      <c r="F894" s="26"/>
      <c r="G894" s="26"/>
      <c r="H894" s="26"/>
      <c r="I894" s="26"/>
      <c r="J894" s="24"/>
      <c r="K894"/>
      <c r="L894"/>
      <c r="M894"/>
      <c r="N894"/>
      <c r="O894"/>
      <c r="P894"/>
      <c r="Q894"/>
      <c r="R894"/>
    </row>
    <row r="895" spans="4:18" s="23" customFormat="1" ht="15.75" customHeight="1">
      <c r="D895" s="24"/>
      <c r="E895" s="24"/>
      <c r="F895" s="26"/>
      <c r="G895" s="26"/>
      <c r="H895" s="26"/>
      <c r="I895" s="26"/>
      <c r="J895" s="24"/>
      <c r="K895"/>
      <c r="L895"/>
      <c r="M895"/>
      <c r="N895"/>
      <c r="O895"/>
      <c r="P895"/>
      <c r="Q895"/>
      <c r="R895"/>
    </row>
    <row r="896" spans="4:18" s="23" customFormat="1" ht="15.75" customHeight="1">
      <c r="D896" s="24"/>
      <c r="E896" s="24"/>
      <c r="F896" s="26"/>
      <c r="G896" s="26"/>
      <c r="H896" s="26"/>
      <c r="I896" s="26"/>
      <c r="J896" s="24"/>
      <c r="K896"/>
      <c r="L896"/>
      <c r="M896"/>
      <c r="N896"/>
      <c r="O896"/>
      <c r="P896"/>
      <c r="Q896"/>
      <c r="R896"/>
    </row>
    <row r="897" spans="4:18" s="23" customFormat="1" ht="15.75" customHeight="1">
      <c r="D897" s="24"/>
      <c r="E897" s="24"/>
      <c r="F897" s="26"/>
      <c r="G897" s="26"/>
      <c r="H897" s="26"/>
      <c r="I897" s="26"/>
      <c r="J897" s="24"/>
      <c r="K897"/>
      <c r="L897"/>
      <c r="M897"/>
      <c r="N897"/>
      <c r="O897"/>
      <c r="P897"/>
      <c r="Q897"/>
      <c r="R897"/>
    </row>
    <row r="898" spans="4:18" s="23" customFormat="1" ht="15.75" customHeight="1">
      <c r="D898" s="24"/>
      <c r="E898" s="24"/>
      <c r="F898" s="26"/>
      <c r="G898" s="26"/>
      <c r="H898" s="26"/>
      <c r="I898" s="26"/>
      <c r="J898" s="24"/>
      <c r="K898"/>
      <c r="L898"/>
      <c r="M898"/>
      <c r="N898"/>
      <c r="O898"/>
      <c r="P898"/>
      <c r="Q898"/>
      <c r="R898"/>
    </row>
    <row r="899" spans="4:18" s="23" customFormat="1" ht="15.75" customHeight="1">
      <c r="D899" s="24"/>
      <c r="E899" s="24"/>
      <c r="F899" s="26"/>
      <c r="G899" s="26"/>
      <c r="H899" s="26"/>
      <c r="I899" s="26"/>
      <c r="J899" s="24"/>
      <c r="K899"/>
      <c r="L899"/>
      <c r="M899"/>
      <c r="N899"/>
      <c r="O899"/>
      <c r="P899"/>
      <c r="Q899"/>
      <c r="R899"/>
    </row>
    <row r="900" spans="4:18" s="23" customFormat="1" ht="15.75" customHeight="1">
      <c r="D900" s="24"/>
      <c r="E900" s="24"/>
      <c r="F900" s="26"/>
      <c r="G900" s="26"/>
      <c r="H900" s="26"/>
      <c r="I900" s="26"/>
      <c r="J900" s="24"/>
      <c r="K900"/>
      <c r="L900"/>
      <c r="M900"/>
      <c r="N900"/>
      <c r="O900"/>
      <c r="P900"/>
      <c r="Q900"/>
      <c r="R900"/>
    </row>
    <row r="901" spans="4:18" s="23" customFormat="1" ht="15.75" customHeight="1">
      <c r="D901" s="24"/>
      <c r="E901" s="24"/>
      <c r="F901" s="26"/>
      <c r="G901" s="26"/>
      <c r="H901" s="26"/>
      <c r="I901" s="26"/>
      <c r="J901" s="24"/>
      <c r="K901"/>
      <c r="L901"/>
      <c r="M901"/>
      <c r="N901"/>
      <c r="O901"/>
      <c r="P901"/>
      <c r="Q901"/>
      <c r="R901"/>
    </row>
    <row r="902" spans="4:18" s="23" customFormat="1" ht="15.75" customHeight="1">
      <c r="D902" s="24"/>
      <c r="E902" s="24"/>
      <c r="F902" s="26"/>
      <c r="G902" s="26"/>
      <c r="H902" s="26"/>
      <c r="I902" s="26"/>
      <c r="J902" s="24"/>
      <c r="K902"/>
      <c r="L902"/>
      <c r="M902"/>
      <c r="N902"/>
      <c r="O902"/>
      <c r="P902"/>
      <c r="Q902"/>
      <c r="R902"/>
    </row>
    <row r="903" spans="4:18" s="23" customFormat="1" ht="15.75" customHeight="1">
      <c r="D903" s="24"/>
      <c r="E903" s="24"/>
      <c r="F903" s="26"/>
      <c r="G903" s="26"/>
      <c r="H903" s="26"/>
      <c r="I903" s="26"/>
      <c r="J903" s="24"/>
      <c r="K903"/>
      <c r="L903"/>
      <c r="M903"/>
      <c r="N903"/>
      <c r="O903"/>
      <c r="P903"/>
      <c r="Q903"/>
      <c r="R903"/>
    </row>
    <row r="904" spans="4:18" s="23" customFormat="1" ht="15.75" customHeight="1">
      <c r="D904" s="24"/>
      <c r="E904" s="24"/>
      <c r="F904" s="26"/>
      <c r="G904" s="26"/>
      <c r="H904" s="26"/>
      <c r="I904" s="26"/>
      <c r="J904" s="24"/>
      <c r="K904"/>
      <c r="L904"/>
      <c r="M904"/>
      <c r="N904"/>
      <c r="O904"/>
      <c r="P904"/>
      <c r="Q904"/>
      <c r="R904"/>
    </row>
    <row r="905" spans="4:18" s="23" customFormat="1" ht="15.75" customHeight="1">
      <c r="D905" s="24"/>
      <c r="E905" s="24"/>
      <c r="F905" s="26"/>
      <c r="G905" s="26"/>
      <c r="H905" s="26"/>
      <c r="I905" s="26"/>
      <c r="J905" s="24"/>
      <c r="K905"/>
      <c r="L905"/>
      <c r="M905"/>
      <c r="N905"/>
      <c r="O905"/>
      <c r="P905"/>
      <c r="Q905"/>
      <c r="R905"/>
    </row>
    <row r="906" spans="4:18" s="23" customFormat="1" ht="15.75" customHeight="1">
      <c r="D906" s="24"/>
      <c r="E906" s="24"/>
      <c r="F906" s="26"/>
      <c r="G906" s="26"/>
      <c r="H906" s="26"/>
      <c r="I906" s="26"/>
      <c r="J906" s="24"/>
      <c r="K906"/>
      <c r="L906"/>
      <c r="M906"/>
      <c r="N906"/>
      <c r="O906"/>
      <c r="P906"/>
      <c r="Q906"/>
      <c r="R906"/>
    </row>
    <row r="907" spans="4:18" s="23" customFormat="1" ht="15.75" customHeight="1">
      <c r="D907" s="24"/>
      <c r="E907" s="24"/>
      <c r="F907" s="26"/>
      <c r="G907" s="26"/>
      <c r="H907" s="26"/>
      <c r="I907" s="26"/>
      <c r="J907" s="24"/>
      <c r="K907"/>
      <c r="L907"/>
      <c r="M907"/>
      <c r="N907"/>
      <c r="O907"/>
      <c r="P907"/>
      <c r="Q907"/>
      <c r="R907"/>
    </row>
    <row r="908" spans="4:18" s="23" customFormat="1" ht="15.75" customHeight="1">
      <c r="D908" s="24"/>
      <c r="E908" s="24"/>
      <c r="F908" s="26"/>
      <c r="G908" s="26"/>
      <c r="H908" s="26"/>
      <c r="I908" s="26"/>
      <c r="J908" s="24"/>
      <c r="K908"/>
      <c r="L908"/>
      <c r="M908"/>
      <c r="N908"/>
      <c r="O908"/>
      <c r="P908"/>
      <c r="Q908"/>
      <c r="R908"/>
    </row>
    <row r="909" spans="4:18" s="23" customFormat="1" ht="15.75" customHeight="1">
      <c r="D909" s="24"/>
      <c r="E909" s="24"/>
      <c r="F909" s="26"/>
      <c r="G909" s="26"/>
      <c r="H909" s="26"/>
      <c r="I909" s="26"/>
      <c r="J909" s="24"/>
      <c r="K909"/>
      <c r="L909"/>
      <c r="M909"/>
      <c r="N909"/>
      <c r="O909"/>
      <c r="P909"/>
      <c r="Q909"/>
      <c r="R909"/>
    </row>
    <row r="910" spans="4:18" s="23" customFormat="1" ht="15.75" customHeight="1">
      <c r="D910" s="24"/>
      <c r="E910" s="24"/>
      <c r="F910" s="26"/>
      <c r="G910" s="26"/>
      <c r="H910" s="26"/>
      <c r="I910" s="26"/>
      <c r="J910" s="24"/>
      <c r="K910"/>
      <c r="L910"/>
      <c r="M910"/>
      <c r="N910"/>
      <c r="O910"/>
      <c r="P910"/>
      <c r="Q910"/>
      <c r="R910"/>
    </row>
    <row r="911" spans="4:18" s="23" customFormat="1" ht="15.75" customHeight="1">
      <c r="D911" s="24"/>
      <c r="E911" s="24"/>
      <c r="F911" s="26"/>
      <c r="G911" s="26"/>
      <c r="H911" s="26"/>
      <c r="I911" s="26"/>
      <c r="J911" s="24"/>
      <c r="K911"/>
      <c r="L911"/>
      <c r="M911"/>
      <c r="N911"/>
      <c r="O911"/>
      <c r="P911"/>
      <c r="Q911"/>
      <c r="R911"/>
    </row>
    <row r="912" spans="4:18" s="23" customFormat="1" ht="15.75" customHeight="1">
      <c r="D912" s="24"/>
      <c r="E912" s="24"/>
      <c r="F912" s="26"/>
      <c r="G912" s="26"/>
      <c r="H912" s="26"/>
      <c r="I912" s="26"/>
      <c r="J912" s="24"/>
      <c r="K912"/>
      <c r="L912"/>
      <c r="M912"/>
      <c r="N912"/>
      <c r="O912"/>
      <c r="P912"/>
      <c r="Q912"/>
      <c r="R912"/>
    </row>
    <row r="913" spans="4:18" s="23" customFormat="1" ht="15.75" customHeight="1">
      <c r="D913" s="24"/>
      <c r="E913" s="24"/>
      <c r="F913" s="26"/>
      <c r="G913" s="26"/>
      <c r="H913" s="26"/>
      <c r="I913" s="26"/>
      <c r="J913" s="24"/>
      <c r="K913"/>
      <c r="L913"/>
      <c r="M913"/>
      <c r="N913"/>
      <c r="O913"/>
      <c r="P913"/>
      <c r="Q913"/>
      <c r="R913"/>
    </row>
    <row r="914" spans="4:18" s="23" customFormat="1" ht="15.75" customHeight="1">
      <c r="D914" s="24"/>
      <c r="E914" s="24"/>
      <c r="F914" s="26"/>
      <c r="G914" s="26"/>
      <c r="H914" s="26"/>
      <c r="I914" s="26"/>
      <c r="J914" s="24"/>
      <c r="K914"/>
      <c r="L914"/>
      <c r="M914"/>
      <c r="N914"/>
      <c r="O914"/>
      <c r="P914"/>
      <c r="Q914"/>
      <c r="R914"/>
    </row>
    <row r="915" spans="4:18" s="23" customFormat="1" ht="15.75" customHeight="1">
      <c r="D915" s="24"/>
      <c r="E915" s="24"/>
      <c r="F915" s="26"/>
      <c r="G915" s="26"/>
      <c r="H915" s="26"/>
      <c r="I915" s="26"/>
      <c r="J915" s="24"/>
      <c r="K915"/>
      <c r="L915"/>
      <c r="M915"/>
      <c r="N915"/>
      <c r="O915"/>
      <c r="P915"/>
      <c r="Q915"/>
      <c r="R915"/>
    </row>
    <row r="916" spans="4:18" s="23" customFormat="1" ht="15.75" customHeight="1">
      <c r="D916" s="24"/>
      <c r="E916" s="24"/>
      <c r="F916" s="26"/>
      <c r="G916" s="26"/>
      <c r="H916" s="26"/>
      <c r="I916" s="26"/>
      <c r="J916" s="24"/>
      <c r="K916"/>
      <c r="L916"/>
      <c r="M916"/>
      <c r="N916"/>
      <c r="O916"/>
      <c r="P916"/>
      <c r="Q916"/>
      <c r="R916"/>
    </row>
    <row r="917" spans="4:18" s="23" customFormat="1" ht="15.75" customHeight="1">
      <c r="D917" s="24"/>
      <c r="E917" s="24"/>
      <c r="F917" s="26"/>
      <c r="G917" s="26"/>
      <c r="H917" s="26"/>
      <c r="I917" s="26"/>
      <c r="J917" s="24"/>
      <c r="K917"/>
      <c r="L917"/>
      <c r="M917"/>
      <c r="N917"/>
      <c r="O917"/>
      <c r="P917"/>
      <c r="Q917"/>
      <c r="R917"/>
    </row>
    <row r="918" spans="4:18" s="23" customFormat="1" ht="15.75" customHeight="1">
      <c r="D918" s="24"/>
      <c r="E918" s="24"/>
      <c r="F918" s="26"/>
      <c r="G918" s="26"/>
      <c r="H918" s="26"/>
      <c r="I918" s="26"/>
      <c r="J918" s="24"/>
      <c r="K918"/>
      <c r="L918"/>
      <c r="M918"/>
      <c r="N918"/>
      <c r="O918"/>
      <c r="P918"/>
      <c r="Q918"/>
      <c r="R918"/>
    </row>
    <row r="919" spans="4:18" s="23" customFormat="1" ht="15.75" customHeight="1">
      <c r="D919" s="24"/>
      <c r="E919" s="24"/>
      <c r="F919" s="26"/>
      <c r="G919" s="26"/>
      <c r="H919" s="26"/>
      <c r="I919" s="26"/>
      <c r="J919" s="24"/>
      <c r="K919"/>
      <c r="L919"/>
      <c r="M919"/>
      <c r="N919"/>
      <c r="O919"/>
      <c r="P919"/>
      <c r="Q919"/>
      <c r="R919"/>
    </row>
    <row r="920" spans="4:18" s="23" customFormat="1" ht="15.75" customHeight="1">
      <c r="D920" s="24"/>
      <c r="E920" s="24"/>
      <c r="F920" s="26"/>
      <c r="G920" s="26"/>
      <c r="H920" s="26"/>
      <c r="I920" s="26"/>
      <c r="J920" s="24"/>
      <c r="K920"/>
      <c r="L920"/>
      <c r="M920"/>
      <c r="N920"/>
      <c r="O920"/>
      <c r="P920"/>
      <c r="Q920"/>
      <c r="R920"/>
    </row>
    <row r="921" spans="4:18" s="23" customFormat="1" ht="15.75" customHeight="1">
      <c r="D921" s="24"/>
      <c r="E921" s="24"/>
      <c r="F921" s="26"/>
      <c r="G921" s="26"/>
      <c r="H921" s="26"/>
      <c r="I921" s="26"/>
      <c r="J921" s="24"/>
      <c r="K921"/>
      <c r="L921"/>
      <c r="M921"/>
      <c r="N921"/>
      <c r="O921"/>
      <c r="P921"/>
      <c r="Q921"/>
      <c r="R921"/>
    </row>
    <row r="922" spans="4:18" s="23" customFormat="1" ht="15.75" customHeight="1">
      <c r="D922" s="24"/>
      <c r="E922" s="24"/>
      <c r="F922" s="26"/>
      <c r="G922" s="26"/>
      <c r="H922" s="26"/>
      <c r="I922" s="26"/>
      <c r="J922" s="24"/>
      <c r="K922"/>
      <c r="L922"/>
      <c r="M922"/>
      <c r="N922"/>
      <c r="O922"/>
      <c r="P922"/>
      <c r="Q922"/>
      <c r="R922"/>
    </row>
    <row r="923" spans="4:18" s="23" customFormat="1" ht="15.75" customHeight="1">
      <c r="D923" s="24"/>
      <c r="E923" s="24"/>
      <c r="F923" s="26"/>
      <c r="G923" s="26"/>
      <c r="H923" s="26"/>
      <c r="I923" s="26"/>
      <c r="J923" s="24"/>
      <c r="K923"/>
      <c r="L923"/>
      <c r="M923"/>
      <c r="N923"/>
      <c r="O923"/>
      <c r="P923"/>
      <c r="Q923"/>
      <c r="R923"/>
    </row>
    <row r="924" spans="4:18" s="23" customFormat="1" ht="15.75" customHeight="1">
      <c r="D924" s="24"/>
      <c r="E924" s="24"/>
      <c r="F924" s="26"/>
      <c r="G924" s="26"/>
      <c r="H924" s="26"/>
      <c r="I924" s="26"/>
      <c r="J924" s="24"/>
      <c r="K924"/>
      <c r="L924"/>
      <c r="M924"/>
      <c r="N924"/>
      <c r="O924"/>
      <c r="P924"/>
      <c r="Q924"/>
      <c r="R924"/>
    </row>
    <row r="925" spans="4:18" s="23" customFormat="1" ht="15.75" customHeight="1">
      <c r="D925" s="24"/>
      <c r="E925" s="24"/>
      <c r="F925" s="26"/>
      <c r="G925" s="26"/>
      <c r="H925" s="26"/>
      <c r="I925" s="26"/>
      <c r="J925" s="24"/>
      <c r="K925"/>
      <c r="L925"/>
      <c r="M925"/>
      <c r="N925"/>
      <c r="O925"/>
      <c r="P925"/>
      <c r="Q925"/>
      <c r="R925"/>
    </row>
    <row r="926" spans="4:18" s="23" customFormat="1" ht="15.75" customHeight="1">
      <c r="D926" s="24"/>
      <c r="E926" s="24"/>
      <c r="F926" s="26"/>
      <c r="G926" s="26"/>
      <c r="H926" s="26"/>
      <c r="I926" s="26"/>
      <c r="J926" s="24"/>
      <c r="K926"/>
      <c r="L926"/>
      <c r="M926"/>
      <c r="N926"/>
      <c r="O926"/>
      <c r="P926"/>
      <c r="Q926"/>
      <c r="R926"/>
    </row>
    <row r="927" spans="4:18" s="23" customFormat="1" ht="15.75" customHeight="1">
      <c r="D927" s="24"/>
      <c r="E927" s="24"/>
      <c r="F927" s="26"/>
      <c r="G927" s="26"/>
      <c r="H927" s="26"/>
      <c r="I927" s="26"/>
      <c r="J927" s="24"/>
      <c r="K927"/>
      <c r="L927"/>
      <c r="M927"/>
      <c r="N927"/>
      <c r="O927"/>
      <c r="P927"/>
      <c r="Q927"/>
      <c r="R927"/>
    </row>
    <row r="928" spans="4:18" s="23" customFormat="1" ht="15.75" customHeight="1">
      <c r="D928" s="24"/>
      <c r="E928" s="24"/>
      <c r="F928" s="26"/>
      <c r="G928" s="26"/>
      <c r="H928" s="26"/>
      <c r="I928" s="26"/>
      <c r="J928" s="24"/>
      <c r="K928"/>
      <c r="L928"/>
      <c r="M928"/>
      <c r="N928"/>
      <c r="O928"/>
      <c r="P928"/>
      <c r="Q928"/>
      <c r="R928"/>
    </row>
    <row r="929" spans="4:18" s="23" customFormat="1" ht="15.75" customHeight="1">
      <c r="D929" s="24"/>
      <c r="E929" s="24"/>
      <c r="F929" s="26"/>
      <c r="G929" s="26"/>
      <c r="H929" s="26"/>
      <c r="I929" s="26"/>
      <c r="J929" s="24"/>
      <c r="K929"/>
      <c r="L929"/>
      <c r="M929"/>
      <c r="N929"/>
      <c r="O929"/>
      <c r="P929"/>
      <c r="Q929"/>
      <c r="R929"/>
    </row>
    <row r="930" spans="4:18" s="23" customFormat="1" ht="15.75" customHeight="1">
      <c r="D930" s="24"/>
      <c r="E930" s="24"/>
      <c r="F930" s="26"/>
      <c r="G930" s="26"/>
      <c r="H930" s="26"/>
      <c r="I930" s="26"/>
      <c r="J930" s="24"/>
      <c r="K930"/>
      <c r="L930"/>
      <c r="M930"/>
      <c r="N930"/>
      <c r="O930"/>
      <c r="P930"/>
      <c r="Q930"/>
      <c r="R930"/>
    </row>
    <row r="931" spans="4:18" s="23" customFormat="1" ht="15.75" customHeight="1">
      <c r="D931" s="24"/>
      <c r="E931" s="24"/>
      <c r="F931" s="26"/>
      <c r="G931" s="26"/>
      <c r="H931" s="26"/>
      <c r="I931" s="26"/>
      <c r="J931" s="24"/>
      <c r="K931"/>
      <c r="L931"/>
      <c r="M931"/>
      <c r="N931"/>
      <c r="O931"/>
      <c r="P931"/>
      <c r="Q931"/>
      <c r="R931"/>
    </row>
    <row r="932" spans="4:18" s="23" customFormat="1" ht="15.75" customHeight="1">
      <c r="D932" s="24"/>
      <c r="E932" s="24"/>
      <c r="F932" s="26"/>
      <c r="G932" s="26"/>
      <c r="H932" s="26"/>
      <c r="I932" s="26"/>
      <c r="J932" s="24"/>
      <c r="K932"/>
      <c r="L932"/>
      <c r="M932"/>
      <c r="N932"/>
      <c r="O932"/>
      <c r="P932"/>
      <c r="Q932"/>
      <c r="R932"/>
    </row>
    <row r="933" spans="4:18" s="23" customFormat="1" ht="15.75" customHeight="1">
      <c r="D933" s="24"/>
      <c r="E933" s="24"/>
      <c r="F933" s="26"/>
      <c r="G933" s="26"/>
      <c r="H933" s="26"/>
      <c r="I933" s="26"/>
      <c r="J933" s="24"/>
      <c r="K933"/>
      <c r="L933"/>
      <c r="M933"/>
      <c r="N933"/>
      <c r="O933"/>
      <c r="P933"/>
      <c r="Q933"/>
      <c r="R933"/>
    </row>
    <row r="934" spans="4:18" s="23" customFormat="1" ht="15.75" customHeight="1">
      <c r="D934" s="24"/>
      <c r="E934" s="24"/>
      <c r="F934" s="26"/>
      <c r="G934" s="26"/>
      <c r="H934" s="26"/>
      <c r="I934" s="26"/>
      <c r="J934" s="24"/>
      <c r="K934"/>
      <c r="L934"/>
      <c r="M934"/>
      <c r="N934"/>
      <c r="O934"/>
      <c r="P934"/>
      <c r="Q934"/>
      <c r="R934"/>
    </row>
    <row r="935" spans="4:18" s="23" customFormat="1" ht="15.75" customHeight="1">
      <c r="D935" s="24"/>
      <c r="E935" s="24"/>
      <c r="F935" s="26"/>
      <c r="G935" s="26"/>
      <c r="H935" s="26"/>
      <c r="I935" s="26"/>
      <c r="J935" s="24"/>
      <c r="K935"/>
      <c r="L935"/>
      <c r="M935"/>
      <c r="N935"/>
      <c r="O935"/>
      <c r="P935"/>
      <c r="Q935"/>
      <c r="R935"/>
    </row>
    <row r="936" spans="4:18" s="23" customFormat="1" ht="15.75" customHeight="1">
      <c r="D936" s="24"/>
      <c r="E936" s="24"/>
      <c r="F936" s="26"/>
      <c r="G936" s="26"/>
      <c r="H936" s="26"/>
      <c r="I936" s="26"/>
      <c r="J936" s="24"/>
      <c r="K936"/>
      <c r="L936"/>
      <c r="M936"/>
      <c r="N936"/>
      <c r="O936"/>
      <c r="P936"/>
      <c r="Q936"/>
      <c r="R936"/>
    </row>
    <row r="937" spans="4:18" s="23" customFormat="1" ht="15.75" customHeight="1">
      <c r="D937" s="24"/>
      <c r="E937" s="24"/>
      <c r="F937" s="26"/>
      <c r="G937" s="26"/>
      <c r="H937" s="26"/>
      <c r="I937" s="26"/>
      <c r="J937" s="24"/>
      <c r="K937"/>
      <c r="L937"/>
      <c r="M937"/>
      <c r="N937"/>
      <c r="O937"/>
      <c r="P937"/>
      <c r="Q937"/>
      <c r="R937"/>
    </row>
    <row r="938" spans="4:18" s="23" customFormat="1" ht="15.75" customHeight="1">
      <c r="D938" s="24"/>
      <c r="E938" s="24"/>
      <c r="F938" s="26"/>
      <c r="G938" s="26"/>
      <c r="H938" s="26"/>
      <c r="I938" s="26"/>
      <c r="J938" s="24"/>
      <c r="K938"/>
      <c r="L938"/>
      <c r="M938"/>
      <c r="N938"/>
      <c r="O938"/>
      <c r="P938"/>
      <c r="Q938"/>
      <c r="R938"/>
    </row>
    <row r="939" spans="4:18" s="23" customFormat="1" ht="15.75" customHeight="1">
      <c r="D939" s="24"/>
      <c r="E939" s="24"/>
      <c r="F939" s="26"/>
      <c r="G939" s="26"/>
      <c r="H939" s="26"/>
      <c r="I939" s="26"/>
      <c r="J939" s="24"/>
      <c r="K939"/>
      <c r="L939"/>
      <c r="M939"/>
      <c r="N939"/>
      <c r="O939"/>
      <c r="P939"/>
      <c r="Q939"/>
      <c r="R939"/>
    </row>
    <row r="940" spans="4:18" s="23" customFormat="1" ht="15.75" customHeight="1">
      <c r="D940" s="24"/>
      <c r="E940" s="24"/>
      <c r="F940" s="26"/>
      <c r="G940" s="26"/>
      <c r="H940" s="26"/>
      <c r="I940" s="26"/>
      <c r="J940" s="24"/>
      <c r="K940"/>
      <c r="L940"/>
      <c r="M940"/>
      <c r="N940"/>
      <c r="O940"/>
      <c r="P940"/>
      <c r="Q940"/>
      <c r="R940"/>
    </row>
    <row r="941" spans="4:18" s="23" customFormat="1" ht="15.75" customHeight="1">
      <c r="D941" s="24"/>
      <c r="E941" s="24"/>
      <c r="F941" s="26"/>
      <c r="G941" s="26"/>
      <c r="H941" s="26"/>
      <c r="I941" s="26"/>
      <c r="J941" s="24"/>
      <c r="K941"/>
      <c r="L941"/>
      <c r="M941"/>
      <c r="N941"/>
      <c r="O941"/>
      <c r="P941"/>
      <c r="Q941"/>
      <c r="R941"/>
    </row>
    <row r="942" spans="4:18" s="23" customFormat="1" ht="15.75" customHeight="1">
      <c r="D942" s="24"/>
      <c r="E942" s="24"/>
      <c r="F942" s="26"/>
      <c r="G942" s="26"/>
      <c r="H942" s="26"/>
      <c r="I942" s="26"/>
      <c r="J942" s="24"/>
      <c r="K942"/>
      <c r="L942"/>
      <c r="M942"/>
      <c r="N942"/>
      <c r="O942"/>
      <c r="P942"/>
      <c r="Q942"/>
      <c r="R942"/>
    </row>
    <row r="943" spans="4:18" s="23" customFormat="1" ht="15.75" customHeight="1">
      <c r="D943" s="24"/>
      <c r="E943" s="24"/>
      <c r="F943" s="26"/>
      <c r="G943" s="26"/>
      <c r="H943" s="26"/>
      <c r="I943" s="26"/>
      <c r="J943" s="24"/>
      <c r="K943"/>
      <c r="L943"/>
      <c r="M943"/>
      <c r="N943"/>
      <c r="O943"/>
      <c r="P943"/>
      <c r="Q943"/>
      <c r="R943"/>
    </row>
    <row r="944" spans="4:18" s="23" customFormat="1" ht="15.75" customHeight="1">
      <c r="D944" s="24"/>
      <c r="E944" s="24"/>
      <c r="F944" s="26"/>
      <c r="G944" s="26"/>
      <c r="H944" s="26"/>
      <c r="I944" s="26"/>
      <c r="J944" s="24"/>
      <c r="K944"/>
      <c r="L944"/>
      <c r="M944"/>
      <c r="N944"/>
      <c r="O944"/>
      <c r="P944"/>
      <c r="Q944"/>
      <c r="R944"/>
    </row>
    <row r="945" spans="4:18" s="23" customFormat="1" ht="15.75" customHeight="1">
      <c r="D945" s="24"/>
      <c r="E945" s="24"/>
      <c r="F945" s="26"/>
      <c r="G945" s="26"/>
      <c r="H945" s="26"/>
      <c r="I945" s="26"/>
      <c r="J945" s="24"/>
      <c r="K945"/>
      <c r="L945"/>
      <c r="M945"/>
      <c r="N945"/>
      <c r="O945"/>
      <c r="P945"/>
      <c r="Q945"/>
      <c r="R945"/>
    </row>
    <row r="946" spans="4:18" s="23" customFormat="1" ht="15.75" customHeight="1">
      <c r="D946" s="24"/>
      <c r="E946" s="24"/>
      <c r="F946" s="26"/>
      <c r="G946" s="26"/>
      <c r="H946" s="26"/>
      <c r="I946" s="26"/>
      <c r="J946" s="24"/>
      <c r="K946"/>
      <c r="L946"/>
      <c r="M946"/>
      <c r="N946"/>
      <c r="O946"/>
      <c r="P946"/>
      <c r="Q946"/>
      <c r="R946"/>
    </row>
    <row r="947" spans="4:18" s="23" customFormat="1" ht="15.75" customHeight="1">
      <c r="D947" s="24"/>
      <c r="E947" s="24"/>
      <c r="F947" s="26"/>
      <c r="G947" s="26"/>
      <c r="H947" s="26"/>
      <c r="I947" s="26"/>
      <c r="J947" s="24"/>
      <c r="K947"/>
      <c r="L947"/>
      <c r="M947"/>
      <c r="N947"/>
      <c r="O947"/>
      <c r="P947"/>
      <c r="Q947"/>
      <c r="R947"/>
    </row>
    <row r="948" spans="4:18" s="23" customFormat="1" ht="15.75" customHeight="1">
      <c r="D948" s="24"/>
      <c r="E948" s="24"/>
      <c r="F948" s="26"/>
      <c r="G948" s="26"/>
      <c r="H948" s="26"/>
      <c r="I948" s="26"/>
      <c r="J948" s="24"/>
      <c r="K948"/>
      <c r="L948"/>
      <c r="M948"/>
      <c r="N948"/>
      <c r="O948"/>
      <c r="P948"/>
      <c r="Q948"/>
      <c r="R948"/>
    </row>
    <row r="949" spans="4:18" s="23" customFormat="1" ht="15.75" customHeight="1">
      <c r="D949" s="24"/>
      <c r="E949" s="24"/>
      <c r="F949" s="26"/>
      <c r="G949" s="26"/>
      <c r="H949" s="26"/>
      <c r="I949" s="26"/>
      <c r="J949" s="24"/>
      <c r="K949"/>
      <c r="L949"/>
      <c r="M949"/>
      <c r="N949"/>
      <c r="O949"/>
      <c r="P949"/>
      <c r="Q949"/>
      <c r="R949"/>
    </row>
    <row r="950" spans="4:18" s="23" customFormat="1" ht="15.75" customHeight="1">
      <c r="D950" s="24"/>
      <c r="E950" s="24"/>
      <c r="F950" s="26"/>
      <c r="G950" s="26"/>
      <c r="H950" s="26"/>
      <c r="I950" s="26"/>
      <c r="J950" s="24"/>
      <c r="K950"/>
      <c r="L950"/>
      <c r="M950"/>
      <c r="N950"/>
      <c r="O950"/>
      <c r="P950"/>
      <c r="Q950"/>
      <c r="R950"/>
    </row>
    <row r="951" spans="4:18" s="23" customFormat="1" ht="15.75" customHeight="1">
      <c r="D951" s="24"/>
      <c r="E951" s="24"/>
      <c r="F951" s="26"/>
      <c r="G951" s="26"/>
      <c r="H951" s="26"/>
      <c r="I951" s="26"/>
      <c r="J951" s="24"/>
      <c r="K951"/>
      <c r="L951"/>
      <c r="M951"/>
      <c r="N951"/>
      <c r="O951"/>
      <c r="P951"/>
      <c r="Q951"/>
      <c r="R951"/>
    </row>
    <row r="952" spans="4:18" s="23" customFormat="1" ht="15.75" customHeight="1">
      <c r="D952" s="24"/>
      <c r="E952" s="24"/>
      <c r="F952" s="26"/>
      <c r="G952" s="26"/>
      <c r="H952" s="26"/>
      <c r="I952" s="26"/>
      <c r="J952" s="24"/>
      <c r="K952"/>
      <c r="L952"/>
      <c r="M952"/>
      <c r="N952"/>
      <c r="O952"/>
      <c r="P952"/>
      <c r="Q952"/>
      <c r="R952"/>
    </row>
    <row r="953" spans="4:18" s="23" customFormat="1" ht="15.75" customHeight="1">
      <c r="D953" s="24"/>
      <c r="E953" s="24"/>
      <c r="F953" s="26"/>
      <c r="G953" s="26"/>
      <c r="H953" s="26"/>
      <c r="I953" s="26"/>
      <c r="J953" s="24"/>
      <c r="K953"/>
      <c r="L953"/>
      <c r="M953"/>
      <c r="N953"/>
      <c r="O953"/>
      <c r="P953"/>
      <c r="Q953"/>
      <c r="R953"/>
    </row>
    <row r="954" spans="4:18" s="23" customFormat="1" ht="15.75" customHeight="1">
      <c r="D954" s="24"/>
      <c r="E954" s="24"/>
      <c r="F954" s="26"/>
      <c r="G954" s="26"/>
      <c r="H954" s="26"/>
      <c r="I954" s="26"/>
      <c r="J954" s="24"/>
      <c r="K954"/>
      <c r="L954"/>
      <c r="M954"/>
      <c r="N954"/>
      <c r="O954"/>
      <c r="P954"/>
      <c r="Q954"/>
      <c r="R954"/>
    </row>
    <row r="955" spans="4:18" s="23" customFormat="1" ht="15.75" customHeight="1">
      <c r="D955" s="24"/>
      <c r="E955" s="24"/>
      <c r="F955" s="26"/>
      <c r="G955" s="26"/>
      <c r="H955" s="26"/>
      <c r="I955" s="26"/>
      <c r="J955" s="24"/>
      <c r="K955"/>
      <c r="L955"/>
      <c r="M955"/>
      <c r="N955"/>
      <c r="O955"/>
      <c r="P955"/>
      <c r="Q955"/>
      <c r="R955"/>
    </row>
    <row r="956" spans="4:18" s="23" customFormat="1" ht="15.75" customHeight="1">
      <c r="D956" s="24"/>
      <c r="E956" s="24"/>
      <c r="F956" s="26"/>
      <c r="G956" s="26"/>
      <c r="H956" s="26"/>
      <c r="I956" s="26"/>
      <c r="J956" s="24"/>
      <c r="K956"/>
      <c r="L956"/>
      <c r="M956"/>
      <c r="N956"/>
      <c r="O956"/>
      <c r="P956"/>
      <c r="Q956"/>
      <c r="R956"/>
    </row>
    <row r="957" spans="4:18" s="23" customFormat="1" ht="15.75" customHeight="1">
      <c r="D957" s="24"/>
      <c r="E957" s="24"/>
      <c r="F957" s="26"/>
      <c r="G957" s="26"/>
      <c r="H957" s="26"/>
      <c r="I957" s="26"/>
      <c r="J957" s="24"/>
      <c r="K957"/>
      <c r="L957"/>
      <c r="M957"/>
      <c r="N957"/>
      <c r="O957"/>
      <c r="P957"/>
      <c r="Q957"/>
      <c r="R957"/>
    </row>
    <row r="958" spans="4:18" s="23" customFormat="1" ht="15.75" customHeight="1">
      <c r="D958" s="24"/>
      <c r="E958" s="24"/>
      <c r="F958" s="26"/>
      <c r="G958" s="26"/>
      <c r="H958" s="26"/>
      <c r="I958" s="26"/>
      <c r="J958" s="24"/>
      <c r="K958"/>
      <c r="L958"/>
      <c r="M958"/>
      <c r="N958"/>
      <c r="O958"/>
      <c r="P958"/>
      <c r="Q958"/>
      <c r="R958"/>
    </row>
    <row r="959" spans="4:18" s="23" customFormat="1" ht="15.75" customHeight="1">
      <c r="D959" s="24"/>
      <c r="E959" s="24"/>
      <c r="F959" s="26"/>
      <c r="G959" s="26"/>
      <c r="H959" s="26"/>
      <c r="I959" s="26"/>
      <c r="J959" s="24"/>
      <c r="K959"/>
      <c r="L959"/>
      <c r="M959"/>
      <c r="N959"/>
      <c r="O959"/>
      <c r="P959"/>
      <c r="Q959"/>
      <c r="R959"/>
    </row>
    <row r="960" spans="4:18" s="23" customFormat="1" ht="15.75" customHeight="1">
      <c r="D960" s="24"/>
      <c r="E960" s="24"/>
      <c r="F960" s="26"/>
      <c r="G960" s="26"/>
      <c r="H960" s="26"/>
      <c r="I960" s="26"/>
      <c r="J960" s="24"/>
      <c r="K960"/>
      <c r="L960"/>
      <c r="M960"/>
      <c r="N960"/>
      <c r="O960"/>
      <c r="P960"/>
      <c r="Q960"/>
      <c r="R960"/>
    </row>
    <row r="961" spans="4:18" s="23" customFormat="1" ht="15.75" customHeight="1">
      <c r="D961" s="24"/>
      <c r="E961" s="24"/>
      <c r="F961" s="26"/>
      <c r="G961" s="26"/>
      <c r="H961" s="26"/>
      <c r="I961" s="26"/>
      <c r="J961" s="24"/>
      <c r="K961"/>
      <c r="L961"/>
      <c r="M961"/>
      <c r="N961"/>
      <c r="O961"/>
      <c r="P961"/>
      <c r="Q961"/>
      <c r="R961"/>
    </row>
    <row r="962" spans="4:18" s="23" customFormat="1" ht="15.75" customHeight="1">
      <c r="D962" s="24"/>
      <c r="E962" s="24"/>
      <c r="F962" s="26"/>
      <c r="G962" s="26"/>
      <c r="H962" s="26"/>
      <c r="I962" s="26"/>
      <c r="J962" s="24"/>
      <c r="K962"/>
      <c r="L962"/>
      <c r="M962"/>
      <c r="N962"/>
      <c r="O962"/>
      <c r="P962"/>
      <c r="Q962"/>
      <c r="R962"/>
    </row>
    <row r="963" spans="4:18" s="23" customFormat="1" ht="15.75" customHeight="1">
      <c r="D963" s="24"/>
      <c r="E963" s="24"/>
      <c r="F963" s="26"/>
      <c r="G963" s="26"/>
      <c r="H963" s="26"/>
      <c r="I963" s="26"/>
      <c r="J963" s="24"/>
      <c r="K963"/>
      <c r="L963"/>
      <c r="M963"/>
      <c r="N963"/>
      <c r="O963"/>
      <c r="P963"/>
      <c r="Q963"/>
      <c r="R963"/>
    </row>
    <row r="964" spans="4:18" s="23" customFormat="1" ht="15.75" customHeight="1">
      <c r="D964" s="24"/>
      <c r="E964" s="24"/>
      <c r="F964" s="26"/>
      <c r="G964" s="26"/>
      <c r="H964" s="26"/>
      <c r="I964" s="26"/>
      <c r="J964" s="24"/>
      <c r="K964"/>
      <c r="L964"/>
      <c r="M964"/>
      <c r="N964"/>
      <c r="O964"/>
      <c r="P964"/>
      <c r="Q964"/>
      <c r="R964"/>
    </row>
    <row r="965" spans="4:18" s="23" customFormat="1" ht="15.75" customHeight="1">
      <c r="D965" s="24"/>
      <c r="E965" s="24"/>
      <c r="F965" s="26"/>
      <c r="G965" s="26"/>
      <c r="H965" s="26"/>
      <c r="I965" s="26"/>
      <c r="J965" s="24"/>
      <c r="K965"/>
      <c r="L965"/>
      <c r="M965"/>
      <c r="N965"/>
      <c r="O965"/>
      <c r="P965"/>
      <c r="Q965"/>
      <c r="R965"/>
    </row>
    <row r="966" spans="4:18" s="23" customFormat="1" ht="15.75" customHeight="1">
      <c r="D966" s="24"/>
      <c r="E966" s="24"/>
      <c r="F966" s="26"/>
      <c r="G966" s="26"/>
      <c r="H966" s="26"/>
      <c r="I966" s="26"/>
      <c r="J966" s="24"/>
      <c r="K966"/>
      <c r="L966"/>
      <c r="M966"/>
      <c r="N966"/>
      <c r="O966"/>
      <c r="P966"/>
      <c r="Q966"/>
      <c r="R966"/>
    </row>
    <row r="967" spans="4:18" s="23" customFormat="1" ht="15.75" customHeight="1">
      <c r="D967" s="24"/>
      <c r="E967" s="24"/>
      <c r="F967" s="26"/>
      <c r="G967" s="26"/>
      <c r="H967" s="26"/>
      <c r="I967" s="26"/>
      <c r="J967" s="24"/>
      <c r="K967"/>
      <c r="L967"/>
      <c r="M967"/>
      <c r="N967"/>
      <c r="O967"/>
      <c r="P967"/>
      <c r="Q967"/>
      <c r="R967"/>
    </row>
    <row r="968" spans="4:18" s="23" customFormat="1" ht="15.75" customHeight="1">
      <c r="D968" s="24"/>
      <c r="E968" s="24"/>
      <c r="F968" s="26"/>
      <c r="G968" s="26"/>
      <c r="H968" s="26"/>
      <c r="I968" s="26"/>
      <c r="J968" s="24"/>
      <c r="K968"/>
      <c r="L968"/>
      <c r="M968"/>
      <c r="N968"/>
      <c r="O968"/>
      <c r="P968"/>
      <c r="Q968"/>
      <c r="R968"/>
    </row>
    <row r="969" spans="4:18" s="23" customFormat="1" ht="15.75" customHeight="1">
      <c r="D969" s="24"/>
      <c r="E969" s="24"/>
      <c r="F969" s="26"/>
      <c r="G969" s="26"/>
      <c r="H969" s="26"/>
      <c r="I969" s="26"/>
      <c r="J969" s="24"/>
      <c r="K969"/>
      <c r="L969"/>
      <c r="M969"/>
      <c r="N969"/>
      <c r="O969"/>
      <c r="P969"/>
      <c r="Q969"/>
      <c r="R969"/>
    </row>
    <row r="970" spans="4:18" s="23" customFormat="1" ht="15.75" customHeight="1">
      <c r="D970" s="24"/>
      <c r="E970" s="24"/>
      <c r="F970" s="26"/>
      <c r="G970" s="26"/>
      <c r="H970" s="26"/>
      <c r="I970" s="26"/>
      <c r="J970" s="24"/>
      <c r="K970"/>
      <c r="L970"/>
      <c r="M970"/>
      <c r="N970"/>
      <c r="O970"/>
      <c r="P970"/>
      <c r="Q970"/>
      <c r="R970"/>
    </row>
    <row r="971" spans="4:18" s="23" customFormat="1" ht="15.75" customHeight="1">
      <c r="D971" s="24"/>
      <c r="E971" s="24"/>
      <c r="F971" s="26"/>
      <c r="G971" s="26"/>
      <c r="H971" s="26"/>
      <c r="I971" s="26"/>
      <c r="J971" s="24"/>
      <c r="K971"/>
      <c r="L971"/>
      <c r="M971"/>
      <c r="N971"/>
      <c r="O971"/>
      <c r="P971"/>
      <c r="Q971"/>
      <c r="R971"/>
    </row>
    <row r="972" spans="4:18" s="23" customFormat="1" ht="15.75" customHeight="1">
      <c r="D972" s="24"/>
      <c r="E972" s="24"/>
      <c r="F972" s="26"/>
      <c r="G972" s="26"/>
      <c r="H972" s="26"/>
      <c r="I972" s="26"/>
      <c r="J972" s="24"/>
      <c r="K972"/>
      <c r="L972"/>
      <c r="M972"/>
      <c r="N972"/>
      <c r="O972"/>
      <c r="P972"/>
      <c r="Q972"/>
      <c r="R972"/>
    </row>
    <row r="973" spans="4:18" s="23" customFormat="1" ht="15.75" customHeight="1">
      <c r="D973" s="24"/>
      <c r="E973" s="24"/>
      <c r="F973" s="26"/>
      <c r="G973" s="26"/>
      <c r="H973" s="26"/>
      <c r="I973" s="26"/>
      <c r="J973" s="24"/>
      <c r="K973"/>
      <c r="L973"/>
      <c r="M973"/>
      <c r="N973"/>
      <c r="O973"/>
      <c r="P973"/>
      <c r="Q973"/>
      <c r="R973"/>
    </row>
    <row r="974" spans="4:18" s="23" customFormat="1" ht="15.75" customHeight="1">
      <c r="D974" s="24"/>
      <c r="E974" s="24"/>
      <c r="F974" s="26"/>
      <c r="G974" s="26"/>
      <c r="H974" s="26"/>
      <c r="I974" s="26"/>
      <c r="J974" s="24"/>
      <c r="K974"/>
      <c r="L974"/>
      <c r="M974"/>
      <c r="N974"/>
      <c r="O974"/>
      <c r="P974"/>
      <c r="Q974"/>
      <c r="R974"/>
    </row>
    <row r="975" spans="4:18" s="23" customFormat="1" ht="15.75" customHeight="1">
      <c r="D975" s="24"/>
      <c r="E975" s="24"/>
      <c r="F975" s="26"/>
      <c r="G975" s="26"/>
      <c r="H975" s="26"/>
      <c r="I975" s="26"/>
      <c r="J975" s="24"/>
      <c r="K975"/>
      <c r="L975"/>
      <c r="M975"/>
      <c r="N975"/>
      <c r="O975"/>
      <c r="P975"/>
      <c r="Q975"/>
      <c r="R975"/>
    </row>
    <row r="976" spans="4:18" s="23" customFormat="1" ht="15.75" customHeight="1">
      <c r="D976" s="24"/>
      <c r="E976" s="24"/>
      <c r="F976" s="26"/>
      <c r="G976" s="26"/>
      <c r="H976" s="26"/>
      <c r="I976" s="26"/>
      <c r="J976" s="24"/>
      <c r="K976"/>
      <c r="L976"/>
      <c r="M976"/>
      <c r="N976"/>
      <c r="O976"/>
      <c r="P976"/>
      <c r="Q976"/>
      <c r="R976"/>
    </row>
    <row r="977" spans="4:18" s="23" customFormat="1" ht="15.75" customHeight="1">
      <c r="D977" s="24"/>
      <c r="E977" s="24"/>
      <c r="F977" s="26"/>
      <c r="G977" s="26"/>
      <c r="H977" s="26"/>
      <c r="I977" s="26"/>
      <c r="J977" s="24"/>
      <c r="K977"/>
      <c r="L977"/>
      <c r="M977"/>
      <c r="N977"/>
      <c r="O977"/>
      <c r="P977"/>
      <c r="Q977"/>
      <c r="R977"/>
    </row>
    <row r="978" spans="4:18" s="23" customFormat="1" ht="15.75" customHeight="1">
      <c r="D978" s="24"/>
      <c r="E978" s="24"/>
      <c r="F978" s="26"/>
      <c r="G978" s="26"/>
      <c r="H978" s="26"/>
      <c r="I978" s="26"/>
      <c r="J978" s="24"/>
      <c r="K978"/>
      <c r="L978"/>
      <c r="M978"/>
      <c r="N978"/>
      <c r="O978"/>
      <c r="P978"/>
      <c r="Q978"/>
      <c r="R978"/>
    </row>
    <row r="979" spans="4:18" s="23" customFormat="1" ht="15.75" customHeight="1">
      <c r="D979" s="24"/>
      <c r="E979" s="24"/>
      <c r="F979" s="26"/>
      <c r="G979" s="26"/>
      <c r="H979" s="26"/>
      <c r="I979" s="26"/>
      <c r="J979" s="24"/>
      <c r="K979"/>
      <c r="L979"/>
      <c r="M979"/>
      <c r="N979"/>
      <c r="O979"/>
      <c r="P979"/>
      <c r="Q979"/>
      <c r="R979"/>
    </row>
    <row r="980" spans="4:18" s="23" customFormat="1" ht="15.75" customHeight="1">
      <c r="D980" s="24"/>
      <c r="E980" s="24"/>
      <c r="F980" s="26"/>
      <c r="G980" s="26"/>
      <c r="H980" s="26"/>
      <c r="I980" s="26"/>
      <c r="J980" s="24"/>
      <c r="K980"/>
      <c r="L980"/>
      <c r="M980"/>
      <c r="N980"/>
      <c r="O980"/>
      <c r="P980"/>
      <c r="Q980"/>
      <c r="R980"/>
    </row>
    <row r="981" spans="4:18" s="23" customFormat="1" ht="15.75" customHeight="1">
      <c r="D981" s="24"/>
      <c r="E981" s="24"/>
      <c r="F981" s="26"/>
      <c r="G981" s="26"/>
      <c r="H981" s="26"/>
      <c r="I981" s="26"/>
      <c r="J981" s="24"/>
      <c r="K981"/>
      <c r="L981"/>
      <c r="M981"/>
      <c r="N981"/>
      <c r="O981"/>
      <c r="P981"/>
      <c r="Q981"/>
      <c r="R981"/>
    </row>
    <row r="982" spans="4:18" s="23" customFormat="1" ht="15.75" customHeight="1">
      <c r="D982" s="24"/>
      <c r="E982" s="24"/>
      <c r="F982" s="26"/>
      <c r="G982" s="26"/>
      <c r="H982" s="26"/>
      <c r="I982" s="26"/>
      <c r="J982" s="24"/>
      <c r="K982"/>
      <c r="L982"/>
      <c r="M982"/>
      <c r="N982"/>
      <c r="O982"/>
      <c r="P982"/>
      <c r="Q982"/>
      <c r="R982"/>
    </row>
    <row r="983" spans="4:18" s="23" customFormat="1" ht="15.75" customHeight="1">
      <c r="D983" s="24"/>
      <c r="E983" s="24"/>
      <c r="F983" s="26"/>
      <c r="G983" s="26"/>
      <c r="H983" s="26"/>
      <c r="I983" s="26"/>
      <c r="J983" s="24"/>
      <c r="K983"/>
      <c r="L983"/>
      <c r="M983"/>
      <c r="N983"/>
      <c r="O983"/>
      <c r="P983"/>
      <c r="Q983"/>
      <c r="R983"/>
    </row>
    <row r="984" spans="4:18" s="23" customFormat="1" ht="15.75" customHeight="1">
      <c r="D984" s="24"/>
      <c r="E984" s="24"/>
      <c r="F984" s="26"/>
      <c r="G984" s="26"/>
      <c r="H984" s="26"/>
      <c r="I984" s="26"/>
      <c r="J984" s="24"/>
      <c r="K984"/>
      <c r="L984"/>
      <c r="M984"/>
      <c r="N984"/>
      <c r="O984"/>
      <c r="P984"/>
      <c r="Q984"/>
      <c r="R984"/>
    </row>
    <row r="985" spans="4:18" s="23" customFormat="1" ht="15.75" customHeight="1">
      <c r="D985" s="24"/>
      <c r="E985" s="24"/>
      <c r="F985" s="26"/>
      <c r="G985" s="26"/>
      <c r="H985" s="26"/>
      <c r="I985" s="26"/>
      <c r="J985" s="24"/>
      <c r="K985"/>
      <c r="L985"/>
      <c r="M985"/>
      <c r="N985"/>
      <c r="O985"/>
      <c r="P985"/>
      <c r="Q985"/>
      <c r="R985"/>
    </row>
    <row r="986" spans="4:18" s="23" customFormat="1" ht="15.75" customHeight="1">
      <c r="D986" s="24"/>
      <c r="E986" s="24"/>
      <c r="F986" s="26"/>
      <c r="G986" s="26"/>
      <c r="H986" s="26"/>
      <c r="I986" s="26"/>
      <c r="J986" s="24"/>
      <c r="K986"/>
      <c r="L986"/>
      <c r="M986"/>
      <c r="N986"/>
      <c r="O986"/>
      <c r="P986"/>
      <c r="Q986"/>
      <c r="R986"/>
    </row>
    <row r="987" spans="4:18" s="23" customFormat="1" ht="15.75" customHeight="1">
      <c r="D987" s="24"/>
      <c r="E987" s="24"/>
      <c r="F987" s="26"/>
      <c r="G987" s="26"/>
      <c r="H987" s="26"/>
      <c r="I987" s="26"/>
      <c r="J987" s="24"/>
      <c r="K987"/>
      <c r="L987"/>
      <c r="M987"/>
      <c r="N987"/>
      <c r="O987"/>
      <c r="P987"/>
      <c r="Q987"/>
      <c r="R987"/>
    </row>
    <row r="988" spans="4:18" s="23" customFormat="1" ht="15.75" customHeight="1">
      <c r="D988" s="24"/>
      <c r="E988" s="24"/>
      <c r="F988" s="26"/>
      <c r="G988" s="26"/>
      <c r="H988" s="26"/>
      <c r="I988" s="26"/>
      <c r="J988" s="24"/>
      <c r="K988"/>
      <c r="L988"/>
      <c r="M988"/>
      <c r="N988"/>
      <c r="O988"/>
      <c r="P988"/>
      <c r="Q988"/>
      <c r="R988"/>
    </row>
    <row r="989" spans="4:18" s="23" customFormat="1" ht="15.75" customHeight="1">
      <c r="D989" s="24"/>
      <c r="E989" s="24"/>
      <c r="F989" s="26"/>
      <c r="G989" s="26"/>
      <c r="H989" s="26"/>
      <c r="I989" s="26"/>
      <c r="J989" s="24"/>
      <c r="K989"/>
      <c r="L989"/>
      <c r="M989"/>
      <c r="N989"/>
      <c r="O989"/>
      <c r="P989"/>
      <c r="Q989"/>
      <c r="R989"/>
    </row>
    <row r="990" spans="4:18" s="23" customFormat="1" ht="15.75" customHeight="1">
      <c r="D990" s="24"/>
      <c r="E990" s="24"/>
      <c r="F990" s="26"/>
      <c r="G990" s="26"/>
      <c r="H990" s="26"/>
      <c r="I990" s="26"/>
      <c r="J990" s="24"/>
      <c r="K990"/>
      <c r="L990"/>
      <c r="M990"/>
      <c r="N990"/>
      <c r="O990"/>
      <c r="P990"/>
      <c r="Q990"/>
      <c r="R990"/>
    </row>
    <row r="991" spans="4:18" s="23" customFormat="1" ht="15.75" customHeight="1">
      <c r="D991" s="24"/>
      <c r="E991" s="24"/>
      <c r="F991" s="26"/>
      <c r="G991" s="26"/>
      <c r="H991" s="26"/>
      <c r="I991" s="26"/>
      <c r="J991" s="24"/>
      <c r="K991"/>
      <c r="L991"/>
      <c r="M991"/>
      <c r="N991"/>
      <c r="O991"/>
      <c r="P991"/>
      <c r="Q991"/>
      <c r="R991"/>
    </row>
    <row r="992" spans="4:18" s="23" customFormat="1" ht="15.75" customHeight="1">
      <c r="D992" s="24"/>
      <c r="E992" s="24"/>
      <c r="F992" s="26"/>
      <c r="G992" s="26"/>
      <c r="H992" s="26"/>
      <c r="I992" s="26"/>
      <c r="J992" s="24"/>
      <c r="K992"/>
      <c r="L992"/>
      <c r="M992"/>
      <c r="N992"/>
      <c r="O992"/>
      <c r="P992"/>
      <c r="Q992"/>
      <c r="R992"/>
    </row>
    <row r="993" spans="4:18" s="23" customFormat="1" ht="15.75" customHeight="1">
      <c r="D993" s="24"/>
      <c r="E993" s="24"/>
      <c r="F993" s="26"/>
      <c r="G993" s="26"/>
      <c r="H993" s="26"/>
      <c r="I993" s="26"/>
      <c r="J993" s="24"/>
      <c r="K993"/>
      <c r="L993"/>
      <c r="M993"/>
      <c r="N993"/>
      <c r="O993"/>
      <c r="P993"/>
      <c r="Q993"/>
      <c r="R993"/>
    </row>
    <row r="994" spans="4:18" s="23" customFormat="1" ht="15.75" customHeight="1">
      <c r="D994" s="24"/>
      <c r="E994" s="24"/>
      <c r="F994" s="26"/>
      <c r="G994" s="26"/>
      <c r="H994" s="26"/>
      <c r="I994" s="26"/>
      <c r="J994" s="24"/>
      <c r="K994"/>
      <c r="L994"/>
      <c r="M994"/>
      <c r="N994"/>
      <c r="O994"/>
      <c r="P994"/>
      <c r="Q994"/>
      <c r="R994"/>
    </row>
    <row r="995" spans="4:18" s="23" customFormat="1" ht="15.75" customHeight="1">
      <c r="D995" s="24"/>
      <c r="E995" s="24"/>
      <c r="F995" s="26"/>
      <c r="G995" s="26"/>
      <c r="H995" s="26"/>
      <c r="I995" s="26"/>
      <c r="J995" s="24"/>
      <c r="K995"/>
      <c r="L995"/>
      <c r="M995"/>
      <c r="N995"/>
      <c r="O995"/>
      <c r="P995"/>
      <c r="Q995"/>
      <c r="R995"/>
    </row>
    <row r="996" spans="4:18" s="23" customFormat="1" ht="15.75" customHeight="1">
      <c r="D996" s="24"/>
      <c r="E996" s="24"/>
      <c r="F996" s="26"/>
      <c r="G996" s="26"/>
      <c r="H996" s="26"/>
      <c r="I996" s="26"/>
      <c r="J996" s="24"/>
      <c r="K996"/>
      <c r="L996"/>
      <c r="M996"/>
      <c r="N996"/>
      <c r="O996"/>
      <c r="P996"/>
      <c r="Q996"/>
      <c r="R996"/>
    </row>
    <row r="997" spans="4:18" s="23" customFormat="1" ht="15.75" customHeight="1">
      <c r="D997" s="24"/>
      <c r="E997" s="24"/>
      <c r="F997" s="26"/>
      <c r="G997" s="26"/>
      <c r="H997" s="26"/>
      <c r="I997" s="26"/>
      <c r="J997" s="24"/>
      <c r="K997"/>
      <c r="L997"/>
      <c r="M997"/>
      <c r="N997"/>
      <c r="O997"/>
      <c r="P997"/>
      <c r="Q997"/>
      <c r="R997"/>
    </row>
    <row r="998" spans="4:18" s="23" customFormat="1" ht="15.75" customHeight="1">
      <c r="D998" s="24"/>
      <c r="E998" s="24"/>
      <c r="F998" s="26"/>
      <c r="G998" s="26"/>
      <c r="H998" s="26"/>
      <c r="I998" s="26"/>
      <c r="J998" s="24"/>
      <c r="K998"/>
      <c r="L998"/>
      <c r="M998"/>
      <c r="N998"/>
      <c r="O998"/>
      <c r="P998"/>
      <c r="Q998"/>
      <c r="R998"/>
    </row>
    <row r="999" spans="4:18" s="23" customFormat="1" ht="15.75" customHeight="1">
      <c r="D999" s="24"/>
      <c r="E999" s="24"/>
      <c r="F999" s="26"/>
      <c r="G999" s="26"/>
      <c r="H999" s="26"/>
      <c r="I999" s="26"/>
      <c r="J999" s="24"/>
      <c r="K999"/>
      <c r="L999"/>
      <c r="M999"/>
      <c r="N999"/>
      <c r="O999"/>
      <c r="P999"/>
      <c r="Q999"/>
      <c r="R999"/>
    </row>
    <row r="1000" spans="4:18" s="23" customFormat="1" ht="15.75" customHeight="1">
      <c r="D1000" s="24"/>
      <c r="E1000" s="24"/>
      <c r="F1000" s="26"/>
      <c r="G1000" s="26"/>
      <c r="H1000" s="26"/>
      <c r="I1000" s="26"/>
      <c r="J1000" s="24"/>
      <c r="K1000"/>
      <c r="L1000"/>
      <c r="M1000"/>
      <c r="N1000"/>
      <c r="O1000"/>
      <c r="P1000"/>
      <c r="Q1000"/>
      <c r="R1000"/>
    </row>
    <row r="1001" spans="4:18" s="23" customFormat="1" ht="15.75" customHeight="1">
      <c r="D1001" s="24"/>
      <c r="E1001" s="24"/>
      <c r="F1001" s="26"/>
      <c r="G1001" s="26"/>
      <c r="H1001" s="26"/>
      <c r="I1001" s="26"/>
      <c r="J1001" s="24"/>
      <c r="K1001"/>
      <c r="L1001"/>
      <c r="M1001"/>
      <c r="N1001"/>
      <c r="O1001"/>
      <c r="P1001"/>
      <c r="Q1001"/>
      <c r="R1001"/>
    </row>
    <row r="1002" spans="4:18" s="23" customFormat="1" ht="15.75" customHeight="1">
      <c r="D1002" s="24"/>
      <c r="E1002" s="24"/>
      <c r="F1002" s="26"/>
      <c r="G1002" s="26"/>
      <c r="H1002" s="26"/>
      <c r="I1002" s="26"/>
      <c r="J1002" s="24"/>
      <c r="K1002"/>
      <c r="L1002"/>
      <c r="M1002"/>
      <c r="N1002"/>
      <c r="O1002"/>
      <c r="P1002"/>
      <c r="Q1002"/>
      <c r="R1002"/>
    </row>
    <row r="1003" spans="4:18" s="23" customFormat="1" ht="15.75" customHeight="1">
      <c r="D1003" s="24"/>
      <c r="E1003" s="24"/>
      <c r="F1003" s="26"/>
      <c r="G1003" s="26"/>
      <c r="H1003" s="26"/>
      <c r="I1003" s="26"/>
      <c r="J1003" s="24"/>
      <c r="K1003"/>
      <c r="L1003"/>
      <c r="M1003"/>
      <c r="N1003"/>
      <c r="O1003"/>
      <c r="P1003"/>
      <c r="Q1003"/>
      <c r="R1003"/>
    </row>
    <row r="1004" spans="4:18" s="23" customFormat="1" ht="15.75" customHeight="1">
      <c r="D1004" s="24"/>
      <c r="E1004" s="24"/>
      <c r="F1004" s="26"/>
      <c r="G1004" s="26"/>
      <c r="H1004" s="26"/>
      <c r="I1004" s="26"/>
      <c r="J1004" s="24"/>
      <c r="K1004"/>
      <c r="L1004"/>
      <c r="M1004"/>
      <c r="N1004"/>
      <c r="O1004"/>
      <c r="P1004"/>
      <c r="Q1004"/>
      <c r="R1004"/>
    </row>
    <row r="1005" spans="4:18" s="23" customFormat="1" ht="15.75" customHeight="1">
      <c r="D1005" s="24"/>
      <c r="E1005" s="24"/>
      <c r="F1005" s="26"/>
      <c r="G1005" s="26"/>
      <c r="H1005" s="26"/>
      <c r="I1005" s="26"/>
      <c r="J1005" s="24"/>
      <c r="K1005"/>
      <c r="L1005"/>
      <c r="M1005"/>
      <c r="N1005"/>
      <c r="O1005"/>
      <c r="P1005"/>
      <c r="Q1005"/>
      <c r="R1005"/>
    </row>
  </sheetData>
  <sortState xmlns:xlrd2="http://schemas.microsoft.com/office/spreadsheetml/2017/richdata2" ref="C8:K17">
    <sortCondition descending="1" ref="K8:K17"/>
  </sortState>
  <mergeCells count="2">
    <mergeCell ref="N8:T18"/>
    <mergeCell ref="C6:K6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889C-5D6F-4936-9AC9-932F35E897A6}">
  <sheetPr>
    <tabColor theme="4" tint="-0.249977111117893"/>
  </sheetPr>
  <dimension ref="A3:U20"/>
  <sheetViews>
    <sheetView topLeftCell="B1" zoomScaleNormal="100" workbookViewId="0">
      <selection activeCell="K13" sqref="K13"/>
    </sheetView>
  </sheetViews>
  <sheetFormatPr defaultRowHeight="14.4"/>
  <cols>
    <col min="4" max="7" width="6.21875" customWidth="1"/>
    <col min="9" max="9" width="18.33203125" customWidth="1"/>
    <col min="10" max="10" width="13.5546875" customWidth="1"/>
    <col min="11" max="11" width="17.33203125" customWidth="1"/>
    <col min="12" max="12" width="21.21875" customWidth="1"/>
    <col min="13" max="13" width="11.77734375" customWidth="1"/>
    <col min="14" max="14" width="7.77734375" customWidth="1"/>
    <col min="15" max="15" width="7.33203125" customWidth="1"/>
    <col min="16" max="16" width="7.109375" bestFit="1" customWidth="1"/>
    <col min="17" max="17" width="8.44140625" bestFit="1" customWidth="1"/>
    <col min="18" max="18" width="16.6640625" bestFit="1" customWidth="1"/>
    <col min="19" max="19" width="7.109375" bestFit="1" customWidth="1"/>
    <col min="20" max="20" width="8.44140625" bestFit="1" customWidth="1"/>
    <col min="21" max="21" width="16.33203125" bestFit="1" customWidth="1"/>
    <col min="22" max="22" width="17.88671875" bestFit="1" customWidth="1"/>
    <col min="23" max="23" width="21.5546875" bestFit="1" customWidth="1"/>
  </cols>
  <sheetData>
    <row r="3" spans="1:21" ht="22.05" customHeight="1">
      <c r="J3" s="98" t="s">
        <v>347</v>
      </c>
      <c r="K3" s="98"/>
    </row>
    <row r="4" spans="1:21" ht="8.4" customHeight="1"/>
    <row r="5" spans="1:21" ht="24" customHeight="1">
      <c r="A5" s="52" t="s">
        <v>361</v>
      </c>
      <c r="B5" s="52"/>
      <c r="C5" s="52"/>
      <c r="D5" s="52"/>
      <c r="E5" s="52"/>
      <c r="F5" s="52"/>
      <c r="G5" s="55"/>
      <c r="H5" s="55"/>
      <c r="I5" s="55"/>
      <c r="J5" s="55"/>
      <c r="K5" s="55"/>
      <c r="L5" s="55"/>
      <c r="M5" s="55"/>
      <c r="N5" s="43"/>
      <c r="O5" s="43"/>
      <c r="P5" s="43"/>
      <c r="Q5" s="84"/>
      <c r="R5" s="84"/>
      <c r="S5" s="84"/>
      <c r="T5" s="84"/>
      <c r="U5" s="84"/>
    </row>
    <row r="6" spans="1:21" ht="15.6" customHeight="1"/>
    <row r="7" spans="1:21" ht="19.95" customHeight="1">
      <c r="I7" s="97" t="s">
        <v>348</v>
      </c>
      <c r="J7" s="97"/>
      <c r="K7" s="97"/>
      <c r="L7" s="97"/>
    </row>
    <row r="8" spans="1:21">
      <c r="I8" s="29" t="s">
        <v>349</v>
      </c>
      <c r="J8" s="4" t="s">
        <v>350</v>
      </c>
      <c r="K8" s="4" t="s">
        <v>351</v>
      </c>
      <c r="L8" s="4" t="s">
        <v>352</v>
      </c>
    </row>
    <row r="9" spans="1:21" ht="14.4" customHeight="1">
      <c r="I9" s="7" t="s">
        <v>14</v>
      </c>
      <c r="J9" s="30">
        <v>251473</v>
      </c>
      <c r="K9" s="30">
        <v>29285</v>
      </c>
      <c r="L9" s="8">
        <v>20818</v>
      </c>
      <c r="M9" s="30"/>
      <c r="N9" s="30"/>
    </row>
    <row r="10" spans="1:21" ht="14.4" customHeight="1">
      <c r="I10" s="31" t="s">
        <v>24</v>
      </c>
      <c r="J10" s="30">
        <v>61815</v>
      </c>
      <c r="K10" s="30">
        <v>7993</v>
      </c>
      <c r="L10" s="8">
        <v>5656</v>
      </c>
      <c r="M10" s="30"/>
      <c r="N10" s="30"/>
    </row>
    <row r="11" spans="1:21" ht="14.4" customHeight="1">
      <c r="I11" s="31" t="s">
        <v>15</v>
      </c>
      <c r="J11" s="30">
        <v>189658</v>
      </c>
      <c r="K11" s="30">
        <v>21292</v>
      </c>
      <c r="L11" s="8">
        <v>15162</v>
      </c>
      <c r="M11" s="30"/>
      <c r="N11" s="30"/>
      <c r="O11" s="99" t="s">
        <v>369</v>
      </c>
      <c r="P11" s="99"/>
      <c r="Q11" s="99"/>
      <c r="R11" s="99"/>
      <c r="S11" s="99"/>
    </row>
    <row r="12" spans="1:21">
      <c r="I12" s="64" t="s">
        <v>23</v>
      </c>
      <c r="J12" s="65">
        <v>450295</v>
      </c>
      <c r="K12" s="65">
        <v>45498</v>
      </c>
      <c r="L12" s="66">
        <v>31577</v>
      </c>
      <c r="M12" s="30"/>
      <c r="N12" s="30"/>
      <c r="O12" s="99"/>
      <c r="P12" s="99"/>
      <c r="Q12" s="99"/>
      <c r="R12" s="99"/>
      <c r="S12" s="99"/>
    </row>
    <row r="13" spans="1:21">
      <c r="I13" s="67" t="s">
        <v>24</v>
      </c>
      <c r="J13" s="68">
        <v>272103</v>
      </c>
      <c r="K13" s="68">
        <v>26494</v>
      </c>
      <c r="L13" s="69">
        <v>18442</v>
      </c>
      <c r="M13" s="30"/>
      <c r="N13" s="30"/>
      <c r="O13" s="99"/>
      <c r="P13" s="99"/>
      <c r="Q13" s="99"/>
      <c r="R13" s="99"/>
      <c r="S13" s="99"/>
    </row>
    <row r="14" spans="1:21">
      <c r="I14" s="31" t="s">
        <v>15</v>
      </c>
      <c r="J14" s="30">
        <v>178192</v>
      </c>
      <c r="K14" s="30">
        <v>19004</v>
      </c>
      <c r="L14" s="8">
        <v>13135</v>
      </c>
      <c r="M14" s="30"/>
      <c r="N14" s="30"/>
      <c r="O14" s="99"/>
      <c r="P14" s="99"/>
      <c r="Q14" s="99"/>
      <c r="R14" s="99"/>
      <c r="S14" s="99"/>
    </row>
    <row r="15" spans="1:21">
      <c r="I15" s="7" t="s">
        <v>29</v>
      </c>
      <c r="J15" s="30">
        <v>195407</v>
      </c>
      <c r="K15" s="30">
        <v>18618</v>
      </c>
      <c r="L15" s="8">
        <v>14671</v>
      </c>
      <c r="M15" s="30"/>
      <c r="N15" s="30"/>
      <c r="O15" s="99"/>
      <c r="P15" s="99"/>
      <c r="Q15" s="99"/>
      <c r="R15" s="99"/>
      <c r="S15" s="99"/>
    </row>
    <row r="16" spans="1:21">
      <c r="I16" s="31" t="s">
        <v>53</v>
      </c>
      <c r="J16" s="30">
        <v>89871</v>
      </c>
      <c r="K16" s="30">
        <v>9086</v>
      </c>
      <c r="L16" s="8">
        <v>6826</v>
      </c>
      <c r="M16" s="30"/>
      <c r="N16" s="30"/>
      <c r="O16" s="99"/>
      <c r="P16" s="99"/>
      <c r="Q16" s="99"/>
      <c r="R16" s="99"/>
      <c r="S16" s="99"/>
    </row>
    <row r="17" spans="9:19">
      <c r="I17" s="31" t="s">
        <v>15</v>
      </c>
      <c r="J17" s="30">
        <v>105536</v>
      </c>
      <c r="K17" s="30">
        <v>9532</v>
      </c>
      <c r="L17" s="8">
        <v>7845</v>
      </c>
      <c r="M17" s="30"/>
      <c r="N17" s="30"/>
      <c r="O17" s="99"/>
      <c r="P17" s="99"/>
      <c r="Q17" s="99"/>
      <c r="R17" s="99"/>
      <c r="S17" s="99"/>
    </row>
    <row r="18" spans="9:19">
      <c r="I18" s="28" t="s">
        <v>337</v>
      </c>
      <c r="J18" s="9">
        <v>897175</v>
      </c>
      <c r="K18" s="9">
        <v>93401</v>
      </c>
      <c r="L18" s="10">
        <v>67066</v>
      </c>
      <c r="M18" s="30"/>
      <c r="N18" s="30"/>
    </row>
    <row r="20" spans="9:19">
      <c r="J20" s="30"/>
      <c r="K20" s="30"/>
      <c r="L20" s="30"/>
    </row>
  </sheetData>
  <mergeCells count="4">
    <mergeCell ref="I7:L7"/>
    <mergeCell ref="J3:K3"/>
    <mergeCell ref="Q5:U5"/>
    <mergeCell ref="O11:S17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12BB-5AD4-4663-A360-1AAD7A841809}">
  <sheetPr>
    <tabColor theme="4" tint="-0.249977111117893"/>
  </sheetPr>
  <dimension ref="A1:N484"/>
  <sheetViews>
    <sheetView zoomScale="130" zoomScaleNormal="130" workbookViewId="0">
      <selection activeCell="G8" sqref="G8"/>
    </sheetView>
  </sheetViews>
  <sheetFormatPr defaultRowHeight="14.4"/>
  <cols>
    <col min="1" max="1" width="10.33203125" customWidth="1"/>
    <col min="2" max="2" width="17.77734375" customWidth="1"/>
    <col min="3" max="3" width="9" customWidth="1"/>
    <col min="7" max="7" width="24.77734375" customWidth="1"/>
    <col min="8" max="8" width="30.6640625" customWidth="1"/>
    <col min="9" max="9" width="10.21875" customWidth="1"/>
  </cols>
  <sheetData>
    <row r="1" spans="1:14" ht="14.4" customHeight="1">
      <c r="A1" s="1" t="s">
        <v>0</v>
      </c>
      <c r="B1" s="1" t="s">
        <v>11</v>
      </c>
      <c r="C1" s="1" t="s">
        <v>10</v>
      </c>
    </row>
    <row r="2" spans="1:14" ht="18" customHeight="1">
      <c r="A2" t="s">
        <v>13</v>
      </c>
      <c r="B2" t="s">
        <v>41</v>
      </c>
      <c r="C2">
        <v>133</v>
      </c>
      <c r="G2" s="101" t="s">
        <v>347</v>
      </c>
      <c r="H2" s="101"/>
    </row>
    <row r="3" spans="1:14">
      <c r="A3" t="s">
        <v>13</v>
      </c>
      <c r="B3" t="s">
        <v>38</v>
      </c>
      <c r="C3">
        <v>133</v>
      </c>
    </row>
    <row r="4" spans="1:14" ht="18">
      <c r="A4" t="s">
        <v>18</v>
      </c>
      <c r="B4" t="s">
        <v>20</v>
      </c>
      <c r="C4">
        <v>273</v>
      </c>
      <c r="G4" s="56" t="s">
        <v>362</v>
      </c>
      <c r="H4" s="56"/>
    </row>
    <row r="5" spans="1:14">
      <c r="A5" t="s">
        <v>22</v>
      </c>
      <c r="B5" t="s">
        <v>340</v>
      </c>
      <c r="C5">
        <v>121</v>
      </c>
    </row>
    <row r="6" spans="1:14" ht="15.6">
      <c r="A6" t="s">
        <v>22</v>
      </c>
      <c r="B6" t="s">
        <v>38</v>
      </c>
      <c r="C6">
        <v>121</v>
      </c>
      <c r="G6" s="100" t="s">
        <v>344</v>
      </c>
      <c r="H6" s="100"/>
      <c r="K6" s="70" t="s">
        <v>370</v>
      </c>
    </row>
    <row r="7" spans="1:14">
      <c r="A7" t="s">
        <v>26</v>
      </c>
      <c r="B7" t="s">
        <v>41</v>
      </c>
      <c r="C7">
        <v>272</v>
      </c>
      <c r="G7" s="29" t="s">
        <v>11</v>
      </c>
      <c r="H7" s="34" t="s">
        <v>342</v>
      </c>
    </row>
    <row r="8" spans="1:14" ht="14.4" customHeight="1">
      <c r="A8" t="s">
        <v>26</v>
      </c>
      <c r="B8" t="s">
        <v>38</v>
      </c>
      <c r="C8">
        <v>272</v>
      </c>
      <c r="G8" s="73" t="s">
        <v>341</v>
      </c>
      <c r="H8" s="74">
        <v>208.47058823529412</v>
      </c>
    </row>
    <row r="9" spans="1:14" ht="14.4" customHeight="1">
      <c r="A9" t="s">
        <v>28</v>
      </c>
      <c r="B9" t="s">
        <v>20</v>
      </c>
      <c r="C9">
        <v>200</v>
      </c>
      <c r="G9" s="12" t="s">
        <v>20</v>
      </c>
      <c r="H9" s="13">
        <v>197.16923076923078</v>
      </c>
      <c r="J9" s="102" t="s">
        <v>371</v>
      </c>
      <c r="K9" s="103"/>
      <c r="L9" s="103"/>
      <c r="M9" s="103"/>
      <c r="N9" s="104"/>
    </row>
    <row r="10" spans="1:14">
      <c r="A10" t="s">
        <v>28</v>
      </c>
      <c r="B10" t="s">
        <v>341</v>
      </c>
      <c r="C10">
        <v>200</v>
      </c>
      <c r="G10" s="12" t="s">
        <v>41</v>
      </c>
      <c r="H10" s="13">
        <v>192.45871559633028</v>
      </c>
      <c r="J10" s="105"/>
      <c r="K10" s="106"/>
      <c r="L10" s="106"/>
      <c r="M10" s="106"/>
      <c r="N10" s="107"/>
    </row>
    <row r="11" spans="1:14" ht="14.4" customHeight="1">
      <c r="A11" t="s">
        <v>31</v>
      </c>
      <c r="B11" t="s">
        <v>20</v>
      </c>
      <c r="C11">
        <v>149</v>
      </c>
      <c r="G11" s="12" t="s">
        <v>38</v>
      </c>
      <c r="H11" s="13">
        <v>186.72027972027973</v>
      </c>
      <c r="J11" s="105"/>
      <c r="K11" s="106"/>
      <c r="L11" s="106"/>
      <c r="M11" s="106"/>
      <c r="N11" s="107"/>
    </row>
    <row r="12" spans="1:14">
      <c r="A12" t="s">
        <v>31</v>
      </c>
      <c r="B12" t="s">
        <v>341</v>
      </c>
      <c r="C12">
        <v>149</v>
      </c>
      <c r="G12" s="11" t="s">
        <v>340</v>
      </c>
      <c r="H12" s="13">
        <v>183.47761194029852</v>
      </c>
      <c r="J12" s="105"/>
      <c r="K12" s="106"/>
      <c r="L12" s="106"/>
      <c r="M12" s="106"/>
      <c r="N12" s="107"/>
    </row>
    <row r="13" spans="1:14">
      <c r="A13" t="s">
        <v>33</v>
      </c>
      <c r="B13" t="s">
        <v>41</v>
      </c>
      <c r="C13">
        <v>212</v>
      </c>
      <c r="G13" s="2" t="s">
        <v>337</v>
      </c>
      <c r="H13" s="14">
        <v>191.9089026915114</v>
      </c>
      <c r="J13" s="108"/>
      <c r="K13" s="109"/>
      <c r="L13" s="109"/>
      <c r="M13" s="109"/>
      <c r="N13" s="110"/>
    </row>
    <row r="14" spans="1:14">
      <c r="A14" t="s">
        <v>33</v>
      </c>
      <c r="B14" t="s">
        <v>38</v>
      </c>
      <c r="C14">
        <v>212</v>
      </c>
    </row>
    <row r="15" spans="1:14">
      <c r="A15" t="s">
        <v>35</v>
      </c>
      <c r="B15" t="s">
        <v>20</v>
      </c>
      <c r="C15">
        <v>120</v>
      </c>
    </row>
    <row r="16" spans="1:14">
      <c r="A16" t="s">
        <v>35</v>
      </c>
      <c r="B16" t="s">
        <v>340</v>
      </c>
      <c r="C16">
        <v>120</v>
      </c>
      <c r="G16" s="53"/>
    </row>
    <row r="17" spans="1:3">
      <c r="A17" t="s">
        <v>36</v>
      </c>
      <c r="B17" t="s">
        <v>38</v>
      </c>
      <c r="C17">
        <v>171</v>
      </c>
    </row>
    <row r="18" spans="1:3">
      <c r="A18" t="s">
        <v>39</v>
      </c>
      <c r="B18" t="s">
        <v>38</v>
      </c>
      <c r="C18">
        <v>284</v>
      </c>
    </row>
    <row r="19" spans="1:3">
      <c r="A19" t="s">
        <v>40</v>
      </c>
      <c r="B19" t="s">
        <v>41</v>
      </c>
      <c r="C19">
        <v>88</v>
      </c>
    </row>
    <row r="20" spans="1:3">
      <c r="A20" t="s">
        <v>42</v>
      </c>
      <c r="B20" t="s">
        <v>41</v>
      </c>
      <c r="C20">
        <v>86</v>
      </c>
    </row>
    <row r="21" spans="1:3">
      <c r="A21" t="s">
        <v>42</v>
      </c>
      <c r="B21" t="s">
        <v>38</v>
      </c>
      <c r="C21">
        <v>86</v>
      </c>
    </row>
    <row r="22" spans="1:3">
      <c r="A22" t="s">
        <v>43</v>
      </c>
      <c r="B22" t="s">
        <v>340</v>
      </c>
      <c r="C22">
        <v>213</v>
      </c>
    </row>
    <row r="23" spans="1:3">
      <c r="A23" t="s">
        <v>43</v>
      </c>
      <c r="B23" t="s">
        <v>38</v>
      </c>
      <c r="C23">
        <v>213</v>
      </c>
    </row>
    <row r="24" spans="1:3">
      <c r="A24" t="s">
        <v>44</v>
      </c>
      <c r="B24" t="s">
        <v>38</v>
      </c>
      <c r="C24">
        <v>264</v>
      </c>
    </row>
    <row r="25" spans="1:3">
      <c r="A25" t="s">
        <v>46</v>
      </c>
      <c r="B25" t="s">
        <v>38</v>
      </c>
      <c r="C25">
        <v>179</v>
      </c>
    </row>
    <row r="26" spans="1:3">
      <c r="A26" t="s">
        <v>48</v>
      </c>
      <c r="B26" t="s">
        <v>340</v>
      </c>
      <c r="C26">
        <v>172</v>
      </c>
    </row>
    <row r="27" spans="1:3">
      <c r="A27" t="s">
        <v>48</v>
      </c>
      <c r="B27" t="s">
        <v>38</v>
      </c>
      <c r="C27">
        <v>172</v>
      </c>
    </row>
    <row r="28" spans="1:3">
      <c r="A28" t="s">
        <v>49</v>
      </c>
      <c r="B28" t="s">
        <v>38</v>
      </c>
      <c r="C28">
        <v>83</v>
      </c>
    </row>
    <row r="29" spans="1:3">
      <c r="A29" t="s">
        <v>50</v>
      </c>
      <c r="B29" t="s">
        <v>38</v>
      </c>
      <c r="C29">
        <v>235</v>
      </c>
    </row>
    <row r="30" spans="1:3">
      <c r="A30" t="s">
        <v>52</v>
      </c>
      <c r="B30" t="s">
        <v>20</v>
      </c>
      <c r="C30">
        <v>95</v>
      </c>
    </row>
    <row r="31" spans="1:3">
      <c r="A31" t="s">
        <v>52</v>
      </c>
      <c r="B31" t="s">
        <v>41</v>
      </c>
      <c r="C31">
        <v>95</v>
      </c>
    </row>
    <row r="32" spans="1:3">
      <c r="A32" t="s">
        <v>55</v>
      </c>
      <c r="B32" t="s">
        <v>20</v>
      </c>
      <c r="C32">
        <v>90</v>
      </c>
    </row>
    <row r="33" spans="1:3">
      <c r="A33" t="s">
        <v>56</v>
      </c>
      <c r="B33" t="s">
        <v>38</v>
      </c>
      <c r="C33">
        <v>230</v>
      </c>
    </row>
    <row r="34" spans="1:3">
      <c r="A34" t="s">
        <v>57</v>
      </c>
      <c r="B34" t="s">
        <v>41</v>
      </c>
      <c r="C34">
        <v>84</v>
      </c>
    </row>
    <row r="35" spans="1:3">
      <c r="A35" t="s">
        <v>57</v>
      </c>
      <c r="B35" t="s">
        <v>38</v>
      </c>
      <c r="C35">
        <v>84</v>
      </c>
    </row>
    <row r="36" spans="1:3">
      <c r="A36" t="s">
        <v>58</v>
      </c>
      <c r="B36" t="s">
        <v>20</v>
      </c>
      <c r="C36">
        <v>103</v>
      </c>
    </row>
    <row r="37" spans="1:3">
      <c r="A37" t="s">
        <v>58</v>
      </c>
      <c r="B37" t="s">
        <v>41</v>
      </c>
      <c r="C37">
        <v>103</v>
      </c>
    </row>
    <row r="38" spans="1:3">
      <c r="A38" t="s">
        <v>59</v>
      </c>
      <c r="B38" t="s">
        <v>41</v>
      </c>
      <c r="C38">
        <v>174</v>
      </c>
    </row>
    <row r="39" spans="1:3">
      <c r="A39" t="s">
        <v>60</v>
      </c>
      <c r="B39" t="s">
        <v>20</v>
      </c>
      <c r="C39">
        <v>232</v>
      </c>
    </row>
    <row r="40" spans="1:3">
      <c r="A40" t="s">
        <v>60</v>
      </c>
      <c r="B40" t="s">
        <v>41</v>
      </c>
      <c r="C40">
        <v>232</v>
      </c>
    </row>
    <row r="41" spans="1:3">
      <c r="A41" t="s">
        <v>61</v>
      </c>
      <c r="B41" t="s">
        <v>20</v>
      </c>
      <c r="C41">
        <v>147</v>
      </c>
    </row>
    <row r="42" spans="1:3">
      <c r="A42" t="s">
        <v>61</v>
      </c>
      <c r="B42" t="s">
        <v>340</v>
      </c>
      <c r="C42">
        <v>147</v>
      </c>
    </row>
    <row r="43" spans="1:3">
      <c r="A43" t="s">
        <v>62</v>
      </c>
      <c r="B43" t="s">
        <v>41</v>
      </c>
      <c r="C43">
        <v>268</v>
      </c>
    </row>
    <row r="44" spans="1:3">
      <c r="A44" t="s">
        <v>62</v>
      </c>
      <c r="B44" t="s">
        <v>38</v>
      </c>
      <c r="C44">
        <v>268</v>
      </c>
    </row>
    <row r="45" spans="1:3">
      <c r="A45" t="s">
        <v>63</v>
      </c>
      <c r="B45" t="s">
        <v>20</v>
      </c>
      <c r="C45">
        <v>206</v>
      </c>
    </row>
    <row r="46" spans="1:3">
      <c r="A46" t="s">
        <v>63</v>
      </c>
      <c r="B46" t="s">
        <v>41</v>
      </c>
      <c r="C46">
        <v>206</v>
      </c>
    </row>
    <row r="47" spans="1:3">
      <c r="A47" t="s">
        <v>64</v>
      </c>
      <c r="B47" t="s">
        <v>340</v>
      </c>
      <c r="C47">
        <v>202</v>
      </c>
    </row>
    <row r="48" spans="1:3">
      <c r="A48" t="s">
        <v>64</v>
      </c>
      <c r="B48" t="s">
        <v>38</v>
      </c>
      <c r="C48">
        <v>202</v>
      </c>
    </row>
    <row r="49" spans="1:3">
      <c r="A49" t="s">
        <v>65</v>
      </c>
      <c r="B49" t="s">
        <v>38</v>
      </c>
      <c r="C49">
        <v>197</v>
      </c>
    </row>
    <row r="50" spans="1:3">
      <c r="A50" t="s">
        <v>66</v>
      </c>
      <c r="B50" t="s">
        <v>41</v>
      </c>
      <c r="C50">
        <v>279</v>
      </c>
    </row>
    <row r="51" spans="1:3">
      <c r="A51" t="s">
        <v>66</v>
      </c>
      <c r="B51" t="s">
        <v>38</v>
      </c>
      <c r="C51">
        <v>279</v>
      </c>
    </row>
    <row r="52" spans="1:3">
      <c r="A52" t="s">
        <v>67</v>
      </c>
      <c r="B52" t="s">
        <v>41</v>
      </c>
      <c r="C52">
        <v>138</v>
      </c>
    </row>
    <row r="53" spans="1:3">
      <c r="A53" t="s">
        <v>67</v>
      </c>
      <c r="B53" t="s">
        <v>38</v>
      </c>
      <c r="C53">
        <v>138</v>
      </c>
    </row>
    <row r="54" spans="1:3">
      <c r="A54" t="s">
        <v>68</v>
      </c>
      <c r="B54" t="s">
        <v>20</v>
      </c>
      <c r="C54">
        <v>289</v>
      </c>
    </row>
    <row r="55" spans="1:3">
      <c r="A55" t="s">
        <v>68</v>
      </c>
      <c r="B55" t="s">
        <v>340</v>
      </c>
      <c r="C55">
        <v>289</v>
      </c>
    </row>
    <row r="56" spans="1:3">
      <c r="A56" t="s">
        <v>69</v>
      </c>
      <c r="B56" t="s">
        <v>41</v>
      </c>
      <c r="C56">
        <v>287</v>
      </c>
    </row>
    <row r="57" spans="1:3">
      <c r="A57" t="s">
        <v>69</v>
      </c>
      <c r="B57" t="s">
        <v>38</v>
      </c>
      <c r="C57">
        <v>287</v>
      </c>
    </row>
    <row r="58" spans="1:3">
      <c r="A58" t="s">
        <v>70</v>
      </c>
      <c r="B58" t="s">
        <v>340</v>
      </c>
      <c r="C58">
        <v>265</v>
      </c>
    </row>
    <row r="59" spans="1:3">
      <c r="A59" t="s">
        <v>70</v>
      </c>
      <c r="B59" t="s">
        <v>38</v>
      </c>
      <c r="C59">
        <v>265</v>
      </c>
    </row>
    <row r="60" spans="1:3">
      <c r="A60" t="s">
        <v>71</v>
      </c>
      <c r="B60" t="s">
        <v>20</v>
      </c>
      <c r="C60">
        <v>80</v>
      </c>
    </row>
    <row r="61" spans="1:3">
      <c r="A61" t="s">
        <v>72</v>
      </c>
      <c r="B61" t="s">
        <v>340</v>
      </c>
      <c r="C61">
        <v>80</v>
      </c>
    </row>
    <row r="62" spans="1:3">
      <c r="A62" t="s">
        <v>72</v>
      </c>
      <c r="B62" t="s">
        <v>38</v>
      </c>
      <c r="C62">
        <v>80</v>
      </c>
    </row>
    <row r="63" spans="1:3">
      <c r="A63" t="s">
        <v>73</v>
      </c>
      <c r="B63" t="s">
        <v>38</v>
      </c>
      <c r="C63">
        <v>195</v>
      </c>
    </row>
    <row r="64" spans="1:3">
      <c r="A64" t="s">
        <v>74</v>
      </c>
      <c r="B64" t="s">
        <v>20</v>
      </c>
      <c r="C64">
        <v>133</v>
      </c>
    </row>
    <row r="65" spans="1:3">
      <c r="A65" t="s">
        <v>75</v>
      </c>
      <c r="B65" t="s">
        <v>38</v>
      </c>
      <c r="C65">
        <v>125</v>
      </c>
    </row>
    <row r="66" spans="1:3">
      <c r="A66" t="s">
        <v>76</v>
      </c>
      <c r="B66" t="s">
        <v>41</v>
      </c>
      <c r="C66">
        <v>275</v>
      </c>
    </row>
    <row r="67" spans="1:3">
      <c r="A67" t="s">
        <v>76</v>
      </c>
      <c r="B67" t="s">
        <v>38</v>
      </c>
      <c r="C67">
        <v>275</v>
      </c>
    </row>
    <row r="68" spans="1:3">
      <c r="A68" t="s">
        <v>77</v>
      </c>
      <c r="B68" t="s">
        <v>38</v>
      </c>
      <c r="C68">
        <v>211</v>
      </c>
    </row>
    <row r="69" spans="1:3">
      <c r="A69" t="s">
        <v>78</v>
      </c>
      <c r="B69" t="s">
        <v>41</v>
      </c>
      <c r="C69">
        <v>154</v>
      </c>
    </row>
    <row r="70" spans="1:3">
      <c r="A70" t="s">
        <v>78</v>
      </c>
      <c r="B70" t="s">
        <v>38</v>
      </c>
      <c r="C70">
        <v>154</v>
      </c>
    </row>
    <row r="71" spans="1:3">
      <c r="A71" t="s">
        <v>79</v>
      </c>
      <c r="B71" t="s">
        <v>20</v>
      </c>
      <c r="C71">
        <v>290</v>
      </c>
    </row>
    <row r="72" spans="1:3">
      <c r="A72" t="s">
        <v>80</v>
      </c>
      <c r="B72" t="s">
        <v>20</v>
      </c>
      <c r="C72">
        <v>201</v>
      </c>
    </row>
    <row r="73" spans="1:3">
      <c r="A73" t="s">
        <v>80</v>
      </c>
      <c r="B73" t="s">
        <v>341</v>
      </c>
      <c r="C73">
        <v>201</v>
      </c>
    </row>
    <row r="74" spans="1:3">
      <c r="A74" t="s">
        <v>81</v>
      </c>
      <c r="B74" t="s">
        <v>20</v>
      </c>
      <c r="C74">
        <v>92</v>
      </c>
    </row>
    <row r="75" spans="1:3">
      <c r="A75" t="s">
        <v>82</v>
      </c>
      <c r="B75" t="s">
        <v>20</v>
      </c>
      <c r="C75">
        <v>120</v>
      </c>
    </row>
    <row r="76" spans="1:3">
      <c r="A76" t="s">
        <v>82</v>
      </c>
      <c r="B76" t="s">
        <v>41</v>
      </c>
      <c r="C76">
        <v>120</v>
      </c>
    </row>
    <row r="77" spans="1:3">
      <c r="A77" t="s">
        <v>83</v>
      </c>
      <c r="B77" t="s">
        <v>38</v>
      </c>
      <c r="C77">
        <v>213</v>
      </c>
    </row>
    <row r="78" spans="1:3">
      <c r="A78" t="s">
        <v>84</v>
      </c>
      <c r="B78" t="s">
        <v>20</v>
      </c>
      <c r="C78">
        <v>191</v>
      </c>
    </row>
    <row r="79" spans="1:3">
      <c r="A79" t="s">
        <v>84</v>
      </c>
      <c r="B79" t="s">
        <v>340</v>
      </c>
      <c r="C79">
        <v>191</v>
      </c>
    </row>
    <row r="80" spans="1:3">
      <c r="A80" t="s">
        <v>85</v>
      </c>
      <c r="B80" t="s">
        <v>38</v>
      </c>
      <c r="C80">
        <v>148</v>
      </c>
    </row>
    <row r="81" spans="1:3">
      <c r="A81" t="s">
        <v>86</v>
      </c>
      <c r="B81" t="s">
        <v>20</v>
      </c>
      <c r="C81">
        <v>215</v>
      </c>
    </row>
    <row r="82" spans="1:3">
      <c r="A82" t="s">
        <v>86</v>
      </c>
      <c r="B82" t="s">
        <v>41</v>
      </c>
      <c r="C82">
        <v>215</v>
      </c>
    </row>
    <row r="83" spans="1:3">
      <c r="A83" t="s">
        <v>87</v>
      </c>
      <c r="B83" t="s">
        <v>20</v>
      </c>
      <c r="C83">
        <v>261</v>
      </c>
    </row>
    <row r="84" spans="1:3">
      <c r="A84" t="s">
        <v>87</v>
      </c>
      <c r="B84" t="s">
        <v>340</v>
      </c>
      <c r="C84">
        <v>261</v>
      </c>
    </row>
    <row r="85" spans="1:3">
      <c r="A85" t="s">
        <v>88</v>
      </c>
      <c r="B85" t="s">
        <v>340</v>
      </c>
      <c r="C85">
        <v>87</v>
      </c>
    </row>
    <row r="86" spans="1:3">
      <c r="A86" t="s">
        <v>88</v>
      </c>
      <c r="B86" t="s">
        <v>38</v>
      </c>
      <c r="C86">
        <v>87</v>
      </c>
    </row>
    <row r="87" spans="1:3">
      <c r="A87" t="s">
        <v>89</v>
      </c>
      <c r="B87" t="s">
        <v>20</v>
      </c>
      <c r="C87">
        <v>239</v>
      </c>
    </row>
    <row r="88" spans="1:3">
      <c r="A88" t="s">
        <v>90</v>
      </c>
      <c r="B88" t="s">
        <v>38</v>
      </c>
      <c r="C88">
        <v>190</v>
      </c>
    </row>
    <row r="89" spans="1:3">
      <c r="A89" t="s">
        <v>91</v>
      </c>
      <c r="B89" t="s">
        <v>38</v>
      </c>
      <c r="C89">
        <v>259</v>
      </c>
    </row>
    <row r="90" spans="1:3">
      <c r="A90" t="s">
        <v>92</v>
      </c>
      <c r="B90" t="s">
        <v>20</v>
      </c>
      <c r="C90">
        <v>291</v>
      </c>
    </row>
    <row r="91" spans="1:3">
      <c r="A91" t="s">
        <v>93</v>
      </c>
      <c r="B91" t="s">
        <v>20</v>
      </c>
      <c r="C91">
        <v>177</v>
      </c>
    </row>
    <row r="92" spans="1:3">
      <c r="A92" t="s">
        <v>93</v>
      </c>
      <c r="B92" t="s">
        <v>341</v>
      </c>
      <c r="C92">
        <v>177</v>
      </c>
    </row>
    <row r="93" spans="1:3">
      <c r="A93" t="s">
        <v>94</v>
      </c>
      <c r="B93" t="s">
        <v>20</v>
      </c>
      <c r="C93">
        <v>220</v>
      </c>
    </row>
    <row r="94" spans="1:3">
      <c r="A94" t="s">
        <v>94</v>
      </c>
      <c r="B94" t="s">
        <v>341</v>
      </c>
      <c r="C94">
        <v>220</v>
      </c>
    </row>
    <row r="95" spans="1:3">
      <c r="A95" t="s">
        <v>95</v>
      </c>
      <c r="B95" t="s">
        <v>20</v>
      </c>
      <c r="C95">
        <v>116</v>
      </c>
    </row>
    <row r="96" spans="1:3">
      <c r="A96" t="s">
        <v>95</v>
      </c>
      <c r="B96" t="s">
        <v>341</v>
      </c>
      <c r="C96">
        <v>116</v>
      </c>
    </row>
    <row r="97" spans="1:3">
      <c r="A97" t="s">
        <v>96</v>
      </c>
      <c r="B97" t="s">
        <v>20</v>
      </c>
      <c r="C97">
        <v>171</v>
      </c>
    </row>
    <row r="98" spans="1:3">
      <c r="A98" t="s">
        <v>96</v>
      </c>
      <c r="B98" t="s">
        <v>41</v>
      </c>
      <c r="C98">
        <v>171</v>
      </c>
    </row>
    <row r="99" spans="1:3">
      <c r="A99" t="s">
        <v>97</v>
      </c>
      <c r="B99" t="s">
        <v>340</v>
      </c>
      <c r="C99">
        <v>182</v>
      </c>
    </row>
    <row r="100" spans="1:3">
      <c r="A100" t="s">
        <v>97</v>
      </c>
      <c r="B100" t="s">
        <v>38</v>
      </c>
      <c r="C100">
        <v>182</v>
      </c>
    </row>
    <row r="101" spans="1:3">
      <c r="A101" t="s">
        <v>98</v>
      </c>
      <c r="B101" t="s">
        <v>41</v>
      </c>
      <c r="C101">
        <v>237</v>
      </c>
    </row>
    <row r="102" spans="1:3">
      <c r="A102" t="s">
        <v>99</v>
      </c>
      <c r="B102" t="s">
        <v>340</v>
      </c>
      <c r="C102">
        <v>205</v>
      </c>
    </row>
    <row r="103" spans="1:3">
      <c r="A103" t="s">
        <v>99</v>
      </c>
      <c r="B103" t="s">
        <v>38</v>
      </c>
      <c r="C103">
        <v>205</v>
      </c>
    </row>
    <row r="104" spans="1:3">
      <c r="A104" t="s">
        <v>100</v>
      </c>
      <c r="B104" t="s">
        <v>20</v>
      </c>
      <c r="C104">
        <v>109</v>
      </c>
    </row>
    <row r="105" spans="1:3">
      <c r="A105" t="s">
        <v>100</v>
      </c>
      <c r="B105" t="s">
        <v>341</v>
      </c>
      <c r="C105">
        <v>109</v>
      </c>
    </row>
    <row r="106" spans="1:3">
      <c r="A106" t="s">
        <v>101</v>
      </c>
      <c r="B106" t="s">
        <v>41</v>
      </c>
      <c r="C106">
        <v>227</v>
      </c>
    </row>
    <row r="107" spans="1:3">
      <c r="A107" t="s">
        <v>101</v>
      </c>
      <c r="B107" t="s">
        <v>38</v>
      </c>
      <c r="C107">
        <v>227</v>
      </c>
    </row>
    <row r="108" spans="1:3">
      <c r="A108" t="s">
        <v>102</v>
      </c>
      <c r="B108" t="s">
        <v>20</v>
      </c>
      <c r="C108">
        <v>267</v>
      </c>
    </row>
    <row r="109" spans="1:3">
      <c r="A109" t="s">
        <v>102</v>
      </c>
      <c r="B109" t="s">
        <v>41</v>
      </c>
      <c r="C109">
        <v>267</v>
      </c>
    </row>
    <row r="110" spans="1:3">
      <c r="A110" t="s">
        <v>103</v>
      </c>
      <c r="B110" t="s">
        <v>41</v>
      </c>
      <c r="C110">
        <v>221</v>
      </c>
    </row>
    <row r="111" spans="1:3">
      <c r="A111" t="s">
        <v>104</v>
      </c>
      <c r="B111" t="s">
        <v>20</v>
      </c>
      <c r="C111">
        <v>227</v>
      </c>
    </row>
    <row r="112" spans="1:3">
      <c r="A112" t="s">
        <v>104</v>
      </c>
      <c r="B112" t="s">
        <v>340</v>
      </c>
      <c r="C112">
        <v>227</v>
      </c>
    </row>
    <row r="113" spans="1:3">
      <c r="A113" t="s">
        <v>105</v>
      </c>
      <c r="B113" t="s">
        <v>38</v>
      </c>
      <c r="C113">
        <v>107</v>
      </c>
    </row>
    <row r="114" spans="1:3">
      <c r="A114" t="s">
        <v>106</v>
      </c>
      <c r="B114" t="s">
        <v>41</v>
      </c>
      <c r="C114">
        <v>135</v>
      </c>
    </row>
    <row r="115" spans="1:3">
      <c r="A115" t="s">
        <v>107</v>
      </c>
      <c r="B115" t="s">
        <v>20</v>
      </c>
      <c r="C115">
        <v>193</v>
      </c>
    </row>
    <row r="116" spans="1:3">
      <c r="A116" t="s">
        <v>108</v>
      </c>
      <c r="B116" t="s">
        <v>20</v>
      </c>
      <c r="C116">
        <v>270</v>
      </c>
    </row>
    <row r="117" spans="1:3">
      <c r="A117" t="s">
        <v>108</v>
      </c>
      <c r="B117" t="s">
        <v>41</v>
      </c>
      <c r="C117">
        <v>270</v>
      </c>
    </row>
    <row r="118" spans="1:3">
      <c r="A118" t="s">
        <v>109</v>
      </c>
      <c r="B118" t="s">
        <v>20</v>
      </c>
      <c r="C118">
        <v>88</v>
      </c>
    </row>
    <row r="119" spans="1:3">
      <c r="A119" t="s">
        <v>109</v>
      </c>
      <c r="B119" t="s">
        <v>340</v>
      </c>
      <c r="C119">
        <v>88</v>
      </c>
    </row>
    <row r="120" spans="1:3">
      <c r="A120" t="s">
        <v>110</v>
      </c>
      <c r="B120" t="s">
        <v>41</v>
      </c>
      <c r="C120">
        <v>101</v>
      </c>
    </row>
    <row r="121" spans="1:3">
      <c r="A121" t="s">
        <v>110</v>
      </c>
      <c r="B121" t="s">
        <v>38</v>
      </c>
      <c r="C121">
        <v>101</v>
      </c>
    </row>
    <row r="122" spans="1:3">
      <c r="A122" t="s">
        <v>111</v>
      </c>
      <c r="B122" t="s">
        <v>20</v>
      </c>
      <c r="C122">
        <v>207</v>
      </c>
    </row>
    <row r="123" spans="1:3">
      <c r="A123" t="s">
        <v>112</v>
      </c>
      <c r="B123" t="s">
        <v>38</v>
      </c>
      <c r="C123">
        <v>88</v>
      </c>
    </row>
    <row r="124" spans="1:3">
      <c r="A124" t="s">
        <v>113</v>
      </c>
      <c r="B124" t="s">
        <v>340</v>
      </c>
      <c r="C124">
        <v>109</v>
      </c>
    </row>
    <row r="125" spans="1:3">
      <c r="A125" t="s">
        <v>113</v>
      </c>
      <c r="B125" t="s">
        <v>38</v>
      </c>
      <c r="C125">
        <v>109</v>
      </c>
    </row>
    <row r="126" spans="1:3">
      <c r="A126" t="s">
        <v>114</v>
      </c>
      <c r="B126" t="s">
        <v>20</v>
      </c>
      <c r="C126">
        <v>128</v>
      </c>
    </row>
    <row r="127" spans="1:3">
      <c r="A127" t="s">
        <v>114</v>
      </c>
      <c r="B127" t="s">
        <v>41</v>
      </c>
      <c r="C127">
        <v>128</v>
      </c>
    </row>
    <row r="128" spans="1:3">
      <c r="A128" t="s">
        <v>115</v>
      </c>
      <c r="B128" t="s">
        <v>41</v>
      </c>
      <c r="C128">
        <v>157</v>
      </c>
    </row>
    <row r="129" spans="1:3">
      <c r="A129" t="s">
        <v>115</v>
      </c>
      <c r="B129" t="s">
        <v>38</v>
      </c>
      <c r="C129">
        <v>157</v>
      </c>
    </row>
    <row r="130" spans="1:3">
      <c r="A130" t="s">
        <v>116</v>
      </c>
      <c r="B130" t="s">
        <v>41</v>
      </c>
      <c r="C130">
        <v>184</v>
      </c>
    </row>
    <row r="131" spans="1:3">
      <c r="A131" t="s">
        <v>117</v>
      </c>
      <c r="B131" t="s">
        <v>20</v>
      </c>
      <c r="C131">
        <v>182</v>
      </c>
    </row>
    <row r="132" spans="1:3">
      <c r="A132" t="s">
        <v>118</v>
      </c>
      <c r="B132" t="s">
        <v>41</v>
      </c>
      <c r="C132">
        <v>180</v>
      </c>
    </row>
    <row r="133" spans="1:3">
      <c r="A133" t="s">
        <v>118</v>
      </c>
      <c r="B133" t="s">
        <v>38</v>
      </c>
      <c r="C133">
        <v>180</v>
      </c>
    </row>
    <row r="134" spans="1:3">
      <c r="A134" t="s">
        <v>119</v>
      </c>
      <c r="B134" t="s">
        <v>38</v>
      </c>
      <c r="C134">
        <v>122</v>
      </c>
    </row>
    <row r="135" spans="1:3">
      <c r="A135" t="s">
        <v>120</v>
      </c>
      <c r="B135" t="s">
        <v>41</v>
      </c>
      <c r="C135">
        <v>264</v>
      </c>
    </row>
    <row r="136" spans="1:3">
      <c r="A136" t="s">
        <v>120</v>
      </c>
      <c r="B136" t="s">
        <v>38</v>
      </c>
      <c r="C136">
        <v>264</v>
      </c>
    </row>
    <row r="137" spans="1:3">
      <c r="A137" t="s">
        <v>121</v>
      </c>
      <c r="B137" t="s">
        <v>41</v>
      </c>
      <c r="C137">
        <v>169</v>
      </c>
    </row>
    <row r="138" spans="1:3">
      <c r="A138" t="s">
        <v>121</v>
      </c>
      <c r="B138" t="s">
        <v>38</v>
      </c>
      <c r="C138">
        <v>169</v>
      </c>
    </row>
    <row r="139" spans="1:3">
      <c r="A139" t="s">
        <v>122</v>
      </c>
      <c r="B139" t="s">
        <v>41</v>
      </c>
      <c r="C139">
        <v>160</v>
      </c>
    </row>
    <row r="140" spans="1:3">
      <c r="A140" t="s">
        <v>122</v>
      </c>
      <c r="B140" t="s">
        <v>38</v>
      </c>
      <c r="C140">
        <v>160</v>
      </c>
    </row>
    <row r="141" spans="1:3">
      <c r="A141" t="s">
        <v>123</v>
      </c>
      <c r="B141" t="s">
        <v>41</v>
      </c>
      <c r="C141">
        <v>298</v>
      </c>
    </row>
    <row r="142" spans="1:3">
      <c r="A142" t="s">
        <v>123</v>
      </c>
      <c r="B142" t="s">
        <v>38</v>
      </c>
      <c r="C142">
        <v>298</v>
      </c>
    </row>
    <row r="143" spans="1:3">
      <c r="A143" t="s">
        <v>124</v>
      </c>
      <c r="B143" t="s">
        <v>41</v>
      </c>
      <c r="C143">
        <v>120</v>
      </c>
    </row>
    <row r="144" spans="1:3">
      <c r="A144" t="s">
        <v>124</v>
      </c>
      <c r="B144" t="s">
        <v>38</v>
      </c>
      <c r="C144">
        <v>120</v>
      </c>
    </row>
    <row r="145" spans="1:3">
      <c r="A145" t="s">
        <v>125</v>
      </c>
      <c r="B145" t="s">
        <v>340</v>
      </c>
      <c r="C145">
        <v>160</v>
      </c>
    </row>
    <row r="146" spans="1:3">
      <c r="A146" t="s">
        <v>125</v>
      </c>
      <c r="B146" t="s">
        <v>38</v>
      </c>
      <c r="C146">
        <v>160</v>
      </c>
    </row>
    <row r="147" spans="1:3">
      <c r="A147" t="s">
        <v>126</v>
      </c>
      <c r="B147" t="s">
        <v>41</v>
      </c>
      <c r="C147">
        <v>111</v>
      </c>
    </row>
    <row r="148" spans="1:3">
      <c r="A148" t="s">
        <v>127</v>
      </c>
      <c r="B148" t="s">
        <v>20</v>
      </c>
      <c r="C148">
        <v>82</v>
      </c>
    </row>
    <row r="149" spans="1:3">
      <c r="A149" t="s">
        <v>127</v>
      </c>
      <c r="B149" t="s">
        <v>41</v>
      </c>
      <c r="C149">
        <v>82</v>
      </c>
    </row>
    <row r="150" spans="1:3">
      <c r="A150" t="s">
        <v>128</v>
      </c>
      <c r="B150" t="s">
        <v>20</v>
      </c>
      <c r="C150">
        <v>169</v>
      </c>
    </row>
    <row r="151" spans="1:3">
      <c r="A151" t="s">
        <v>129</v>
      </c>
      <c r="B151" t="s">
        <v>41</v>
      </c>
      <c r="C151">
        <v>98</v>
      </c>
    </row>
    <row r="152" spans="1:3">
      <c r="A152" t="s">
        <v>129</v>
      </c>
      <c r="B152" t="s">
        <v>38</v>
      </c>
      <c r="C152">
        <v>98</v>
      </c>
    </row>
    <row r="153" spans="1:3">
      <c r="A153" t="s">
        <v>130</v>
      </c>
      <c r="B153" t="s">
        <v>38</v>
      </c>
      <c r="C153">
        <v>241</v>
      </c>
    </row>
    <row r="154" spans="1:3">
      <c r="A154" t="s">
        <v>131</v>
      </c>
      <c r="B154" t="s">
        <v>41</v>
      </c>
      <c r="C154">
        <v>114</v>
      </c>
    </row>
    <row r="155" spans="1:3">
      <c r="A155" t="s">
        <v>131</v>
      </c>
      <c r="B155" t="s">
        <v>38</v>
      </c>
      <c r="C155">
        <v>114</v>
      </c>
    </row>
    <row r="156" spans="1:3">
      <c r="A156" t="s">
        <v>132</v>
      </c>
      <c r="B156" t="s">
        <v>20</v>
      </c>
      <c r="C156">
        <v>191</v>
      </c>
    </row>
    <row r="157" spans="1:3">
      <c r="A157" t="s">
        <v>133</v>
      </c>
      <c r="B157" t="s">
        <v>20</v>
      </c>
      <c r="C157">
        <v>157</v>
      </c>
    </row>
    <row r="158" spans="1:3">
      <c r="A158" t="s">
        <v>133</v>
      </c>
      <c r="B158" t="s">
        <v>340</v>
      </c>
      <c r="C158">
        <v>157</v>
      </c>
    </row>
    <row r="159" spans="1:3">
      <c r="A159" t="s">
        <v>134</v>
      </c>
      <c r="B159" t="s">
        <v>38</v>
      </c>
      <c r="C159">
        <v>258</v>
      </c>
    </row>
    <row r="160" spans="1:3">
      <c r="A160" t="s">
        <v>135</v>
      </c>
      <c r="B160" t="s">
        <v>20</v>
      </c>
      <c r="C160">
        <v>181</v>
      </c>
    </row>
    <row r="161" spans="1:3">
      <c r="A161" t="s">
        <v>136</v>
      </c>
      <c r="B161" t="s">
        <v>38</v>
      </c>
      <c r="C161">
        <v>218</v>
      </c>
    </row>
    <row r="162" spans="1:3">
      <c r="A162" t="s">
        <v>137</v>
      </c>
      <c r="B162" t="s">
        <v>38</v>
      </c>
      <c r="C162">
        <v>282</v>
      </c>
    </row>
    <row r="163" spans="1:3">
      <c r="A163" t="s">
        <v>138</v>
      </c>
      <c r="B163" t="s">
        <v>41</v>
      </c>
      <c r="C163">
        <v>263</v>
      </c>
    </row>
    <row r="164" spans="1:3">
      <c r="A164" t="s">
        <v>138</v>
      </c>
      <c r="B164" t="s">
        <v>38</v>
      </c>
      <c r="C164">
        <v>263</v>
      </c>
    </row>
    <row r="165" spans="1:3">
      <c r="A165" t="s">
        <v>139</v>
      </c>
      <c r="B165" t="s">
        <v>20</v>
      </c>
      <c r="C165">
        <v>132</v>
      </c>
    </row>
    <row r="166" spans="1:3">
      <c r="A166" t="s">
        <v>139</v>
      </c>
      <c r="B166" t="s">
        <v>340</v>
      </c>
      <c r="C166">
        <v>132</v>
      </c>
    </row>
    <row r="167" spans="1:3">
      <c r="A167" t="s">
        <v>140</v>
      </c>
      <c r="B167" t="s">
        <v>38</v>
      </c>
      <c r="C167">
        <v>133</v>
      </c>
    </row>
    <row r="168" spans="1:3">
      <c r="A168" t="s">
        <v>141</v>
      </c>
      <c r="B168" t="s">
        <v>41</v>
      </c>
      <c r="C168">
        <v>91</v>
      </c>
    </row>
    <row r="169" spans="1:3">
      <c r="A169" t="s">
        <v>141</v>
      </c>
      <c r="B169" t="s">
        <v>38</v>
      </c>
      <c r="C169">
        <v>91</v>
      </c>
    </row>
    <row r="170" spans="1:3">
      <c r="A170" t="s">
        <v>142</v>
      </c>
      <c r="B170" t="s">
        <v>41</v>
      </c>
      <c r="C170">
        <v>102</v>
      </c>
    </row>
    <row r="171" spans="1:3">
      <c r="A171" t="s">
        <v>143</v>
      </c>
      <c r="B171" t="s">
        <v>20</v>
      </c>
      <c r="C171">
        <v>118</v>
      </c>
    </row>
    <row r="172" spans="1:3">
      <c r="A172" t="s">
        <v>143</v>
      </c>
      <c r="B172" t="s">
        <v>41</v>
      </c>
      <c r="C172">
        <v>118</v>
      </c>
    </row>
    <row r="173" spans="1:3">
      <c r="A173" t="s">
        <v>144</v>
      </c>
      <c r="B173" t="s">
        <v>41</v>
      </c>
      <c r="C173">
        <v>164</v>
      </c>
    </row>
    <row r="174" spans="1:3">
      <c r="A174" t="s">
        <v>144</v>
      </c>
      <c r="B174" t="s">
        <v>38</v>
      </c>
      <c r="C174">
        <v>164</v>
      </c>
    </row>
    <row r="175" spans="1:3">
      <c r="A175" t="s">
        <v>145</v>
      </c>
      <c r="B175" t="s">
        <v>20</v>
      </c>
      <c r="C175">
        <v>131</v>
      </c>
    </row>
    <row r="176" spans="1:3">
      <c r="A176" t="s">
        <v>146</v>
      </c>
      <c r="B176" t="s">
        <v>20</v>
      </c>
      <c r="C176">
        <v>194</v>
      </c>
    </row>
    <row r="177" spans="1:3">
      <c r="A177" t="s">
        <v>146</v>
      </c>
      <c r="B177" t="s">
        <v>41</v>
      </c>
      <c r="C177">
        <v>194</v>
      </c>
    </row>
    <row r="178" spans="1:3">
      <c r="A178" t="s">
        <v>147</v>
      </c>
      <c r="B178" t="s">
        <v>41</v>
      </c>
      <c r="C178">
        <v>170</v>
      </c>
    </row>
    <row r="179" spans="1:3">
      <c r="A179" t="s">
        <v>147</v>
      </c>
      <c r="B179" t="s">
        <v>38</v>
      </c>
      <c r="C179">
        <v>170</v>
      </c>
    </row>
    <row r="180" spans="1:3">
      <c r="A180" t="s">
        <v>148</v>
      </c>
      <c r="B180" t="s">
        <v>41</v>
      </c>
      <c r="C180">
        <v>282</v>
      </c>
    </row>
    <row r="181" spans="1:3">
      <c r="A181" t="s">
        <v>148</v>
      </c>
      <c r="B181" t="s">
        <v>38</v>
      </c>
      <c r="C181">
        <v>282</v>
      </c>
    </row>
    <row r="182" spans="1:3">
      <c r="A182" t="s">
        <v>149</v>
      </c>
      <c r="B182" t="s">
        <v>38</v>
      </c>
      <c r="C182">
        <v>141</v>
      </c>
    </row>
    <row r="183" spans="1:3">
      <c r="A183" t="s">
        <v>150</v>
      </c>
      <c r="B183" t="s">
        <v>20</v>
      </c>
      <c r="C183">
        <v>251</v>
      </c>
    </row>
    <row r="184" spans="1:3">
      <c r="A184" t="s">
        <v>151</v>
      </c>
      <c r="B184" t="s">
        <v>38</v>
      </c>
      <c r="C184">
        <v>245</v>
      </c>
    </row>
    <row r="185" spans="1:3">
      <c r="A185" t="s">
        <v>152</v>
      </c>
      <c r="B185" t="s">
        <v>38</v>
      </c>
      <c r="C185">
        <v>211</v>
      </c>
    </row>
    <row r="186" spans="1:3">
      <c r="A186" t="s">
        <v>153</v>
      </c>
      <c r="B186" t="s">
        <v>20</v>
      </c>
      <c r="C186">
        <v>195</v>
      </c>
    </row>
    <row r="187" spans="1:3">
      <c r="A187" t="s">
        <v>153</v>
      </c>
      <c r="B187" t="s">
        <v>340</v>
      </c>
      <c r="C187">
        <v>195</v>
      </c>
    </row>
    <row r="188" spans="1:3">
      <c r="A188" t="s">
        <v>154</v>
      </c>
      <c r="B188" t="s">
        <v>340</v>
      </c>
      <c r="C188">
        <v>176</v>
      </c>
    </row>
    <row r="189" spans="1:3">
      <c r="A189" t="s">
        <v>154</v>
      </c>
      <c r="B189" t="s">
        <v>38</v>
      </c>
      <c r="C189">
        <v>176</v>
      </c>
    </row>
    <row r="190" spans="1:3">
      <c r="A190" t="s">
        <v>155</v>
      </c>
      <c r="B190" t="s">
        <v>20</v>
      </c>
      <c r="C190">
        <v>277</v>
      </c>
    </row>
    <row r="191" spans="1:3">
      <c r="A191" t="s">
        <v>156</v>
      </c>
      <c r="B191" t="s">
        <v>38</v>
      </c>
      <c r="C191">
        <v>200</v>
      </c>
    </row>
    <row r="192" spans="1:3">
      <c r="A192" t="s">
        <v>157</v>
      </c>
      <c r="B192" t="s">
        <v>20</v>
      </c>
      <c r="C192">
        <v>230</v>
      </c>
    </row>
    <row r="193" spans="1:3">
      <c r="A193" t="s">
        <v>157</v>
      </c>
      <c r="B193" t="s">
        <v>340</v>
      </c>
      <c r="C193">
        <v>230</v>
      </c>
    </row>
    <row r="194" spans="1:3">
      <c r="A194" t="s">
        <v>158</v>
      </c>
      <c r="B194" t="s">
        <v>20</v>
      </c>
      <c r="C194">
        <v>236</v>
      </c>
    </row>
    <row r="195" spans="1:3">
      <c r="A195" t="s">
        <v>158</v>
      </c>
      <c r="B195" t="s">
        <v>341</v>
      </c>
      <c r="C195">
        <v>236</v>
      </c>
    </row>
    <row r="196" spans="1:3">
      <c r="A196" t="s">
        <v>159</v>
      </c>
      <c r="B196" t="s">
        <v>41</v>
      </c>
      <c r="C196">
        <v>299</v>
      </c>
    </row>
    <row r="197" spans="1:3">
      <c r="A197" t="s">
        <v>159</v>
      </c>
      <c r="B197" t="s">
        <v>38</v>
      </c>
      <c r="C197">
        <v>299</v>
      </c>
    </row>
    <row r="198" spans="1:3">
      <c r="A198" t="s">
        <v>160</v>
      </c>
      <c r="B198" t="s">
        <v>38</v>
      </c>
      <c r="C198">
        <v>173</v>
      </c>
    </row>
    <row r="199" spans="1:3">
      <c r="A199" t="s">
        <v>161</v>
      </c>
      <c r="B199" t="s">
        <v>340</v>
      </c>
      <c r="C199">
        <v>113</v>
      </c>
    </row>
    <row r="200" spans="1:3">
      <c r="A200" t="s">
        <v>161</v>
      </c>
      <c r="B200" t="s">
        <v>38</v>
      </c>
      <c r="C200">
        <v>113</v>
      </c>
    </row>
    <row r="201" spans="1:3">
      <c r="A201" t="s">
        <v>162</v>
      </c>
      <c r="B201" t="s">
        <v>41</v>
      </c>
      <c r="C201">
        <v>145</v>
      </c>
    </row>
    <row r="202" spans="1:3">
      <c r="A202" t="s">
        <v>163</v>
      </c>
      <c r="B202" t="s">
        <v>41</v>
      </c>
      <c r="C202">
        <v>176</v>
      </c>
    </row>
    <row r="203" spans="1:3">
      <c r="A203" t="s">
        <v>163</v>
      </c>
      <c r="B203" t="s">
        <v>38</v>
      </c>
      <c r="C203">
        <v>176</v>
      </c>
    </row>
    <row r="204" spans="1:3">
      <c r="A204" t="s">
        <v>164</v>
      </c>
      <c r="B204" t="s">
        <v>20</v>
      </c>
      <c r="C204">
        <v>224</v>
      </c>
    </row>
    <row r="205" spans="1:3">
      <c r="A205" t="s">
        <v>164</v>
      </c>
      <c r="B205" t="s">
        <v>340</v>
      </c>
      <c r="C205">
        <v>224</v>
      </c>
    </row>
    <row r="206" spans="1:3">
      <c r="A206" t="s">
        <v>165</v>
      </c>
      <c r="B206" t="s">
        <v>20</v>
      </c>
      <c r="C206">
        <v>205</v>
      </c>
    </row>
    <row r="207" spans="1:3">
      <c r="A207" t="s">
        <v>165</v>
      </c>
      <c r="B207" t="s">
        <v>341</v>
      </c>
      <c r="C207">
        <v>205</v>
      </c>
    </row>
    <row r="208" spans="1:3">
      <c r="A208" t="s">
        <v>166</v>
      </c>
      <c r="B208" t="s">
        <v>41</v>
      </c>
      <c r="C208">
        <v>205</v>
      </c>
    </row>
    <row r="209" spans="1:3">
      <c r="A209" t="s">
        <v>167</v>
      </c>
      <c r="B209" t="s">
        <v>38</v>
      </c>
      <c r="C209">
        <v>148</v>
      </c>
    </row>
    <row r="210" spans="1:3">
      <c r="A210" t="s">
        <v>168</v>
      </c>
      <c r="B210" t="s">
        <v>20</v>
      </c>
      <c r="C210">
        <v>139</v>
      </c>
    </row>
    <row r="211" spans="1:3">
      <c r="A211" t="s">
        <v>168</v>
      </c>
      <c r="B211" t="s">
        <v>341</v>
      </c>
      <c r="C211">
        <v>139</v>
      </c>
    </row>
    <row r="212" spans="1:3">
      <c r="A212" t="s">
        <v>169</v>
      </c>
      <c r="B212" t="s">
        <v>38</v>
      </c>
      <c r="C212">
        <v>196</v>
      </c>
    </row>
    <row r="213" spans="1:3">
      <c r="A213" t="s">
        <v>170</v>
      </c>
      <c r="B213" t="s">
        <v>340</v>
      </c>
      <c r="C213">
        <v>127</v>
      </c>
    </row>
    <row r="214" spans="1:3">
      <c r="A214" t="s">
        <v>170</v>
      </c>
      <c r="B214" t="s">
        <v>38</v>
      </c>
      <c r="C214">
        <v>127</v>
      </c>
    </row>
    <row r="215" spans="1:3">
      <c r="A215" t="s">
        <v>171</v>
      </c>
      <c r="B215" t="s">
        <v>38</v>
      </c>
      <c r="C215">
        <v>199</v>
      </c>
    </row>
    <row r="216" spans="1:3">
      <c r="A216" t="s">
        <v>172</v>
      </c>
      <c r="B216" t="s">
        <v>41</v>
      </c>
      <c r="C216">
        <v>296</v>
      </c>
    </row>
    <row r="217" spans="1:3">
      <c r="A217" t="s">
        <v>172</v>
      </c>
      <c r="B217" t="s">
        <v>38</v>
      </c>
      <c r="C217">
        <v>296</v>
      </c>
    </row>
    <row r="218" spans="1:3">
      <c r="A218" t="s">
        <v>173</v>
      </c>
      <c r="B218" t="s">
        <v>20</v>
      </c>
      <c r="C218">
        <v>236</v>
      </c>
    </row>
    <row r="219" spans="1:3">
      <c r="A219" t="s">
        <v>173</v>
      </c>
      <c r="B219" t="s">
        <v>340</v>
      </c>
      <c r="C219">
        <v>236</v>
      </c>
    </row>
    <row r="220" spans="1:3">
      <c r="A220" t="s">
        <v>174</v>
      </c>
      <c r="B220" t="s">
        <v>38</v>
      </c>
      <c r="C220">
        <v>289</v>
      </c>
    </row>
    <row r="221" spans="1:3">
      <c r="A221" t="s">
        <v>175</v>
      </c>
      <c r="B221" t="s">
        <v>340</v>
      </c>
      <c r="C221">
        <v>236</v>
      </c>
    </row>
    <row r="222" spans="1:3">
      <c r="A222" t="s">
        <v>175</v>
      </c>
      <c r="B222" t="s">
        <v>38</v>
      </c>
      <c r="C222">
        <v>236</v>
      </c>
    </row>
    <row r="223" spans="1:3">
      <c r="A223" t="s">
        <v>176</v>
      </c>
      <c r="B223" t="s">
        <v>20</v>
      </c>
      <c r="C223">
        <v>273</v>
      </c>
    </row>
    <row r="224" spans="1:3">
      <c r="A224" t="s">
        <v>176</v>
      </c>
      <c r="B224" t="s">
        <v>41</v>
      </c>
      <c r="C224">
        <v>273</v>
      </c>
    </row>
    <row r="225" spans="1:3">
      <c r="A225" t="s">
        <v>177</v>
      </c>
      <c r="B225" t="s">
        <v>38</v>
      </c>
      <c r="C225">
        <v>92</v>
      </c>
    </row>
    <row r="226" spans="1:3">
      <c r="A226" t="s">
        <v>178</v>
      </c>
      <c r="B226" t="s">
        <v>20</v>
      </c>
      <c r="C226">
        <v>105</v>
      </c>
    </row>
    <row r="227" spans="1:3">
      <c r="A227" t="s">
        <v>179</v>
      </c>
      <c r="B227" t="s">
        <v>41</v>
      </c>
      <c r="C227">
        <v>82</v>
      </c>
    </row>
    <row r="228" spans="1:3">
      <c r="A228" t="s">
        <v>179</v>
      </c>
      <c r="B228" t="s">
        <v>38</v>
      </c>
      <c r="C228">
        <v>82</v>
      </c>
    </row>
    <row r="229" spans="1:3">
      <c r="A229" t="s">
        <v>180</v>
      </c>
      <c r="B229" t="s">
        <v>340</v>
      </c>
      <c r="C229">
        <v>277</v>
      </c>
    </row>
    <row r="230" spans="1:3">
      <c r="A230" t="s">
        <v>180</v>
      </c>
      <c r="B230" t="s">
        <v>38</v>
      </c>
      <c r="C230">
        <v>277</v>
      </c>
    </row>
    <row r="231" spans="1:3">
      <c r="A231" t="s">
        <v>181</v>
      </c>
      <c r="B231" t="s">
        <v>20</v>
      </c>
      <c r="C231">
        <v>245</v>
      </c>
    </row>
    <row r="232" spans="1:3">
      <c r="A232" t="s">
        <v>182</v>
      </c>
      <c r="B232" t="s">
        <v>340</v>
      </c>
      <c r="C232">
        <v>208</v>
      </c>
    </row>
    <row r="233" spans="1:3">
      <c r="A233" t="s">
        <v>182</v>
      </c>
      <c r="B233" t="s">
        <v>38</v>
      </c>
      <c r="C233">
        <v>208</v>
      </c>
    </row>
    <row r="234" spans="1:3">
      <c r="A234" t="s">
        <v>183</v>
      </c>
      <c r="B234" t="s">
        <v>20</v>
      </c>
      <c r="C234">
        <v>270</v>
      </c>
    </row>
    <row r="235" spans="1:3">
      <c r="A235" t="s">
        <v>183</v>
      </c>
      <c r="B235" t="s">
        <v>340</v>
      </c>
      <c r="C235">
        <v>270</v>
      </c>
    </row>
    <row r="236" spans="1:3">
      <c r="A236" t="s">
        <v>184</v>
      </c>
      <c r="B236" t="s">
        <v>41</v>
      </c>
      <c r="C236">
        <v>286</v>
      </c>
    </row>
    <row r="237" spans="1:3">
      <c r="A237" t="s">
        <v>185</v>
      </c>
      <c r="B237" t="s">
        <v>340</v>
      </c>
      <c r="C237">
        <v>88</v>
      </c>
    </row>
    <row r="238" spans="1:3">
      <c r="A238" t="s">
        <v>185</v>
      </c>
      <c r="B238" t="s">
        <v>38</v>
      </c>
      <c r="C238">
        <v>88</v>
      </c>
    </row>
    <row r="239" spans="1:3">
      <c r="A239" t="s">
        <v>186</v>
      </c>
      <c r="B239" t="s">
        <v>38</v>
      </c>
      <c r="C239">
        <v>219</v>
      </c>
    </row>
    <row r="240" spans="1:3">
      <c r="A240" t="s">
        <v>187</v>
      </c>
      <c r="B240" t="s">
        <v>20</v>
      </c>
      <c r="C240">
        <v>272</v>
      </c>
    </row>
    <row r="241" spans="1:3">
      <c r="A241" t="s">
        <v>188</v>
      </c>
      <c r="B241" t="s">
        <v>20</v>
      </c>
      <c r="C241">
        <v>87</v>
      </c>
    </row>
    <row r="242" spans="1:3">
      <c r="A242" t="s">
        <v>188</v>
      </c>
      <c r="B242" t="s">
        <v>340</v>
      </c>
      <c r="C242">
        <v>87</v>
      </c>
    </row>
    <row r="243" spans="1:3">
      <c r="A243" t="s">
        <v>189</v>
      </c>
      <c r="B243" t="s">
        <v>20</v>
      </c>
      <c r="C243">
        <v>92</v>
      </c>
    </row>
    <row r="244" spans="1:3">
      <c r="A244" t="s">
        <v>190</v>
      </c>
      <c r="B244" t="s">
        <v>41</v>
      </c>
      <c r="C244">
        <v>236</v>
      </c>
    </row>
    <row r="245" spans="1:3">
      <c r="A245" t="s">
        <v>190</v>
      </c>
      <c r="B245" t="s">
        <v>38</v>
      </c>
      <c r="C245">
        <v>236</v>
      </c>
    </row>
    <row r="246" spans="1:3">
      <c r="A246" t="s">
        <v>191</v>
      </c>
      <c r="B246" t="s">
        <v>20</v>
      </c>
      <c r="C246">
        <v>230</v>
      </c>
    </row>
    <row r="247" spans="1:3">
      <c r="A247" t="s">
        <v>191</v>
      </c>
      <c r="B247" t="s">
        <v>41</v>
      </c>
      <c r="C247">
        <v>230</v>
      </c>
    </row>
    <row r="248" spans="1:3">
      <c r="A248" t="s">
        <v>192</v>
      </c>
      <c r="B248" t="s">
        <v>20</v>
      </c>
      <c r="C248">
        <v>158</v>
      </c>
    </row>
    <row r="249" spans="1:3">
      <c r="A249" t="s">
        <v>192</v>
      </c>
      <c r="B249" t="s">
        <v>341</v>
      </c>
      <c r="C249">
        <v>158</v>
      </c>
    </row>
    <row r="250" spans="1:3">
      <c r="A250" t="s">
        <v>193</v>
      </c>
      <c r="B250" t="s">
        <v>20</v>
      </c>
      <c r="C250">
        <v>216</v>
      </c>
    </row>
    <row r="251" spans="1:3">
      <c r="A251" t="s">
        <v>193</v>
      </c>
      <c r="B251" t="s">
        <v>340</v>
      </c>
      <c r="C251">
        <v>216</v>
      </c>
    </row>
    <row r="252" spans="1:3">
      <c r="A252" t="s">
        <v>194</v>
      </c>
      <c r="B252" t="s">
        <v>38</v>
      </c>
      <c r="C252">
        <v>219</v>
      </c>
    </row>
    <row r="253" spans="1:3">
      <c r="A253" t="s">
        <v>195</v>
      </c>
      <c r="B253" t="s">
        <v>20</v>
      </c>
      <c r="C253">
        <v>293</v>
      </c>
    </row>
    <row r="254" spans="1:3">
      <c r="A254" t="s">
        <v>195</v>
      </c>
      <c r="B254" t="s">
        <v>41</v>
      </c>
      <c r="C254">
        <v>293</v>
      </c>
    </row>
    <row r="255" spans="1:3">
      <c r="A255" t="s">
        <v>196</v>
      </c>
      <c r="B255" t="s">
        <v>20</v>
      </c>
      <c r="C255">
        <v>275</v>
      </c>
    </row>
    <row r="256" spans="1:3">
      <c r="A256" t="s">
        <v>197</v>
      </c>
      <c r="B256" t="s">
        <v>41</v>
      </c>
      <c r="C256">
        <v>100</v>
      </c>
    </row>
    <row r="257" spans="1:3">
      <c r="A257" t="s">
        <v>197</v>
      </c>
      <c r="B257" t="s">
        <v>38</v>
      </c>
      <c r="C257">
        <v>100</v>
      </c>
    </row>
    <row r="258" spans="1:3">
      <c r="A258" t="s">
        <v>198</v>
      </c>
      <c r="B258" t="s">
        <v>20</v>
      </c>
      <c r="C258">
        <v>256</v>
      </c>
    </row>
    <row r="259" spans="1:3">
      <c r="A259" t="s">
        <v>198</v>
      </c>
      <c r="B259" t="s">
        <v>41</v>
      </c>
      <c r="C259">
        <v>256</v>
      </c>
    </row>
    <row r="260" spans="1:3">
      <c r="A260" t="s">
        <v>199</v>
      </c>
      <c r="B260" t="s">
        <v>38</v>
      </c>
      <c r="C260">
        <v>168</v>
      </c>
    </row>
    <row r="261" spans="1:3">
      <c r="A261" t="s">
        <v>200</v>
      </c>
      <c r="B261" t="s">
        <v>38</v>
      </c>
      <c r="C261">
        <v>258</v>
      </c>
    </row>
    <row r="262" spans="1:3">
      <c r="A262" t="s">
        <v>201</v>
      </c>
      <c r="B262" t="s">
        <v>20</v>
      </c>
      <c r="C262">
        <v>288</v>
      </c>
    </row>
    <row r="263" spans="1:3">
      <c r="A263" t="s">
        <v>202</v>
      </c>
      <c r="B263" t="s">
        <v>20</v>
      </c>
      <c r="C263">
        <v>298</v>
      </c>
    </row>
    <row r="264" spans="1:3">
      <c r="A264" t="s">
        <v>202</v>
      </c>
      <c r="B264" t="s">
        <v>341</v>
      </c>
      <c r="C264">
        <v>298</v>
      </c>
    </row>
    <row r="265" spans="1:3">
      <c r="A265" t="s">
        <v>203</v>
      </c>
      <c r="B265" t="s">
        <v>41</v>
      </c>
      <c r="C265">
        <v>121</v>
      </c>
    </row>
    <row r="266" spans="1:3">
      <c r="A266" t="s">
        <v>203</v>
      </c>
      <c r="B266" t="s">
        <v>38</v>
      </c>
      <c r="C266">
        <v>121</v>
      </c>
    </row>
    <row r="267" spans="1:3">
      <c r="A267" t="s">
        <v>204</v>
      </c>
      <c r="B267" t="s">
        <v>20</v>
      </c>
      <c r="C267">
        <v>175</v>
      </c>
    </row>
    <row r="268" spans="1:3">
      <c r="A268" t="s">
        <v>204</v>
      </c>
      <c r="B268" t="s">
        <v>341</v>
      </c>
      <c r="C268">
        <v>175</v>
      </c>
    </row>
    <row r="269" spans="1:3">
      <c r="A269" t="s">
        <v>205</v>
      </c>
      <c r="B269" t="s">
        <v>41</v>
      </c>
      <c r="C269">
        <v>259</v>
      </c>
    </row>
    <row r="270" spans="1:3">
      <c r="A270" t="s">
        <v>206</v>
      </c>
      <c r="B270" t="s">
        <v>38</v>
      </c>
      <c r="C270">
        <v>135</v>
      </c>
    </row>
    <row r="271" spans="1:3">
      <c r="A271" t="s">
        <v>207</v>
      </c>
      <c r="B271" t="s">
        <v>20</v>
      </c>
      <c r="C271">
        <v>278</v>
      </c>
    </row>
    <row r="272" spans="1:3">
      <c r="A272" t="s">
        <v>207</v>
      </c>
      <c r="B272" t="s">
        <v>341</v>
      </c>
      <c r="C272">
        <v>278</v>
      </c>
    </row>
    <row r="273" spans="1:3">
      <c r="A273" t="s">
        <v>208</v>
      </c>
      <c r="B273" t="s">
        <v>20</v>
      </c>
      <c r="C273">
        <v>230</v>
      </c>
    </row>
    <row r="274" spans="1:3">
      <c r="A274" t="s">
        <v>209</v>
      </c>
      <c r="B274" t="s">
        <v>20</v>
      </c>
      <c r="C274">
        <v>269</v>
      </c>
    </row>
    <row r="275" spans="1:3">
      <c r="A275" t="s">
        <v>209</v>
      </c>
      <c r="B275" t="s">
        <v>341</v>
      </c>
      <c r="C275">
        <v>269</v>
      </c>
    </row>
    <row r="276" spans="1:3">
      <c r="A276" t="s">
        <v>210</v>
      </c>
      <c r="B276" t="s">
        <v>20</v>
      </c>
      <c r="C276">
        <v>98</v>
      </c>
    </row>
    <row r="277" spans="1:3">
      <c r="A277" t="s">
        <v>210</v>
      </c>
      <c r="B277" t="s">
        <v>340</v>
      </c>
      <c r="C277">
        <v>98</v>
      </c>
    </row>
    <row r="278" spans="1:3">
      <c r="A278" t="s">
        <v>211</v>
      </c>
      <c r="B278" t="s">
        <v>41</v>
      </c>
      <c r="C278">
        <v>150</v>
      </c>
    </row>
    <row r="279" spans="1:3">
      <c r="A279" t="s">
        <v>211</v>
      </c>
      <c r="B279" t="s">
        <v>38</v>
      </c>
      <c r="C279">
        <v>150</v>
      </c>
    </row>
    <row r="280" spans="1:3">
      <c r="A280" t="s">
        <v>212</v>
      </c>
      <c r="B280" t="s">
        <v>41</v>
      </c>
      <c r="C280">
        <v>178</v>
      </c>
    </row>
    <row r="281" spans="1:3">
      <c r="A281" t="s">
        <v>213</v>
      </c>
      <c r="B281" t="s">
        <v>38</v>
      </c>
      <c r="C281">
        <v>161</v>
      </c>
    </row>
    <row r="282" spans="1:3">
      <c r="A282" t="s">
        <v>214</v>
      </c>
      <c r="B282" t="s">
        <v>41</v>
      </c>
      <c r="C282">
        <v>208</v>
      </c>
    </row>
    <row r="283" spans="1:3">
      <c r="A283" t="s">
        <v>215</v>
      </c>
      <c r="B283" t="s">
        <v>340</v>
      </c>
      <c r="C283">
        <v>85</v>
      </c>
    </row>
    <row r="284" spans="1:3">
      <c r="A284" t="s">
        <v>215</v>
      </c>
      <c r="B284" t="s">
        <v>38</v>
      </c>
      <c r="C284">
        <v>85</v>
      </c>
    </row>
    <row r="285" spans="1:3">
      <c r="A285" t="s">
        <v>216</v>
      </c>
      <c r="B285" t="s">
        <v>41</v>
      </c>
      <c r="C285">
        <v>281</v>
      </c>
    </row>
    <row r="286" spans="1:3">
      <c r="A286" t="s">
        <v>217</v>
      </c>
      <c r="B286" t="s">
        <v>41</v>
      </c>
      <c r="C286">
        <v>112</v>
      </c>
    </row>
    <row r="287" spans="1:3">
      <c r="A287" t="s">
        <v>217</v>
      </c>
      <c r="B287" t="s">
        <v>38</v>
      </c>
      <c r="C287">
        <v>112</v>
      </c>
    </row>
    <row r="288" spans="1:3">
      <c r="A288" t="s">
        <v>218</v>
      </c>
      <c r="B288" t="s">
        <v>41</v>
      </c>
      <c r="C288">
        <v>286</v>
      </c>
    </row>
    <row r="289" spans="1:3">
      <c r="A289" t="s">
        <v>219</v>
      </c>
      <c r="B289" t="s">
        <v>340</v>
      </c>
      <c r="C289">
        <v>287</v>
      </c>
    </row>
    <row r="290" spans="1:3">
      <c r="A290" t="s">
        <v>219</v>
      </c>
      <c r="B290" t="s">
        <v>38</v>
      </c>
      <c r="C290">
        <v>287</v>
      </c>
    </row>
    <row r="291" spans="1:3">
      <c r="A291" t="s">
        <v>220</v>
      </c>
      <c r="B291" t="s">
        <v>20</v>
      </c>
      <c r="C291">
        <v>219</v>
      </c>
    </row>
    <row r="292" spans="1:3">
      <c r="A292" t="s">
        <v>220</v>
      </c>
      <c r="B292" t="s">
        <v>41</v>
      </c>
      <c r="C292">
        <v>219</v>
      </c>
    </row>
    <row r="293" spans="1:3">
      <c r="A293" t="s">
        <v>221</v>
      </c>
      <c r="B293" t="s">
        <v>340</v>
      </c>
      <c r="C293">
        <v>197</v>
      </c>
    </row>
    <row r="294" spans="1:3">
      <c r="A294" t="s">
        <v>221</v>
      </c>
      <c r="B294" t="s">
        <v>38</v>
      </c>
      <c r="C294">
        <v>197</v>
      </c>
    </row>
    <row r="295" spans="1:3">
      <c r="A295" t="s">
        <v>222</v>
      </c>
      <c r="B295" t="s">
        <v>20</v>
      </c>
      <c r="C295">
        <v>204</v>
      </c>
    </row>
    <row r="296" spans="1:3">
      <c r="A296" t="s">
        <v>222</v>
      </c>
      <c r="B296" t="s">
        <v>41</v>
      </c>
      <c r="C296">
        <v>204</v>
      </c>
    </row>
    <row r="297" spans="1:3">
      <c r="A297" t="s">
        <v>223</v>
      </c>
      <c r="B297" t="s">
        <v>20</v>
      </c>
      <c r="C297">
        <v>168</v>
      </c>
    </row>
    <row r="298" spans="1:3">
      <c r="A298" t="s">
        <v>224</v>
      </c>
      <c r="B298" t="s">
        <v>20</v>
      </c>
      <c r="C298">
        <v>216</v>
      </c>
    </row>
    <row r="299" spans="1:3">
      <c r="A299" t="s">
        <v>224</v>
      </c>
      <c r="B299" t="s">
        <v>41</v>
      </c>
      <c r="C299">
        <v>216</v>
      </c>
    </row>
    <row r="300" spans="1:3">
      <c r="A300" t="s">
        <v>225</v>
      </c>
      <c r="B300" t="s">
        <v>41</v>
      </c>
      <c r="C300">
        <v>241</v>
      </c>
    </row>
    <row r="301" spans="1:3">
      <c r="A301" t="s">
        <v>225</v>
      </c>
      <c r="B301" t="s">
        <v>38</v>
      </c>
      <c r="C301">
        <v>241</v>
      </c>
    </row>
    <row r="302" spans="1:3">
      <c r="A302" t="s">
        <v>226</v>
      </c>
      <c r="B302" t="s">
        <v>20</v>
      </c>
      <c r="C302">
        <v>240</v>
      </c>
    </row>
    <row r="303" spans="1:3">
      <c r="A303" t="s">
        <v>226</v>
      </c>
      <c r="B303" t="s">
        <v>41</v>
      </c>
      <c r="C303">
        <v>240</v>
      </c>
    </row>
    <row r="304" spans="1:3">
      <c r="A304" t="s">
        <v>227</v>
      </c>
      <c r="B304" t="s">
        <v>20</v>
      </c>
      <c r="C304">
        <v>173</v>
      </c>
    </row>
    <row r="305" spans="1:3">
      <c r="A305" t="s">
        <v>227</v>
      </c>
      <c r="B305" t="s">
        <v>340</v>
      </c>
      <c r="C305">
        <v>173</v>
      </c>
    </row>
    <row r="306" spans="1:3">
      <c r="A306" t="s">
        <v>228</v>
      </c>
      <c r="B306" t="s">
        <v>20</v>
      </c>
      <c r="C306">
        <v>232</v>
      </c>
    </row>
    <row r="307" spans="1:3">
      <c r="A307" t="s">
        <v>228</v>
      </c>
      <c r="B307" t="s">
        <v>41</v>
      </c>
      <c r="C307">
        <v>232</v>
      </c>
    </row>
    <row r="308" spans="1:3">
      <c r="A308" t="s">
        <v>229</v>
      </c>
      <c r="B308" t="s">
        <v>340</v>
      </c>
      <c r="C308">
        <v>269</v>
      </c>
    </row>
    <row r="309" spans="1:3">
      <c r="A309" t="s">
        <v>229</v>
      </c>
      <c r="B309" t="s">
        <v>38</v>
      </c>
      <c r="C309">
        <v>269</v>
      </c>
    </row>
    <row r="310" spans="1:3">
      <c r="A310" t="s">
        <v>230</v>
      </c>
      <c r="B310" t="s">
        <v>20</v>
      </c>
      <c r="C310">
        <v>213</v>
      </c>
    </row>
    <row r="311" spans="1:3">
      <c r="A311" t="s">
        <v>230</v>
      </c>
      <c r="B311" t="s">
        <v>341</v>
      </c>
      <c r="C311">
        <v>213</v>
      </c>
    </row>
    <row r="312" spans="1:3">
      <c r="A312" t="s">
        <v>231</v>
      </c>
      <c r="B312" t="s">
        <v>41</v>
      </c>
      <c r="C312">
        <v>272</v>
      </c>
    </row>
    <row r="313" spans="1:3">
      <c r="A313" t="s">
        <v>231</v>
      </c>
      <c r="B313" t="s">
        <v>38</v>
      </c>
      <c r="C313">
        <v>272</v>
      </c>
    </row>
    <row r="314" spans="1:3">
      <c r="A314" t="s">
        <v>232</v>
      </c>
      <c r="B314" t="s">
        <v>20</v>
      </c>
      <c r="C314">
        <v>239</v>
      </c>
    </row>
    <row r="315" spans="1:3">
      <c r="A315" t="s">
        <v>232</v>
      </c>
      <c r="B315" t="s">
        <v>341</v>
      </c>
      <c r="C315">
        <v>239</v>
      </c>
    </row>
    <row r="316" spans="1:3">
      <c r="A316" t="s">
        <v>233</v>
      </c>
      <c r="B316" t="s">
        <v>41</v>
      </c>
      <c r="C316">
        <v>222</v>
      </c>
    </row>
    <row r="317" spans="1:3">
      <c r="A317" t="s">
        <v>233</v>
      </c>
      <c r="B317" t="s">
        <v>38</v>
      </c>
      <c r="C317">
        <v>222</v>
      </c>
    </row>
    <row r="318" spans="1:3">
      <c r="A318" t="s">
        <v>234</v>
      </c>
      <c r="B318" t="s">
        <v>41</v>
      </c>
      <c r="C318">
        <v>276</v>
      </c>
    </row>
    <row r="319" spans="1:3">
      <c r="A319" t="s">
        <v>234</v>
      </c>
      <c r="B319" t="s">
        <v>38</v>
      </c>
      <c r="C319">
        <v>276</v>
      </c>
    </row>
    <row r="320" spans="1:3">
      <c r="A320" t="s">
        <v>235</v>
      </c>
      <c r="B320" t="s">
        <v>38</v>
      </c>
      <c r="C320">
        <v>196</v>
      </c>
    </row>
    <row r="321" spans="1:3">
      <c r="A321" t="s">
        <v>236</v>
      </c>
      <c r="B321" t="s">
        <v>340</v>
      </c>
      <c r="C321">
        <v>114</v>
      </c>
    </row>
    <row r="322" spans="1:3">
      <c r="A322" t="s">
        <v>236</v>
      </c>
      <c r="B322" t="s">
        <v>38</v>
      </c>
      <c r="C322">
        <v>114</v>
      </c>
    </row>
    <row r="323" spans="1:3">
      <c r="A323" t="s">
        <v>237</v>
      </c>
      <c r="B323" t="s">
        <v>41</v>
      </c>
      <c r="C323">
        <v>157</v>
      </c>
    </row>
    <row r="324" spans="1:3">
      <c r="A324" t="s">
        <v>237</v>
      </c>
      <c r="B324" t="s">
        <v>38</v>
      </c>
      <c r="C324">
        <v>157</v>
      </c>
    </row>
    <row r="325" spans="1:3">
      <c r="A325" t="s">
        <v>238</v>
      </c>
      <c r="B325" t="s">
        <v>20</v>
      </c>
      <c r="C325">
        <v>111</v>
      </c>
    </row>
    <row r="326" spans="1:3">
      <c r="A326" t="s">
        <v>239</v>
      </c>
      <c r="B326" t="s">
        <v>38</v>
      </c>
      <c r="C326">
        <v>232</v>
      </c>
    </row>
    <row r="327" spans="1:3">
      <c r="A327" t="s">
        <v>240</v>
      </c>
      <c r="B327" t="s">
        <v>41</v>
      </c>
      <c r="C327">
        <v>117</v>
      </c>
    </row>
    <row r="328" spans="1:3">
      <c r="A328" t="s">
        <v>241</v>
      </c>
      <c r="B328" t="s">
        <v>20</v>
      </c>
      <c r="C328">
        <v>222</v>
      </c>
    </row>
    <row r="329" spans="1:3">
      <c r="A329" t="s">
        <v>241</v>
      </c>
      <c r="B329" t="s">
        <v>340</v>
      </c>
      <c r="C329">
        <v>222</v>
      </c>
    </row>
    <row r="330" spans="1:3">
      <c r="A330" t="s">
        <v>242</v>
      </c>
      <c r="B330" t="s">
        <v>41</v>
      </c>
      <c r="C330">
        <v>155</v>
      </c>
    </row>
    <row r="331" spans="1:3">
      <c r="A331" t="s">
        <v>242</v>
      </c>
      <c r="B331" t="s">
        <v>38</v>
      </c>
      <c r="C331">
        <v>155</v>
      </c>
    </row>
    <row r="332" spans="1:3">
      <c r="A332" t="s">
        <v>243</v>
      </c>
      <c r="B332" t="s">
        <v>41</v>
      </c>
      <c r="C332">
        <v>239</v>
      </c>
    </row>
    <row r="333" spans="1:3">
      <c r="A333" t="s">
        <v>244</v>
      </c>
      <c r="B333" t="s">
        <v>20</v>
      </c>
      <c r="C333">
        <v>118</v>
      </c>
    </row>
    <row r="334" spans="1:3">
      <c r="A334" t="s">
        <v>244</v>
      </c>
      <c r="B334" t="s">
        <v>340</v>
      </c>
      <c r="C334">
        <v>118</v>
      </c>
    </row>
    <row r="335" spans="1:3">
      <c r="A335" t="s">
        <v>245</v>
      </c>
      <c r="B335" t="s">
        <v>41</v>
      </c>
      <c r="C335">
        <v>275</v>
      </c>
    </row>
    <row r="336" spans="1:3">
      <c r="A336" t="s">
        <v>245</v>
      </c>
      <c r="B336" t="s">
        <v>38</v>
      </c>
      <c r="C336">
        <v>275</v>
      </c>
    </row>
    <row r="337" spans="1:3">
      <c r="A337" t="s">
        <v>246</v>
      </c>
      <c r="B337" t="s">
        <v>20</v>
      </c>
      <c r="C337">
        <v>232</v>
      </c>
    </row>
    <row r="338" spans="1:3">
      <c r="A338" t="s">
        <v>246</v>
      </c>
      <c r="B338" t="s">
        <v>340</v>
      </c>
      <c r="C338">
        <v>232</v>
      </c>
    </row>
    <row r="339" spans="1:3">
      <c r="A339" t="s">
        <v>247</v>
      </c>
      <c r="B339" t="s">
        <v>20</v>
      </c>
      <c r="C339">
        <v>296</v>
      </c>
    </row>
    <row r="340" spans="1:3">
      <c r="A340" t="s">
        <v>247</v>
      </c>
      <c r="B340" t="s">
        <v>340</v>
      </c>
      <c r="C340">
        <v>296</v>
      </c>
    </row>
    <row r="341" spans="1:3">
      <c r="A341" t="s">
        <v>248</v>
      </c>
      <c r="B341" t="s">
        <v>38</v>
      </c>
      <c r="C341">
        <v>147</v>
      </c>
    </row>
    <row r="342" spans="1:3">
      <c r="A342" t="s">
        <v>249</v>
      </c>
      <c r="B342" t="s">
        <v>41</v>
      </c>
      <c r="C342">
        <v>293</v>
      </c>
    </row>
    <row r="343" spans="1:3">
      <c r="A343" t="s">
        <v>250</v>
      </c>
      <c r="B343" t="s">
        <v>20</v>
      </c>
      <c r="C343">
        <v>186</v>
      </c>
    </row>
    <row r="344" spans="1:3">
      <c r="A344" t="s">
        <v>250</v>
      </c>
      <c r="B344" t="s">
        <v>341</v>
      </c>
      <c r="C344">
        <v>186</v>
      </c>
    </row>
    <row r="345" spans="1:3">
      <c r="A345" t="s">
        <v>251</v>
      </c>
      <c r="B345" t="s">
        <v>41</v>
      </c>
      <c r="C345">
        <v>174</v>
      </c>
    </row>
    <row r="346" spans="1:3">
      <c r="A346" t="s">
        <v>252</v>
      </c>
      <c r="B346" t="s">
        <v>41</v>
      </c>
      <c r="C346">
        <v>133</v>
      </c>
    </row>
    <row r="347" spans="1:3">
      <c r="A347" t="s">
        <v>252</v>
      </c>
      <c r="B347" t="s">
        <v>38</v>
      </c>
      <c r="C347">
        <v>133</v>
      </c>
    </row>
    <row r="348" spans="1:3">
      <c r="A348" t="s">
        <v>253</v>
      </c>
      <c r="B348" t="s">
        <v>20</v>
      </c>
      <c r="C348">
        <v>265</v>
      </c>
    </row>
    <row r="349" spans="1:3">
      <c r="A349" t="s">
        <v>253</v>
      </c>
      <c r="B349" t="s">
        <v>340</v>
      </c>
      <c r="C349">
        <v>265</v>
      </c>
    </row>
    <row r="350" spans="1:3">
      <c r="A350" t="s">
        <v>254</v>
      </c>
      <c r="B350" t="s">
        <v>41</v>
      </c>
      <c r="C350">
        <v>176</v>
      </c>
    </row>
    <row r="351" spans="1:3">
      <c r="A351" t="s">
        <v>255</v>
      </c>
      <c r="B351" t="s">
        <v>20</v>
      </c>
      <c r="C351">
        <v>255</v>
      </c>
    </row>
    <row r="352" spans="1:3">
      <c r="A352" t="s">
        <v>255</v>
      </c>
      <c r="B352" t="s">
        <v>341</v>
      </c>
      <c r="C352">
        <v>255</v>
      </c>
    </row>
    <row r="353" spans="1:3">
      <c r="A353" t="s">
        <v>256</v>
      </c>
      <c r="B353" t="s">
        <v>340</v>
      </c>
      <c r="C353">
        <v>282</v>
      </c>
    </row>
    <row r="354" spans="1:3">
      <c r="A354" t="s">
        <v>256</v>
      </c>
      <c r="B354" t="s">
        <v>38</v>
      </c>
      <c r="C354">
        <v>282</v>
      </c>
    </row>
    <row r="355" spans="1:3">
      <c r="A355" t="s">
        <v>257</v>
      </c>
      <c r="B355" t="s">
        <v>38</v>
      </c>
      <c r="C355">
        <v>178</v>
      </c>
    </row>
    <row r="356" spans="1:3">
      <c r="A356" t="s">
        <v>258</v>
      </c>
      <c r="B356" t="s">
        <v>41</v>
      </c>
      <c r="C356">
        <v>271</v>
      </c>
    </row>
    <row r="357" spans="1:3">
      <c r="A357" t="s">
        <v>259</v>
      </c>
      <c r="B357" t="s">
        <v>38</v>
      </c>
      <c r="C357">
        <v>103</v>
      </c>
    </row>
    <row r="358" spans="1:3">
      <c r="A358" t="s">
        <v>260</v>
      </c>
      <c r="B358" t="s">
        <v>20</v>
      </c>
      <c r="C358">
        <v>197</v>
      </c>
    </row>
    <row r="359" spans="1:3">
      <c r="A359" t="s">
        <v>260</v>
      </c>
      <c r="B359" t="s">
        <v>341</v>
      </c>
      <c r="C359">
        <v>197</v>
      </c>
    </row>
    <row r="360" spans="1:3">
      <c r="A360" t="s">
        <v>261</v>
      </c>
      <c r="B360" t="s">
        <v>340</v>
      </c>
      <c r="C360">
        <v>265</v>
      </c>
    </row>
    <row r="361" spans="1:3">
      <c r="A361" t="s">
        <v>261</v>
      </c>
      <c r="B361" t="s">
        <v>38</v>
      </c>
      <c r="C361">
        <v>265</v>
      </c>
    </row>
    <row r="362" spans="1:3">
      <c r="A362" t="s">
        <v>262</v>
      </c>
      <c r="B362" t="s">
        <v>20</v>
      </c>
      <c r="C362">
        <v>294</v>
      </c>
    </row>
    <row r="363" spans="1:3">
      <c r="A363" t="s">
        <v>262</v>
      </c>
      <c r="B363" t="s">
        <v>341</v>
      </c>
      <c r="C363">
        <v>294</v>
      </c>
    </row>
    <row r="364" spans="1:3">
      <c r="A364" t="s">
        <v>263</v>
      </c>
      <c r="B364" t="s">
        <v>20</v>
      </c>
      <c r="C364">
        <v>101</v>
      </c>
    </row>
    <row r="365" spans="1:3">
      <c r="A365" t="s">
        <v>263</v>
      </c>
      <c r="B365" t="s">
        <v>41</v>
      </c>
      <c r="C365">
        <v>101</v>
      </c>
    </row>
    <row r="366" spans="1:3">
      <c r="A366" t="s">
        <v>264</v>
      </c>
      <c r="B366" t="s">
        <v>20</v>
      </c>
      <c r="C366">
        <v>257</v>
      </c>
    </row>
    <row r="367" spans="1:3">
      <c r="A367" t="s">
        <v>264</v>
      </c>
      <c r="B367" t="s">
        <v>341</v>
      </c>
      <c r="C367">
        <v>257</v>
      </c>
    </row>
    <row r="368" spans="1:3">
      <c r="A368" t="s">
        <v>265</v>
      </c>
      <c r="B368" t="s">
        <v>20</v>
      </c>
      <c r="C368">
        <v>246</v>
      </c>
    </row>
    <row r="369" spans="1:3">
      <c r="A369" t="s">
        <v>265</v>
      </c>
      <c r="B369" t="s">
        <v>341</v>
      </c>
      <c r="C369">
        <v>246</v>
      </c>
    </row>
    <row r="370" spans="1:3">
      <c r="A370" t="s">
        <v>266</v>
      </c>
      <c r="B370" t="s">
        <v>41</v>
      </c>
      <c r="C370">
        <v>213</v>
      </c>
    </row>
    <row r="371" spans="1:3">
      <c r="A371" t="s">
        <v>266</v>
      </c>
      <c r="B371" t="s">
        <v>38</v>
      </c>
      <c r="C371">
        <v>213</v>
      </c>
    </row>
    <row r="372" spans="1:3">
      <c r="A372" t="s">
        <v>267</v>
      </c>
      <c r="B372" t="s">
        <v>20</v>
      </c>
      <c r="C372">
        <v>290</v>
      </c>
    </row>
    <row r="373" spans="1:3">
      <c r="A373" t="s">
        <v>267</v>
      </c>
      <c r="B373" t="s">
        <v>341</v>
      </c>
      <c r="C373">
        <v>290</v>
      </c>
    </row>
    <row r="374" spans="1:3">
      <c r="A374" t="s">
        <v>268</v>
      </c>
      <c r="B374" t="s">
        <v>38</v>
      </c>
      <c r="C374">
        <v>277</v>
      </c>
    </row>
    <row r="375" spans="1:3">
      <c r="A375" t="s">
        <v>269</v>
      </c>
      <c r="B375" t="s">
        <v>38</v>
      </c>
      <c r="C375">
        <v>263</v>
      </c>
    </row>
    <row r="376" spans="1:3">
      <c r="A376" t="s">
        <v>270</v>
      </c>
      <c r="B376" t="s">
        <v>20</v>
      </c>
      <c r="C376">
        <v>172</v>
      </c>
    </row>
    <row r="377" spans="1:3">
      <c r="A377" t="s">
        <v>270</v>
      </c>
      <c r="B377" t="s">
        <v>341</v>
      </c>
      <c r="C377">
        <v>172</v>
      </c>
    </row>
    <row r="378" spans="1:3">
      <c r="A378" t="s">
        <v>271</v>
      </c>
      <c r="B378" t="s">
        <v>20</v>
      </c>
      <c r="C378">
        <v>145</v>
      </c>
    </row>
    <row r="379" spans="1:3">
      <c r="A379" t="s">
        <v>272</v>
      </c>
      <c r="B379" t="s">
        <v>20</v>
      </c>
      <c r="C379">
        <v>297</v>
      </c>
    </row>
    <row r="380" spans="1:3">
      <c r="A380" t="s">
        <v>272</v>
      </c>
      <c r="B380" t="s">
        <v>341</v>
      </c>
      <c r="C380">
        <v>297</v>
      </c>
    </row>
    <row r="381" spans="1:3">
      <c r="A381" t="s">
        <v>273</v>
      </c>
      <c r="B381" t="s">
        <v>41</v>
      </c>
      <c r="C381">
        <v>214</v>
      </c>
    </row>
    <row r="382" spans="1:3">
      <c r="A382" t="s">
        <v>273</v>
      </c>
      <c r="B382" t="s">
        <v>38</v>
      </c>
      <c r="C382">
        <v>214</v>
      </c>
    </row>
    <row r="383" spans="1:3">
      <c r="A383" t="s">
        <v>274</v>
      </c>
      <c r="B383" t="s">
        <v>340</v>
      </c>
      <c r="C383">
        <v>160</v>
      </c>
    </row>
    <row r="384" spans="1:3">
      <c r="A384" t="s">
        <v>274</v>
      </c>
      <c r="B384" t="s">
        <v>38</v>
      </c>
      <c r="C384">
        <v>160</v>
      </c>
    </row>
    <row r="385" spans="1:3">
      <c r="A385" t="s">
        <v>275</v>
      </c>
      <c r="B385" t="s">
        <v>20</v>
      </c>
      <c r="C385">
        <v>277</v>
      </c>
    </row>
    <row r="386" spans="1:3">
      <c r="A386" t="s">
        <v>275</v>
      </c>
      <c r="B386" t="s">
        <v>341</v>
      </c>
      <c r="C386">
        <v>277</v>
      </c>
    </row>
    <row r="387" spans="1:3">
      <c r="A387" t="s">
        <v>276</v>
      </c>
      <c r="B387" t="s">
        <v>38</v>
      </c>
      <c r="C387">
        <v>104</v>
      </c>
    </row>
    <row r="388" spans="1:3">
      <c r="A388" t="s">
        <v>277</v>
      </c>
      <c r="B388" t="s">
        <v>20</v>
      </c>
      <c r="C388">
        <v>133</v>
      </c>
    </row>
    <row r="389" spans="1:3">
      <c r="A389" t="s">
        <v>277</v>
      </c>
      <c r="B389" t="s">
        <v>340</v>
      </c>
      <c r="C389">
        <v>133</v>
      </c>
    </row>
    <row r="390" spans="1:3">
      <c r="A390" t="s">
        <v>278</v>
      </c>
      <c r="B390" t="s">
        <v>20</v>
      </c>
      <c r="C390">
        <v>255</v>
      </c>
    </row>
    <row r="391" spans="1:3">
      <c r="A391" t="s">
        <v>278</v>
      </c>
      <c r="B391" t="s">
        <v>340</v>
      </c>
      <c r="C391">
        <v>255</v>
      </c>
    </row>
    <row r="392" spans="1:3">
      <c r="A392" t="s">
        <v>279</v>
      </c>
      <c r="B392" t="s">
        <v>20</v>
      </c>
      <c r="C392">
        <v>159</v>
      </c>
    </row>
    <row r="393" spans="1:3">
      <c r="A393" t="s">
        <v>279</v>
      </c>
      <c r="B393" t="s">
        <v>341</v>
      </c>
      <c r="C393">
        <v>159</v>
      </c>
    </row>
    <row r="394" spans="1:3">
      <c r="A394" t="s">
        <v>280</v>
      </c>
      <c r="B394" t="s">
        <v>340</v>
      </c>
      <c r="C394">
        <v>104</v>
      </c>
    </row>
    <row r="395" spans="1:3">
      <c r="A395" t="s">
        <v>280</v>
      </c>
      <c r="B395" t="s">
        <v>38</v>
      </c>
      <c r="C395">
        <v>104</v>
      </c>
    </row>
    <row r="396" spans="1:3">
      <c r="A396" t="s">
        <v>281</v>
      </c>
      <c r="B396" t="s">
        <v>41</v>
      </c>
      <c r="C396">
        <v>130</v>
      </c>
    </row>
    <row r="397" spans="1:3">
      <c r="A397" t="s">
        <v>281</v>
      </c>
      <c r="B397" t="s">
        <v>38</v>
      </c>
      <c r="C397">
        <v>130</v>
      </c>
    </row>
    <row r="398" spans="1:3">
      <c r="A398" t="s">
        <v>282</v>
      </c>
      <c r="B398" t="s">
        <v>20</v>
      </c>
      <c r="C398">
        <v>163</v>
      </c>
    </row>
    <row r="399" spans="1:3">
      <c r="A399" t="s">
        <v>282</v>
      </c>
      <c r="B399" t="s">
        <v>340</v>
      </c>
      <c r="C399">
        <v>163</v>
      </c>
    </row>
    <row r="400" spans="1:3">
      <c r="A400" t="s">
        <v>283</v>
      </c>
      <c r="B400" t="s">
        <v>20</v>
      </c>
      <c r="C400">
        <v>225</v>
      </c>
    </row>
    <row r="401" spans="1:3">
      <c r="A401" t="s">
        <v>283</v>
      </c>
      <c r="B401" t="s">
        <v>41</v>
      </c>
      <c r="C401">
        <v>225</v>
      </c>
    </row>
    <row r="402" spans="1:3">
      <c r="A402" t="s">
        <v>284</v>
      </c>
      <c r="B402" t="s">
        <v>20</v>
      </c>
      <c r="C402">
        <v>96</v>
      </c>
    </row>
    <row r="403" spans="1:3">
      <c r="A403" t="s">
        <v>285</v>
      </c>
      <c r="B403" t="s">
        <v>38</v>
      </c>
      <c r="C403">
        <v>145</v>
      </c>
    </row>
    <row r="404" spans="1:3">
      <c r="A404" t="s">
        <v>286</v>
      </c>
      <c r="B404" t="s">
        <v>41</v>
      </c>
      <c r="C404">
        <v>262</v>
      </c>
    </row>
    <row r="405" spans="1:3">
      <c r="A405" t="s">
        <v>287</v>
      </c>
      <c r="B405" t="s">
        <v>20</v>
      </c>
      <c r="C405">
        <v>248</v>
      </c>
    </row>
    <row r="406" spans="1:3">
      <c r="A406" t="s">
        <v>287</v>
      </c>
      <c r="B406" t="s">
        <v>341</v>
      </c>
      <c r="C406">
        <v>248</v>
      </c>
    </row>
    <row r="407" spans="1:3">
      <c r="A407" t="s">
        <v>288</v>
      </c>
      <c r="B407" t="s">
        <v>20</v>
      </c>
      <c r="C407">
        <v>160</v>
      </c>
    </row>
    <row r="408" spans="1:3">
      <c r="A408" t="s">
        <v>288</v>
      </c>
      <c r="B408" t="s">
        <v>341</v>
      </c>
      <c r="C408">
        <v>160</v>
      </c>
    </row>
    <row r="409" spans="1:3">
      <c r="A409" t="s">
        <v>289</v>
      </c>
      <c r="B409" t="s">
        <v>38</v>
      </c>
      <c r="C409">
        <v>262</v>
      </c>
    </row>
    <row r="410" spans="1:3">
      <c r="A410" t="s">
        <v>290</v>
      </c>
      <c r="B410" t="s">
        <v>20</v>
      </c>
      <c r="C410">
        <v>90</v>
      </c>
    </row>
    <row r="411" spans="1:3">
      <c r="A411" t="s">
        <v>290</v>
      </c>
      <c r="B411" t="s">
        <v>340</v>
      </c>
      <c r="C411">
        <v>90</v>
      </c>
    </row>
    <row r="412" spans="1:3">
      <c r="A412" t="s">
        <v>291</v>
      </c>
      <c r="B412" t="s">
        <v>340</v>
      </c>
      <c r="C412">
        <v>146</v>
      </c>
    </row>
    <row r="413" spans="1:3">
      <c r="A413" t="s">
        <v>291</v>
      </c>
      <c r="B413" t="s">
        <v>38</v>
      </c>
      <c r="C413">
        <v>146</v>
      </c>
    </row>
    <row r="414" spans="1:3">
      <c r="A414" t="s">
        <v>292</v>
      </c>
      <c r="B414" t="s">
        <v>20</v>
      </c>
      <c r="C414">
        <v>272</v>
      </c>
    </row>
    <row r="415" spans="1:3">
      <c r="A415" t="s">
        <v>292</v>
      </c>
      <c r="B415" t="s">
        <v>340</v>
      </c>
      <c r="C415">
        <v>272</v>
      </c>
    </row>
    <row r="416" spans="1:3">
      <c r="A416" t="s">
        <v>293</v>
      </c>
      <c r="B416" t="s">
        <v>20</v>
      </c>
      <c r="C416">
        <v>286</v>
      </c>
    </row>
    <row r="417" spans="1:3">
      <c r="A417" t="s">
        <v>293</v>
      </c>
      <c r="B417" t="s">
        <v>41</v>
      </c>
      <c r="C417">
        <v>286</v>
      </c>
    </row>
    <row r="418" spans="1:3">
      <c r="A418" t="s">
        <v>294</v>
      </c>
      <c r="B418" t="s">
        <v>41</v>
      </c>
      <c r="C418">
        <v>138</v>
      </c>
    </row>
    <row r="419" spans="1:3">
      <c r="A419" t="s">
        <v>294</v>
      </c>
      <c r="B419" t="s">
        <v>38</v>
      </c>
      <c r="C419">
        <v>138</v>
      </c>
    </row>
    <row r="420" spans="1:3">
      <c r="A420" t="s">
        <v>295</v>
      </c>
      <c r="B420" t="s">
        <v>340</v>
      </c>
      <c r="C420">
        <v>128</v>
      </c>
    </row>
    <row r="421" spans="1:3">
      <c r="A421" t="s">
        <v>295</v>
      </c>
      <c r="B421" t="s">
        <v>38</v>
      </c>
      <c r="C421">
        <v>128</v>
      </c>
    </row>
    <row r="422" spans="1:3">
      <c r="A422" t="s">
        <v>296</v>
      </c>
      <c r="B422" t="s">
        <v>41</v>
      </c>
      <c r="C422">
        <v>190</v>
      </c>
    </row>
    <row r="423" spans="1:3">
      <c r="A423" t="s">
        <v>297</v>
      </c>
      <c r="B423" t="s">
        <v>340</v>
      </c>
      <c r="C423">
        <v>174</v>
      </c>
    </row>
    <row r="424" spans="1:3">
      <c r="A424" t="s">
        <v>297</v>
      </c>
      <c r="B424" t="s">
        <v>38</v>
      </c>
      <c r="C424">
        <v>174</v>
      </c>
    </row>
    <row r="425" spans="1:3">
      <c r="A425" t="s">
        <v>298</v>
      </c>
      <c r="B425" t="s">
        <v>20</v>
      </c>
      <c r="C425">
        <v>173</v>
      </c>
    </row>
    <row r="426" spans="1:3">
      <c r="A426" t="s">
        <v>298</v>
      </c>
      <c r="B426" t="s">
        <v>341</v>
      </c>
      <c r="C426">
        <v>173</v>
      </c>
    </row>
    <row r="427" spans="1:3">
      <c r="A427" t="s">
        <v>299</v>
      </c>
      <c r="B427" t="s">
        <v>20</v>
      </c>
      <c r="C427">
        <v>185</v>
      </c>
    </row>
    <row r="428" spans="1:3">
      <c r="A428" t="s">
        <v>299</v>
      </c>
      <c r="B428" t="s">
        <v>41</v>
      </c>
      <c r="C428">
        <v>185</v>
      </c>
    </row>
    <row r="429" spans="1:3">
      <c r="A429" t="s">
        <v>300</v>
      </c>
      <c r="B429" t="s">
        <v>20</v>
      </c>
      <c r="C429">
        <v>221</v>
      </c>
    </row>
    <row r="430" spans="1:3">
      <c r="A430" t="s">
        <v>300</v>
      </c>
      <c r="B430" t="s">
        <v>340</v>
      </c>
      <c r="C430">
        <v>221</v>
      </c>
    </row>
    <row r="431" spans="1:3">
      <c r="A431" t="s">
        <v>301</v>
      </c>
      <c r="B431" t="s">
        <v>38</v>
      </c>
      <c r="C431">
        <v>246</v>
      </c>
    </row>
    <row r="432" spans="1:3">
      <c r="A432" t="s">
        <v>302</v>
      </c>
      <c r="B432" t="s">
        <v>20</v>
      </c>
      <c r="C432">
        <v>111</v>
      </c>
    </row>
    <row r="433" spans="1:3">
      <c r="A433" t="s">
        <v>302</v>
      </c>
      <c r="B433" t="s">
        <v>341</v>
      </c>
      <c r="C433">
        <v>111</v>
      </c>
    </row>
    <row r="434" spans="1:3">
      <c r="A434" t="s">
        <v>303</v>
      </c>
      <c r="B434" t="s">
        <v>20</v>
      </c>
      <c r="C434">
        <v>85</v>
      </c>
    </row>
    <row r="435" spans="1:3">
      <c r="A435" t="s">
        <v>303</v>
      </c>
      <c r="B435" t="s">
        <v>41</v>
      </c>
      <c r="C435">
        <v>85</v>
      </c>
    </row>
    <row r="436" spans="1:3">
      <c r="A436" t="s">
        <v>304</v>
      </c>
      <c r="B436" t="s">
        <v>20</v>
      </c>
      <c r="C436">
        <v>205</v>
      </c>
    </row>
    <row r="437" spans="1:3">
      <c r="A437" t="s">
        <v>304</v>
      </c>
      <c r="B437" t="s">
        <v>41</v>
      </c>
      <c r="C437">
        <v>205</v>
      </c>
    </row>
    <row r="438" spans="1:3">
      <c r="A438" t="s">
        <v>305</v>
      </c>
      <c r="B438" t="s">
        <v>20</v>
      </c>
      <c r="C438">
        <v>265</v>
      </c>
    </row>
    <row r="439" spans="1:3">
      <c r="A439" t="s">
        <v>305</v>
      </c>
      <c r="B439" t="s">
        <v>340</v>
      </c>
      <c r="C439">
        <v>265</v>
      </c>
    </row>
    <row r="440" spans="1:3">
      <c r="A440" t="s">
        <v>306</v>
      </c>
      <c r="B440" t="s">
        <v>20</v>
      </c>
      <c r="C440">
        <v>210</v>
      </c>
    </row>
    <row r="441" spans="1:3">
      <c r="A441" t="s">
        <v>306</v>
      </c>
      <c r="B441" t="s">
        <v>340</v>
      </c>
      <c r="C441">
        <v>210</v>
      </c>
    </row>
    <row r="442" spans="1:3">
      <c r="A442" t="s">
        <v>307</v>
      </c>
      <c r="B442" t="s">
        <v>41</v>
      </c>
      <c r="C442">
        <v>126</v>
      </c>
    </row>
    <row r="443" spans="1:3">
      <c r="A443" t="s">
        <v>308</v>
      </c>
      <c r="B443" t="s">
        <v>38</v>
      </c>
      <c r="C443">
        <v>276</v>
      </c>
    </row>
    <row r="444" spans="1:3">
      <c r="A444" t="s">
        <v>309</v>
      </c>
      <c r="B444" t="s">
        <v>20</v>
      </c>
      <c r="C444">
        <v>195</v>
      </c>
    </row>
    <row r="445" spans="1:3">
      <c r="A445" t="s">
        <v>310</v>
      </c>
      <c r="B445" t="s">
        <v>20</v>
      </c>
      <c r="C445">
        <v>234</v>
      </c>
    </row>
    <row r="446" spans="1:3">
      <c r="A446" t="s">
        <v>311</v>
      </c>
      <c r="B446" t="s">
        <v>38</v>
      </c>
      <c r="C446">
        <v>143</v>
      </c>
    </row>
    <row r="447" spans="1:3">
      <c r="A447" t="s">
        <v>312</v>
      </c>
      <c r="B447" t="s">
        <v>38</v>
      </c>
      <c r="C447">
        <v>184</v>
      </c>
    </row>
    <row r="448" spans="1:3">
      <c r="A448" t="s">
        <v>313</v>
      </c>
      <c r="B448" t="s">
        <v>41</v>
      </c>
      <c r="C448">
        <v>163</v>
      </c>
    </row>
    <row r="449" spans="1:3">
      <c r="A449" t="s">
        <v>313</v>
      </c>
      <c r="B449" t="s">
        <v>38</v>
      </c>
      <c r="C449">
        <v>163</v>
      </c>
    </row>
    <row r="450" spans="1:3">
      <c r="A450" t="s">
        <v>314</v>
      </c>
      <c r="B450" t="s">
        <v>41</v>
      </c>
      <c r="C450">
        <v>212</v>
      </c>
    </row>
    <row r="451" spans="1:3">
      <c r="A451" t="s">
        <v>314</v>
      </c>
      <c r="B451" t="s">
        <v>38</v>
      </c>
      <c r="C451">
        <v>212</v>
      </c>
    </row>
    <row r="452" spans="1:3">
      <c r="A452" t="s">
        <v>315</v>
      </c>
      <c r="B452" t="s">
        <v>20</v>
      </c>
      <c r="C452">
        <v>184</v>
      </c>
    </row>
    <row r="453" spans="1:3">
      <c r="A453" t="s">
        <v>315</v>
      </c>
      <c r="B453" t="s">
        <v>340</v>
      </c>
      <c r="C453">
        <v>184</v>
      </c>
    </row>
    <row r="454" spans="1:3">
      <c r="A454" t="s">
        <v>316</v>
      </c>
      <c r="B454" t="s">
        <v>41</v>
      </c>
      <c r="C454">
        <v>291</v>
      </c>
    </row>
    <row r="455" spans="1:3">
      <c r="A455" t="s">
        <v>316</v>
      </c>
      <c r="B455" t="s">
        <v>38</v>
      </c>
      <c r="C455">
        <v>291</v>
      </c>
    </row>
    <row r="456" spans="1:3">
      <c r="A456" t="s">
        <v>317</v>
      </c>
      <c r="B456" t="s">
        <v>340</v>
      </c>
      <c r="C456">
        <v>163</v>
      </c>
    </row>
    <row r="457" spans="1:3">
      <c r="A457" t="s">
        <v>317</v>
      </c>
      <c r="B457" t="s">
        <v>38</v>
      </c>
      <c r="C457">
        <v>163</v>
      </c>
    </row>
    <row r="458" spans="1:3">
      <c r="A458" t="s">
        <v>318</v>
      </c>
      <c r="B458" t="s">
        <v>20</v>
      </c>
      <c r="C458">
        <v>295</v>
      </c>
    </row>
    <row r="459" spans="1:3">
      <c r="A459" t="s">
        <v>319</v>
      </c>
      <c r="B459" t="s">
        <v>38</v>
      </c>
      <c r="C459">
        <v>111</v>
      </c>
    </row>
    <row r="460" spans="1:3">
      <c r="A460" t="s">
        <v>320</v>
      </c>
      <c r="B460" t="s">
        <v>20</v>
      </c>
      <c r="C460">
        <v>228</v>
      </c>
    </row>
    <row r="461" spans="1:3">
      <c r="A461" t="s">
        <v>320</v>
      </c>
      <c r="B461" t="s">
        <v>341</v>
      </c>
      <c r="C461">
        <v>228</v>
      </c>
    </row>
    <row r="462" spans="1:3">
      <c r="A462" t="s">
        <v>321</v>
      </c>
      <c r="B462" t="s">
        <v>20</v>
      </c>
      <c r="C462">
        <v>198</v>
      </c>
    </row>
    <row r="463" spans="1:3">
      <c r="A463" t="s">
        <v>322</v>
      </c>
      <c r="B463" t="s">
        <v>20</v>
      </c>
      <c r="C463">
        <v>156</v>
      </c>
    </row>
    <row r="464" spans="1:3">
      <c r="A464" t="s">
        <v>322</v>
      </c>
      <c r="B464" t="s">
        <v>341</v>
      </c>
      <c r="C464">
        <v>156</v>
      </c>
    </row>
    <row r="465" spans="1:3">
      <c r="A465" t="s">
        <v>323</v>
      </c>
      <c r="B465" t="s">
        <v>20</v>
      </c>
      <c r="C465">
        <v>114</v>
      </c>
    </row>
    <row r="466" spans="1:3">
      <c r="A466" t="s">
        <v>323</v>
      </c>
      <c r="B466" t="s">
        <v>340</v>
      </c>
      <c r="C466">
        <v>114</v>
      </c>
    </row>
    <row r="467" spans="1:3">
      <c r="A467" t="s">
        <v>324</v>
      </c>
      <c r="B467" t="s">
        <v>38</v>
      </c>
      <c r="C467">
        <v>269</v>
      </c>
    </row>
    <row r="468" spans="1:3">
      <c r="A468" t="s">
        <v>325</v>
      </c>
      <c r="B468" t="s">
        <v>41</v>
      </c>
      <c r="C468">
        <v>155</v>
      </c>
    </row>
    <row r="469" spans="1:3">
      <c r="A469" t="s">
        <v>326</v>
      </c>
      <c r="B469" t="s">
        <v>41</v>
      </c>
      <c r="C469">
        <v>178</v>
      </c>
    </row>
    <row r="470" spans="1:3">
      <c r="A470" t="s">
        <v>326</v>
      </c>
      <c r="B470" t="s">
        <v>38</v>
      </c>
      <c r="C470">
        <v>178</v>
      </c>
    </row>
    <row r="471" spans="1:3">
      <c r="A471" t="s">
        <v>327</v>
      </c>
      <c r="B471" t="s">
        <v>340</v>
      </c>
      <c r="C471">
        <v>112</v>
      </c>
    </row>
    <row r="472" spans="1:3">
      <c r="A472" t="s">
        <v>327</v>
      </c>
      <c r="B472" t="s">
        <v>38</v>
      </c>
      <c r="C472">
        <v>112</v>
      </c>
    </row>
    <row r="473" spans="1:3">
      <c r="A473" t="s">
        <v>328</v>
      </c>
      <c r="B473" t="s">
        <v>20</v>
      </c>
      <c r="C473">
        <v>106</v>
      </c>
    </row>
    <row r="474" spans="1:3">
      <c r="A474" t="s">
        <v>328</v>
      </c>
      <c r="B474" t="s">
        <v>41</v>
      </c>
      <c r="C474">
        <v>106</v>
      </c>
    </row>
    <row r="475" spans="1:3">
      <c r="A475" t="s">
        <v>329</v>
      </c>
      <c r="B475" t="s">
        <v>20</v>
      </c>
      <c r="C475">
        <v>147</v>
      </c>
    </row>
    <row r="476" spans="1:3">
      <c r="A476" t="s">
        <v>330</v>
      </c>
      <c r="B476" t="s">
        <v>38</v>
      </c>
      <c r="C476">
        <v>165</v>
      </c>
    </row>
    <row r="477" spans="1:3">
      <c r="A477" t="s">
        <v>331</v>
      </c>
      <c r="B477" t="s">
        <v>340</v>
      </c>
      <c r="C477">
        <v>165</v>
      </c>
    </row>
    <row r="478" spans="1:3">
      <c r="A478" t="s">
        <v>331</v>
      </c>
      <c r="B478" t="s">
        <v>38</v>
      </c>
      <c r="C478">
        <v>165</v>
      </c>
    </row>
    <row r="479" spans="1:3">
      <c r="A479" t="s">
        <v>332</v>
      </c>
      <c r="B479" t="s">
        <v>41</v>
      </c>
      <c r="C479">
        <v>160</v>
      </c>
    </row>
    <row r="480" spans="1:3">
      <c r="A480" t="s">
        <v>333</v>
      </c>
      <c r="B480" t="s">
        <v>38</v>
      </c>
      <c r="C480">
        <v>83</v>
      </c>
    </row>
    <row r="481" spans="1:3">
      <c r="A481" t="s">
        <v>334</v>
      </c>
      <c r="B481" t="s">
        <v>20</v>
      </c>
      <c r="C481">
        <v>240</v>
      </c>
    </row>
    <row r="482" spans="1:3">
      <c r="A482" t="s">
        <v>334</v>
      </c>
      <c r="B482" t="s">
        <v>340</v>
      </c>
      <c r="C482">
        <v>240</v>
      </c>
    </row>
    <row r="483" spans="1:3">
      <c r="A483" t="s">
        <v>335</v>
      </c>
      <c r="B483" t="s">
        <v>41</v>
      </c>
      <c r="C483">
        <v>270</v>
      </c>
    </row>
    <row r="484" spans="1:3">
      <c r="A484" t="s">
        <v>335</v>
      </c>
      <c r="B484" t="s">
        <v>38</v>
      </c>
      <c r="C484">
        <v>270</v>
      </c>
    </row>
  </sheetData>
  <mergeCells count="3">
    <mergeCell ref="G6:H6"/>
    <mergeCell ref="G2:H2"/>
    <mergeCell ref="J9:N13"/>
  </mergeCells>
  <phoneticPr fontId="29" type="noConversion"/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019E-90B9-4E47-BFFC-C59F50BF619E}">
  <sheetPr>
    <tabColor theme="4" tint="-0.249977111117893"/>
  </sheetPr>
  <dimension ref="A2:M14"/>
  <sheetViews>
    <sheetView zoomScale="120" zoomScaleNormal="120" workbookViewId="0">
      <selection activeCell="E9" sqref="E9"/>
    </sheetView>
  </sheetViews>
  <sheetFormatPr defaultRowHeight="14.4"/>
  <cols>
    <col min="2" max="2" width="17.77734375" bestFit="1" customWidth="1"/>
    <col min="5" max="5" width="26.77734375" customWidth="1"/>
    <col min="6" max="6" width="16.6640625" customWidth="1"/>
    <col min="7" max="7" width="11.109375" customWidth="1"/>
    <col min="8" max="8" width="10.5546875" customWidth="1"/>
    <col min="10" max="10" width="7.88671875" customWidth="1"/>
    <col min="11" max="11" width="16.5546875" customWidth="1"/>
  </cols>
  <sheetData>
    <row r="2" spans="1:13" ht="19.95" customHeight="1">
      <c r="E2" s="86" t="s">
        <v>347</v>
      </c>
      <c r="F2" s="86"/>
      <c r="G2" s="86"/>
    </row>
    <row r="3" spans="1:13" ht="8.4" customHeight="1"/>
    <row r="4" spans="1:13" s="38" customFormat="1" ht="22.95" customHeight="1">
      <c r="A4" s="112" t="s">
        <v>363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1:13">
      <c r="J5" s="113" t="s">
        <v>366</v>
      </c>
      <c r="K5" s="113"/>
    </row>
    <row r="6" spans="1:13" ht="19.95" customHeight="1">
      <c r="E6" s="111" t="s">
        <v>346</v>
      </c>
      <c r="F6" s="111"/>
      <c r="G6" s="111"/>
      <c r="J6" s="57" t="s">
        <v>367</v>
      </c>
      <c r="K6" s="58" t="s">
        <v>368</v>
      </c>
    </row>
    <row r="7" spans="1:13">
      <c r="E7" s="5" t="s">
        <v>343</v>
      </c>
      <c r="F7" s="5" t="s">
        <v>342</v>
      </c>
      <c r="G7" s="6" t="s">
        <v>345</v>
      </c>
    </row>
    <row r="8" spans="1:13">
      <c r="E8" s="2" t="s">
        <v>341</v>
      </c>
      <c r="F8" s="39">
        <v>208.47058823529412</v>
      </c>
      <c r="G8" s="4">
        <f>RANK(F8,$F$8:$F$12,0)</f>
        <v>1</v>
      </c>
    </row>
    <row r="9" spans="1:13" ht="14.4" customHeight="1">
      <c r="E9" s="71" t="s">
        <v>20</v>
      </c>
      <c r="F9" s="39">
        <v>197</v>
      </c>
      <c r="G9" s="72">
        <f t="shared" ref="G9:G12" si="0">RANK(F9,$F$8:$F$12,0)</f>
        <v>2</v>
      </c>
      <c r="I9" s="114" t="s">
        <v>372</v>
      </c>
      <c r="J9" s="114"/>
      <c r="K9" s="114"/>
      <c r="L9" s="114"/>
      <c r="M9" s="114"/>
    </row>
    <row r="10" spans="1:13">
      <c r="E10" s="2" t="s">
        <v>41</v>
      </c>
      <c r="F10" s="3">
        <v>192</v>
      </c>
      <c r="G10" s="4">
        <f t="shared" si="0"/>
        <v>3</v>
      </c>
      <c r="I10" s="114"/>
      <c r="J10" s="114"/>
      <c r="K10" s="114"/>
      <c r="L10" s="114"/>
      <c r="M10" s="114"/>
    </row>
    <row r="11" spans="1:13">
      <c r="E11" s="2" t="s">
        <v>38</v>
      </c>
      <c r="F11" s="3">
        <v>187</v>
      </c>
      <c r="G11" s="4">
        <f t="shared" si="0"/>
        <v>4</v>
      </c>
      <c r="I11" s="114"/>
      <c r="J11" s="114"/>
      <c r="K11" s="114"/>
      <c r="L11" s="114"/>
      <c r="M11" s="114"/>
    </row>
    <row r="12" spans="1:13">
      <c r="E12" s="2" t="s">
        <v>340</v>
      </c>
      <c r="F12" s="3">
        <v>183</v>
      </c>
      <c r="G12" s="4">
        <f t="shared" si="0"/>
        <v>5</v>
      </c>
      <c r="I12" s="114"/>
      <c r="J12" s="114"/>
      <c r="K12" s="114"/>
      <c r="L12" s="114"/>
      <c r="M12" s="114"/>
    </row>
    <row r="14" spans="1:13">
      <c r="E14" s="54"/>
    </row>
  </sheetData>
  <sortState xmlns:xlrd2="http://schemas.microsoft.com/office/spreadsheetml/2017/richdata2" ref="F8:F12">
    <sortCondition descending="1" ref="F8:F12"/>
  </sortState>
  <mergeCells count="5">
    <mergeCell ref="E6:G6"/>
    <mergeCell ref="A4:M4"/>
    <mergeCell ref="E2:G2"/>
    <mergeCell ref="J5:K5"/>
    <mergeCell ref="I9:M12"/>
  </mergeCells>
  <conditionalFormatting sqref="E8:G12 E14">
    <cfRule type="expression" dxfId="0" priority="2">
      <formula>$G8=1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00D05-B150-48D8-AA57-1E18BC1E6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Cleaned_post_Data </vt:lpstr>
      <vt:lpstr>Calculate Engagement Rate (%)</vt:lpstr>
      <vt:lpstr>Identify Top 10 Posts </vt:lpstr>
      <vt:lpstr>Create Pivot Table showing </vt:lpstr>
      <vt:lpstr>Average Clicks per Post </vt:lpstr>
      <vt:lpstr>Highlight Top-performing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turka</dc:creator>
  <cp:lastModifiedBy>turkarnaveen8@gmail.com</cp:lastModifiedBy>
  <cp:lastPrinted>2026-02-07T19:19:17Z</cp:lastPrinted>
  <dcterms:created xsi:type="dcterms:W3CDTF">2026-02-01T13:18:53Z</dcterms:created>
  <dcterms:modified xsi:type="dcterms:W3CDTF">2026-02-25T18:05:55Z</dcterms:modified>
</cp:coreProperties>
</file>