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Social Media Analytics for Strategic Branding\"/>
    </mc:Choice>
  </mc:AlternateContent>
  <xr:revisionPtr revIDLastSave="0" documentId="13_ncr:1_{56D537A0-81EB-4A0A-8F1F-69F8A310D176}" xr6:coauthVersionLast="47" xr6:coauthVersionMax="47" xr10:uidLastSave="{00000000-0000-0000-0000-000000000000}"/>
  <bookViews>
    <workbookView xWindow="-108" yWindow="-108" windowWidth="23256" windowHeight="12456" tabRatio="829" xr2:uid="{00000000-000D-0000-FFFF-FFFF00000000}"/>
  </bookViews>
  <sheets>
    <sheet name="Cleaned_post_Data" sheetId="33" r:id="rId1"/>
    <sheet name="Cleaned_Engagement_Data " sheetId="25" r:id="rId2"/>
    <sheet name=" Highest Engagement " sheetId="34" r:id="rId3"/>
    <sheet name="Compare Weekly Follower" sheetId="32" r:id="rId4"/>
    <sheet name="Ad Spend vs Engagement" sheetId="36" r:id="rId5"/>
    <sheet name=" Recommend Platform" sheetId="38" r:id="rId6"/>
    <sheet name="Raw_Posts" sheetId="1" state="hidden" r:id="rId7"/>
    <sheet name="Raw_Engagement " sheetId="2" state="hidden" r:id="rId8"/>
    <sheet name="Raw-Campaign " sheetId="3" state="hidden" r:id="rId9"/>
  </sheets>
  <definedNames>
    <definedName name="_xlnm._FilterDatabase" localSheetId="1" hidden="1">'Cleaned_Engagement_Data '!$A$1:$G$201</definedName>
    <definedName name="_xlnm._FilterDatabase" localSheetId="0" hidden="1">Cleaned_post_Data!$A$1:$N$301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FCE2AD5D-F65C-4FA6-A056-5C36A1767C68}">
      <x15:dataModel>
        <x15:modelTables>
          <x15:modelTable id="Cleaned_Engagement_Data _xlnm#_FilterDatabase_f351669f-a664-4b14-b63f-9b61eb686c2e" name="Cleaned_Engagement_Data _xlnm#_FilterDatabase" connection="Excel Task-1  Data Preprocessing and Cleaning"/>
          <x15:modelTable id="Cleaned_post_Data_9e9d38f5-18d7-4b03-864a-7e743012f42c" name="Cleaned_post_Data" connection="Excel Task-1  Data Preprocessing and Cleanin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6" l="1" a="1"/>
  <c r="D8" i="36" s="1"/>
  <c r="E8" i="36" s="1"/>
  <c r="I43" i="25"/>
  <c r="I44" i="25"/>
  <c r="I45" i="25"/>
  <c r="I46" i="25"/>
  <c r="I49" i="25"/>
  <c r="I67" i="25"/>
  <c r="I69" i="25"/>
  <c r="I70" i="25"/>
  <c r="I79" i="25"/>
  <c r="I80" i="25"/>
  <c r="I91" i="25"/>
  <c r="I92" i="25"/>
  <c r="I93" i="25"/>
  <c r="I94" i="25"/>
  <c r="I103" i="25"/>
  <c r="I105" i="25"/>
  <c r="I129" i="25"/>
  <c r="I151" i="25"/>
  <c r="I152" i="25"/>
  <c r="I153" i="25"/>
  <c r="I157" i="25"/>
  <c r="I158" i="25"/>
  <c r="I175" i="25"/>
  <c r="I177" i="25"/>
  <c r="I199" i="25"/>
  <c r="I200" i="25"/>
  <c r="I201" i="25"/>
  <c r="O3" i="33"/>
  <c r="O4" i="33"/>
  <c r="O5" i="33"/>
  <c r="O6" i="33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62" i="33"/>
  <c r="O63" i="33"/>
  <c r="O64" i="33"/>
  <c r="O65" i="33"/>
  <c r="O66" i="33"/>
  <c r="O67" i="33"/>
  <c r="O68" i="33"/>
  <c r="O69" i="33"/>
  <c r="O70" i="33"/>
  <c r="O71" i="33"/>
  <c r="O72" i="33"/>
  <c r="O73" i="33"/>
  <c r="O74" i="33"/>
  <c r="O75" i="33"/>
  <c r="O76" i="33"/>
  <c r="O77" i="33"/>
  <c r="O78" i="33"/>
  <c r="O79" i="33"/>
  <c r="O80" i="33"/>
  <c r="O81" i="33"/>
  <c r="O82" i="33"/>
  <c r="O83" i="33"/>
  <c r="O84" i="33"/>
  <c r="O85" i="33"/>
  <c r="O86" i="33"/>
  <c r="O87" i="33"/>
  <c r="O88" i="33"/>
  <c r="O89" i="33"/>
  <c r="O90" i="33"/>
  <c r="O91" i="33"/>
  <c r="O92" i="33"/>
  <c r="O93" i="33"/>
  <c r="O94" i="33"/>
  <c r="O95" i="33"/>
  <c r="O96" i="33"/>
  <c r="O97" i="33"/>
  <c r="O98" i="33"/>
  <c r="O99" i="33"/>
  <c r="O100" i="33"/>
  <c r="O101" i="33"/>
  <c r="O102" i="33"/>
  <c r="O103" i="33"/>
  <c r="O104" i="33"/>
  <c r="O105" i="33"/>
  <c r="O106" i="33"/>
  <c r="O107" i="33"/>
  <c r="O108" i="33"/>
  <c r="O109" i="33"/>
  <c r="O110" i="33"/>
  <c r="O111" i="33"/>
  <c r="O112" i="33"/>
  <c r="O113" i="33"/>
  <c r="O114" i="33"/>
  <c r="O115" i="33"/>
  <c r="O116" i="33"/>
  <c r="O117" i="33"/>
  <c r="O118" i="33"/>
  <c r="O119" i="33"/>
  <c r="O120" i="33"/>
  <c r="O121" i="33"/>
  <c r="O122" i="33"/>
  <c r="O123" i="33"/>
  <c r="O124" i="33"/>
  <c r="O125" i="33"/>
  <c r="O126" i="33"/>
  <c r="O127" i="33"/>
  <c r="O128" i="33"/>
  <c r="O129" i="33"/>
  <c r="O130" i="33"/>
  <c r="O131" i="33"/>
  <c r="O132" i="33"/>
  <c r="O133" i="33"/>
  <c r="O134" i="33"/>
  <c r="O135" i="33"/>
  <c r="O136" i="33"/>
  <c r="O137" i="33"/>
  <c r="O138" i="33"/>
  <c r="O139" i="33"/>
  <c r="O140" i="33"/>
  <c r="O141" i="33"/>
  <c r="O142" i="33"/>
  <c r="O143" i="33"/>
  <c r="O144" i="33"/>
  <c r="O145" i="33"/>
  <c r="O146" i="33"/>
  <c r="O147" i="33"/>
  <c r="O148" i="33"/>
  <c r="O149" i="33"/>
  <c r="O150" i="33"/>
  <c r="O151" i="33"/>
  <c r="O152" i="33"/>
  <c r="O153" i="33"/>
  <c r="O154" i="33"/>
  <c r="O155" i="33"/>
  <c r="O156" i="33"/>
  <c r="O157" i="33"/>
  <c r="O158" i="33"/>
  <c r="O159" i="33"/>
  <c r="O160" i="33"/>
  <c r="O161" i="33"/>
  <c r="O162" i="33"/>
  <c r="O163" i="33"/>
  <c r="O164" i="33"/>
  <c r="O165" i="33"/>
  <c r="O166" i="33"/>
  <c r="O167" i="33"/>
  <c r="O168" i="33"/>
  <c r="O169" i="33"/>
  <c r="O170" i="33"/>
  <c r="O171" i="33"/>
  <c r="O172" i="33"/>
  <c r="O173" i="33"/>
  <c r="O174" i="33"/>
  <c r="O175" i="33"/>
  <c r="O176" i="33"/>
  <c r="O177" i="33"/>
  <c r="O178" i="33"/>
  <c r="O179" i="33"/>
  <c r="O180" i="33"/>
  <c r="O181" i="33"/>
  <c r="O182" i="33"/>
  <c r="O183" i="33"/>
  <c r="O184" i="33"/>
  <c r="O185" i="33"/>
  <c r="O186" i="33"/>
  <c r="O187" i="33"/>
  <c r="O188" i="33"/>
  <c r="O189" i="33"/>
  <c r="O190" i="33"/>
  <c r="O191" i="33"/>
  <c r="O192" i="33"/>
  <c r="O193" i="33"/>
  <c r="O194" i="33"/>
  <c r="O195" i="33"/>
  <c r="O196" i="33"/>
  <c r="O197" i="33"/>
  <c r="O198" i="33"/>
  <c r="O199" i="33"/>
  <c r="O200" i="33"/>
  <c r="O201" i="33"/>
  <c r="O202" i="33"/>
  <c r="O203" i="33"/>
  <c r="O204" i="33"/>
  <c r="O205" i="33"/>
  <c r="O206" i="33"/>
  <c r="O207" i="33"/>
  <c r="O208" i="33"/>
  <c r="O209" i="33"/>
  <c r="O210" i="33"/>
  <c r="O211" i="33"/>
  <c r="O212" i="33"/>
  <c r="O213" i="33"/>
  <c r="O214" i="33"/>
  <c r="O215" i="33"/>
  <c r="O216" i="33"/>
  <c r="O217" i="33"/>
  <c r="O218" i="33"/>
  <c r="O219" i="33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2" i="33"/>
  <c r="H3" i="25"/>
  <c r="I3" i="25" s="1"/>
  <c r="H4" i="25"/>
  <c r="H5" i="25"/>
  <c r="H6" i="25"/>
  <c r="H7" i="25"/>
  <c r="I7" i="25" s="1"/>
  <c r="H8" i="25"/>
  <c r="I8" i="25" s="1"/>
  <c r="H9" i="25"/>
  <c r="I9" i="25" s="1"/>
  <c r="H10" i="25"/>
  <c r="H11" i="25"/>
  <c r="I11" i="25" s="1"/>
  <c r="H12" i="25"/>
  <c r="I12" i="25" s="1"/>
  <c r="H13" i="25"/>
  <c r="I13" i="25" s="1"/>
  <c r="H14" i="25"/>
  <c r="I14" i="25" s="1"/>
  <c r="H15" i="25"/>
  <c r="I15" i="25" s="1"/>
  <c r="H16" i="25"/>
  <c r="H17" i="25"/>
  <c r="H18" i="25"/>
  <c r="H19" i="25"/>
  <c r="I19" i="25" s="1"/>
  <c r="H20" i="25"/>
  <c r="I20" i="25" s="1"/>
  <c r="H21" i="25"/>
  <c r="I21" i="25" s="1"/>
  <c r="H22" i="25"/>
  <c r="I22" i="25" s="1"/>
  <c r="H23" i="25"/>
  <c r="I23" i="25" s="1"/>
  <c r="H24" i="25"/>
  <c r="I24" i="25" s="1"/>
  <c r="H25" i="25"/>
  <c r="I25" i="25" s="1"/>
  <c r="H26" i="25"/>
  <c r="I26" i="25" s="1"/>
  <c r="H27" i="25"/>
  <c r="I27" i="25" s="1"/>
  <c r="H28" i="25"/>
  <c r="H29" i="25"/>
  <c r="H30" i="25"/>
  <c r="H31" i="25"/>
  <c r="I31" i="25" s="1"/>
  <c r="H32" i="25"/>
  <c r="I32" i="25" s="1"/>
  <c r="H33" i="25"/>
  <c r="I33" i="25" s="1"/>
  <c r="H34" i="25"/>
  <c r="H35" i="25"/>
  <c r="I35" i="25" s="1"/>
  <c r="H36" i="25"/>
  <c r="I36" i="25" s="1"/>
  <c r="H37" i="25"/>
  <c r="I37" i="25" s="1"/>
  <c r="H38" i="25"/>
  <c r="I38" i="25" s="1"/>
  <c r="H39" i="25"/>
  <c r="I39" i="25" s="1"/>
  <c r="H40" i="25"/>
  <c r="H41" i="25"/>
  <c r="H42" i="25"/>
  <c r="H43" i="25"/>
  <c r="H44" i="25"/>
  <c r="H45" i="25"/>
  <c r="H46" i="25"/>
  <c r="H47" i="25"/>
  <c r="I47" i="25" s="1"/>
  <c r="H48" i="25"/>
  <c r="I48" i="25" s="1"/>
  <c r="H49" i="25"/>
  <c r="H50" i="25"/>
  <c r="I50" i="25" s="1"/>
  <c r="H51" i="25"/>
  <c r="I51" i="25" s="1"/>
  <c r="H52" i="25"/>
  <c r="H53" i="25"/>
  <c r="I53" i="25" s="1"/>
  <c r="H54" i="25"/>
  <c r="H55" i="25"/>
  <c r="I55" i="25" s="1"/>
  <c r="H56" i="25"/>
  <c r="I56" i="25" s="1"/>
  <c r="H57" i="25"/>
  <c r="I57" i="25" s="1"/>
  <c r="H58" i="25"/>
  <c r="H59" i="25"/>
  <c r="I59" i="25" s="1"/>
  <c r="H60" i="25"/>
  <c r="I60" i="25" s="1"/>
  <c r="H61" i="25"/>
  <c r="I61" i="25" s="1"/>
  <c r="H62" i="25"/>
  <c r="I62" i="25" s="1"/>
  <c r="H63" i="25"/>
  <c r="I63" i="25" s="1"/>
  <c r="H64" i="25"/>
  <c r="H65" i="25"/>
  <c r="I65" i="25" s="1"/>
  <c r="H66" i="25"/>
  <c r="H67" i="25"/>
  <c r="H68" i="25"/>
  <c r="I68" i="25" s="1"/>
  <c r="H69" i="25"/>
  <c r="H70" i="25"/>
  <c r="H71" i="25"/>
  <c r="I71" i="25" s="1"/>
  <c r="H72" i="25"/>
  <c r="I72" i="25" s="1"/>
  <c r="H73" i="25"/>
  <c r="I73" i="25" s="1"/>
  <c r="H74" i="25"/>
  <c r="I74" i="25" s="1"/>
  <c r="H75" i="25"/>
  <c r="I75" i="25" s="1"/>
  <c r="H76" i="25"/>
  <c r="H77" i="25"/>
  <c r="I77" i="25" s="1"/>
  <c r="H78" i="25"/>
  <c r="H79" i="25"/>
  <c r="H80" i="25"/>
  <c r="H81" i="25"/>
  <c r="I81" i="25" s="1"/>
  <c r="H82" i="25"/>
  <c r="H83" i="25"/>
  <c r="I83" i="25" s="1"/>
  <c r="H84" i="25"/>
  <c r="I84" i="25" s="1"/>
  <c r="H85" i="25"/>
  <c r="I85" i="25" s="1"/>
  <c r="H86" i="25"/>
  <c r="I86" i="25" s="1"/>
  <c r="H87" i="25"/>
  <c r="I87" i="25" s="1"/>
  <c r="H88" i="25"/>
  <c r="H89" i="25"/>
  <c r="I89" i="25" s="1"/>
  <c r="H90" i="25"/>
  <c r="H91" i="25"/>
  <c r="H92" i="25"/>
  <c r="H93" i="25"/>
  <c r="H94" i="25"/>
  <c r="H95" i="25"/>
  <c r="I95" i="25" s="1"/>
  <c r="H96" i="25"/>
  <c r="I96" i="25" s="1"/>
  <c r="H97" i="25"/>
  <c r="I97" i="25" s="1"/>
  <c r="H98" i="25"/>
  <c r="I98" i="25" s="1"/>
  <c r="H99" i="25"/>
  <c r="I99" i="25" s="1"/>
  <c r="H100" i="25"/>
  <c r="H101" i="25"/>
  <c r="I101" i="25" s="1"/>
  <c r="H102" i="25"/>
  <c r="H103" i="25"/>
  <c r="H104" i="25"/>
  <c r="I104" i="25" s="1"/>
  <c r="H105" i="25"/>
  <c r="H106" i="25"/>
  <c r="H107" i="25"/>
  <c r="I107" i="25" s="1"/>
  <c r="H108" i="25"/>
  <c r="I108" i="25" s="1"/>
  <c r="H109" i="25"/>
  <c r="I109" i="25" s="1"/>
  <c r="H110" i="25"/>
  <c r="I110" i="25" s="1"/>
  <c r="H111" i="25"/>
  <c r="I111" i="25" s="1"/>
  <c r="H112" i="25"/>
  <c r="H113" i="25"/>
  <c r="I113" i="25" s="1"/>
  <c r="H114" i="25"/>
  <c r="H115" i="25"/>
  <c r="I115" i="25" s="1"/>
  <c r="H116" i="25"/>
  <c r="I116" i="25" s="1"/>
  <c r="H117" i="25"/>
  <c r="I117" i="25" s="1"/>
  <c r="H118" i="25"/>
  <c r="I118" i="25" s="1"/>
  <c r="H119" i="25"/>
  <c r="I119" i="25" s="1"/>
  <c r="H120" i="25"/>
  <c r="I120" i="25" s="1"/>
  <c r="H121" i="25"/>
  <c r="I121" i="25" s="1"/>
  <c r="H122" i="25"/>
  <c r="I122" i="25" s="1"/>
  <c r="H123" i="25"/>
  <c r="I123" i="25" s="1"/>
  <c r="H124" i="25"/>
  <c r="H125" i="25"/>
  <c r="I125" i="25" s="1"/>
  <c r="H126" i="25"/>
  <c r="H127" i="25"/>
  <c r="I127" i="25" s="1"/>
  <c r="H128" i="25"/>
  <c r="I128" i="25" s="1"/>
  <c r="H129" i="25"/>
  <c r="H130" i="25"/>
  <c r="H131" i="25"/>
  <c r="I131" i="25" s="1"/>
  <c r="H132" i="25"/>
  <c r="I132" i="25" s="1"/>
  <c r="H133" i="25"/>
  <c r="I133" i="25" s="1"/>
  <c r="H134" i="25"/>
  <c r="I134" i="25" s="1"/>
  <c r="H135" i="25"/>
  <c r="I135" i="25" s="1"/>
  <c r="H136" i="25"/>
  <c r="H137" i="25"/>
  <c r="I137" i="25" s="1"/>
  <c r="H138" i="25"/>
  <c r="H139" i="25"/>
  <c r="I139" i="25" s="1"/>
  <c r="H140" i="25"/>
  <c r="I140" i="25" s="1"/>
  <c r="H141" i="25"/>
  <c r="I141" i="25" s="1"/>
  <c r="H142" i="25"/>
  <c r="I142" i="25" s="1"/>
  <c r="H143" i="25"/>
  <c r="I143" i="25" s="1"/>
  <c r="H144" i="25"/>
  <c r="I144" i="25" s="1"/>
  <c r="H145" i="25"/>
  <c r="I145" i="25" s="1"/>
  <c r="H146" i="25"/>
  <c r="I146" i="25" s="1"/>
  <c r="H147" i="25"/>
  <c r="H148" i="25"/>
  <c r="H149" i="25"/>
  <c r="I149" i="25" s="1"/>
  <c r="H150" i="25"/>
  <c r="H151" i="25"/>
  <c r="H152" i="25"/>
  <c r="H153" i="25"/>
  <c r="H154" i="25"/>
  <c r="H155" i="25"/>
  <c r="I155" i="25" s="1"/>
  <c r="H156" i="25"/>
  <c r="I156" i="25" s="1"/>
  <c r="H157" i="25"/>
  <c r="H158" i="25"/>
  <c r="H159" i="25"/>
  <c r="H160" i="25"/>
  <c r="H161" i="25"/>
  <c r="I161" i="25" s="1"/>
  <c r="H162" i="25"/>
  <c r="H163" i="25"/>
  <c r="I163" i="25" s="1"/>
  <c r="H164" i="25"/>
  <c r="I164" i="25" s="1"/>
  <c r="H165" i="25"/>
  <c r="I165" i="25" s="1"/>
  <c r="H166" i="25"/>
  <c r="I166" i="25" s="1"/>
  <c r="H167" i="25"/>
  <c r="I167" i="25" s="1"/>
  <c r="H168" i="25"/>
  <c r="I168" i="25" s="1"/>
  <c r="H169" i="25"/>
  <c r="I169" i="25" s="1"/>
  <c r="H170" i="25"/>
  <c r="I170" i="25" s="1"/>
  <c r="H171" i="25"/>
  <c r="H172" i="25"/>
  <c r="H173" i="25"/>
  <c r="I173" i="25" s="1"/>
  <c r="H174" i="25"/>
  <c r="H175" i="25"/>
  <c r="H176" i="25"/>
  <c r="I176" i="25" s="1"/>
  <c r="H177" i="25"/>
  <c r="H178" i="25"/>
  <c r="H179" i="25"/>
  <c r="I179" i="25" s="1"/>
  <c r="H180" i="25"/>
  <c r="I180" i="25" s="1"/>
  <c r="H181" i="25"/>
  <c r="I181" i="25" s="1"/>
  <c r="H182" i="25"/>
  <c r="I182" i="25" s="1"/>
  <c r="H183" i="25"/>
  <c r="H184" i="25"/>
  <c r="H185" i="25"/>
  <c r="I185" i="25" s="1"/>
  <c r="H186" i="25"/>
  <c r="H187" i="25"/>
  <c r="I187" i="25" s="1"/>
  <c r="H188" i="25"/>
  <c r="I188" i="25" s="1"/>
  <c r="H189" i="25"/>
  <c r="I189" i="25" s="1"/>
  <c r="H190" i="25"/>
  <c r="I190" i="25" s="1"/>
  <c r="H191" i="25"/>
  <c r="I191" i="25" s="1"/>
  <c r="H192" i="25"/>
  <c r="I192" i="25" s="1"/>
  <c r="H193" i="25"/>
  <c r="I193" i="25" s="1"/>
  <c r="H194" i="25"/>
  <c r="I194" i="25" s="1"/>
  <c r="H195" i="25"/>
  <c r="H196" i="25"/>
  <c r="H197" i="25"/>
  <c r="I197" i="25" s="1"/>
  <c r="H198" i="25"/>
  <c r="H199" i="25"/>
  <c r="H200" i="25"/>
  <c r="H201" i="25"/>
  <c r="H2" i="25"/>
  <c r="I174" i="25" l="1"/>
  <c r="I138" i="25"/>
  <c r="I102" i="25"/>
  <c r="I66" i="25"/>
  <c r="I30" i="25"/>
  <c r="I34" i="25"/>
  <c r="I41" i="25"/>
  <c r="I29" i="25"/>
  <c r="I17" i="25"/>
  <c r="I5" i="25"/>
  <c r="I2" i="25"/>
  <c r="I186" i="25"/>
  <c r="I150" i="25"/>
  <c r="I114" i="25"/>
  <c r="I90" i="25"/>
  <c r="I54" i="25"/>
  <c r="I18" i="25"/>
  <c r="I178" i="25"/>
  <c r="I154" i="25"/>
  <c r="I130" i="25"/>
  <c r="I106" i="25"/>
  <c r="I82" i="25"/>
  <c r="I10" i="25"/>
  <c r="I184" i="25"/>
  <c r="I172" i="25"/>
  <c r="I148" i="25"/>
  <c r="I124" i="25"/>
  <c r="I100" i="25"/>
  <c r="I76" i="25"/>
  <c r="I52" i="25"/>
  <c r="I28" i="25"/>
  <c r="I16" i="25"/>
  <c r="I195" i="25"/>
  <c r="I183" i="25"/>
  <c r="I171" i="25"/>
  <c r="I159" i="25"/>
  <c r="I147" i="25"/>
  <c r="I198" i="25"/>
  <c r="I162" i="25"/>
  <c r="I126" i="25"/>
  <c r="I78" i="25"/>
  <c r="I42" i="25"/>
  <c r="I6" i="25"/>
  <c r="I58" i="25"/>
  <c r="I196" i="25"/>
  <c r="I160" i="25"/>
  <c r="I136" i="25"/>
  <c r="I112" i="25"/>
  <c r="I88" i="25"/>
  <c r="I64" i="25"/>
  <c r="I40" i="25"/>
  <c r="I4" i="25"/>
  <c r="F9" i="36"/>
  <c r="F10" i="36"/>
  <c r="E9" i="36"/>
  <c r="F8" i="36"/>
  <c r="E10" i="3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7AC822-D7B7-44B5-9495-56455C5B4BD3}" name="Excel Task-1  Data Preprocessing and Cleaning" type="100" refreshedVersion="0">
    <extLst>
      <ext xmlns:x15="http://schemas.microsoft.com/office/spreadsheetml/2010/11/main" uri="{DE250136-89BD-433C-8126-D09CA5730AF9}">
        <x15:connection id="d6b9b552-7f0a-4b65-8419-3f48dd86b0af"/>
      </ext>
    </extLst>
  </connection>
  <connection id="2" xr16:uid="{5B4693BA-97E6-41E6-853D-632D41B3A0E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<sst xmlns="http://schemas.openxmlformats.org/spreadsheetml/2006/main" count="4337" uniqueCount="422">
  <si>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</si>
  <si>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</si>
  <si>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</si>
  <si>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</si>
  <si>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</si>
  <si>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</si>
  <si>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</si>
  <si>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</si>
  <si>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</si>
  <si>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</si>
  <si>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</si>
  <si>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</si>
  <si>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</si>
  <si>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</si>
  <si>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</si>
  <si>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</si>
  <si>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</si>
  <si>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</si>
  <si>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</si>
  <si>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</si>
  <si>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</si>
  <si>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</si>
  <si>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</si>
  <si>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</si>
  <si>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</si>
  <si>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</si>
  <si>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</si>
  <si>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</si>
  <si>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</si>
  <si>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</si>
  <si>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</si>
  <si>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</si>
  <si>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</si>
  <si>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</si>
  <si>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</si>
  <si>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</si>
  <si>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</si>
  <si>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</si>
  <si>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</si>
  <si>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</si>
  <si>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</si>
  <si>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</si>
  <si>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</si>
  <si>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</si>
  <si>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</si>
  <si>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</si>
  <si>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</si>
  <si>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</si>
  <si>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</si>
  <si>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</si>
  <si>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</si>
  <si>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</si>
  <si>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</si>
  <si>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</si>
  <si>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</si>
  <si>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</si>
  <si>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</si>
  <si>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</si>
  <si>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</si>
  <si>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</si>
  <si>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</si>
  <si>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</si>
  <si>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</si>
  <si>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</si>
  <si>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</si>
  <si>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</si>
  <si>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</si>
  <si>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</si>
  <si>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</si>
  <si>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</si>
  <si>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</si>
  <si>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</si>
  <si>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</si>
  <si>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</si>
  <si>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</si>
  <si>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</si>
  <si>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</si>
  <si>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</si>
  <si>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</si>
  <si>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</si>
  <si>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</si>
  <si>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</si>
  <si>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</si>
  <si>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</si>
  <si>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</si>
  <si>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</si>
  <si>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</si>
  <si>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</si>
  <si>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</si>
  <si>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</si>
  <si>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</si>
  <si>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</si>
  <si>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</si>
  <si>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</si>
  <si>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</si>
  <si>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</si>
  <si>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</si>
  <si>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</si>
  <si>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</si>
  <si>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</si>
  <si>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</si>
  <si>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</si>
  <si>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</si>
  <si>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</si>
  <si>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</si>
  <si>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</si>
  <si>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</si>
  <si>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</si>
  <si>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</si>
  <si>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</si>
  <si>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</si>
  <si>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</si>
  <si>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</si>
  <si>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</si>
  <si>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</si>
  <si>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</si>
  <si>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</si>
  <si>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</si>
  <si>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</si>
  <si>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</si>
  <si>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</si>
  <si>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</si>
  <si>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</si>
  <si>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</si>
  <si>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</si>
  <si>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</si>
  <si>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</si>
  <si>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</si>
  <si>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</si>
  <si>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</si>
  <si>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</si>
  <si>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</si>
  <si>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</si>
  <si>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</si>
  <si>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</si>
  <si>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</si>
  <si>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</si>
  <si>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</si>
  <si>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</si>
  <si>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</si>
  <si>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</si>
  <si>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</si>
  <si>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</si>
  <si>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</si>
  <si>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</si>
  <si>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</si>
  <si>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</si>
  <si>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</si>
  <si>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</si>
  <si>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</si>
  <si>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</si>
  <si>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</si>
  <si>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</si>
  <si>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</si>
  <si>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</si>
  <si>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</si>
  <si>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</si>
  <si>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</si>
  <si>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</si>
  <si>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</si>
  <si>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</si>
  <si>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</si>
  <si>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</si>
  <si>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</si>
  <si>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</si>
  <si>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</si>
  <si>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</si>
  <si>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</si>
  <si>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</si>
  <si>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</si>
  <si>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</si>
  <si>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</si>
  <si>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</si>
  <si>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</si>
  <si>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</si>
  <si>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</si>
  <si>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</si>
  <si>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</si>
  <si>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</si>
  <si>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</si>
  <si>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</si>
  <si>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</si>
  <si>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</si>
  <si>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</si>
  <si>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</si>
  <si>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</si>
  <si>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</si>
  <si>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</si>
  <si>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</si>
  <si>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</si>
  <si>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</si>
  <si>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</si>
  <si>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</si>
  <si>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</si>
  <si>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</si>
  <si>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</si>
  <si>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</si>
  <si>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</si>
  <si>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</si>
  <si>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</si>
  <si>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</si>
  <si>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</si>
  <si>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</si>
  <si>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</si>
  <si>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</si>
  <si>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</si>
  <si>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</si>
  <si>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</si>
  <si>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</si>
  <si>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</si>
  <si>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</si>
  <si>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</si>
  <si>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</si>
  <si>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</si>
  <si>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</si>
  <si>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</si>
  <si>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</si>
  <si>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</si>
  <si>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</si>
  <si>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</si>
  <si>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</si>
  <si>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</si>
  <si>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</si>
  <si>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</si>
  <si>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</si>
  <si>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</si>
  <si>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</si>
  <si>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</si>
  <si>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</si>
  <si>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</si>
  <si>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</si>
  <si>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</si>
  <si>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</si>
  <si>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</si>
  <si>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</si>
  <si>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</si>
  <si>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</si>
  <si>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</si>
  <si>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</si>
  <si>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</si>
  <si>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</si>
  <si>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</si>
  <si>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</si>
  <si>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</si>
  <si>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</si>
  <si>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</si>
  <si>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</si>
  <si>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</si>
  <si>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</si>
  <si>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</si>
  <si>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</si>
  <si>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</si>
  <si>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</si>
  <si>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</si>
  <si>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</si>
  <si>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</si>
  <si>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</si>
  <si>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</si>
  <si>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</si>
  <si>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</si>
  <si>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</si>
  <si>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</si>
  <si>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</si>
  <si>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</si>
  <si>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</si>
  <si>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</si>
  <si>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</si>
  <si>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</si>
  <si>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</si>
  <si>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</si>
  <si>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</si>
  <si>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</si>
  <si>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</si>
  <si>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</si>
  <si>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</si>
  <si>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</si>
  <si>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</si>
  <si>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</si>
  <si>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</si>
  <si>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</si>
  <si>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</si>
  <si>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</si>
  <si>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</si>
  <si>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</si>
  <si>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</si>
  <si>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</si>
  <si>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</si>
  <si>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</si>
  <si>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</si>
  <si>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</si>
  <si>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</si>
  <si>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</si>
  <si>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</si>
  <si>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</si>
  <si>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</si>
  <si>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</si>
  <si>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</si>
  <si>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</si>
  <si>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</si>
  <si>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</si>
  <si>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</si>
  <si>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</si>
  <si>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</si>
  <si>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</si>
  <si>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</si>
  <si>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</si>
  <si>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</si>
  <si>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</si>
  <si>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</si>
  <si>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</si>
  <si>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</si>
  <si>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</si>
  <si>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</si>
  <si>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</si>
  <si>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</si>
  <si>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</si>
  <si>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</si>
  <si>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</si>
  <si>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</si>
  <si>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</si>
  <si>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</si>
  <si>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</si>
  <si>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</si>
  <si>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</si>
  <si>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</si>
  <si>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</si>
  <si>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</si>
  <si>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</si>
  <si>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</si>
  <si>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</si>
  <si>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</si>
  <si>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</si>
  <si>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</si>
  <si>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</si>
  <si>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</si>
  <si>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</si>
  <si>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</si>
  <si>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</si>
  <si>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</si>
  <si>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</si>
  <si>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</si>
  <si>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</si>
  <si>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</si>
  <si>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</si>
  <si>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</si>
  <si>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</si>
  <si>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</si>
  <si>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</si>
  <si>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</si>
  <si>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</si>
  <si>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</si>
  <si>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</si>
  <si>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</si>
  <si>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</si>
  <si>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</si>
  <si>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</si>
  <si>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</si>
  <si>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</si>
  <si>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</si>
  <si>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</si>
  <si>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</si>
  <si>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</si>
  <si>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</si>
  <si>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</si>
  <si>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</si>
  <si>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</si>
  <si>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</si>
  <si>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</si>
  <si>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</si>
  <si>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</si>
  <si>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</si>
  <si>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</si>
  <si>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</si>
  <si>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Grand Total</t>
  </si>
  <si>
    <t>Net followers</t>
  </si>
  <si>
    <t>Determine which Platform yields Highest Engagement</t>
  </si>
  <si>
    <t xml:space="preserve"> Total Engagement</t>
  </si>
  <si>
    <t>Total Ad spend</t>
  </si>
  <si>
    <t>Growth Rate (%)</t>
  </si>
  <si>
    <t>#MusicForEveryone</t>
  </si>
  <si>
    <t>#SpotifyWrapped</t>
  </si>
  <si>
    <t>Hashtags_Used_1</t>
  </si>
  <si>
    <t>Hashtags_Used_2</t>
  </si>
  <si>
    <t>1 . Determine which platform yields highest Engagement</t>
  </si>
  <si>
    <t>Task 3: Platform Performance Analysis</t>
  </si>
  <si>
    <t>Compare weekly follower growth rates across platforms</t>
  </si>
  <si>
    <t>Visualize Ad Spend vs. Engagement using charts</t>
  </si>
  <si>
    <t>Task 3</t>
  </si>
  <si>
    <t>Average of Growth Rate (%)</t>
  </si>
  <si>
    <t>Recommend focusing on 1–2 Platforms or Continuing multi-Platform Justify with Data</t>
  </si>
  <si>
    <t>final Analysis Based on Data</t>
  </si>
  <si>
    <t>2. Highest Net Growth Rate : Twitter 0.47%</t>
  </si>
  <si>
    <t>Platform Labels</t>
  </si>
  <si>
    <t>It is the most cost-effective platform, sitting at the top of the scatter chart.</t>
  </si>
  <si>
    <r>
      <rPr>
        <b/>
        <sz val="11"/>
        <color theme="1"/>
        <rFont val="Calibri"/>
        <family val="2"/>
        <scheme val="minor"/>
      </rPr>
      <t>Twitter</t>
    </r>
    <r>
      <rPr>
        <sz val="11"/>
        <color theme="1"/>
        <rFont val="Calibri"/>
        <family val="2"/>
        <scheme val="minor"/>
      </rPr>
      <t xml:space="preserve"> provides the Highest total Engagement </t>
    </r>
    <r>
      <rPr>
        <b/>
        <sz val="11"/>
        <color theme="1"/>
        <rFont val="Calibri"/>
        <family val="2"/>
        <scheme val="minor"/>
      </rPr>
      <t>(527,370)</t>
    </r>
    <r>
      <rPr>
        <sz val="11"/>
        <color theme="1"/>
        <rFont val="Calibri"/>
        <family val="2"/>
        <scheme val="minor"/>
      </rPr>
      <t xml:space="preserve"> with a spend of </t>
    </r>
    <r>
      <rPr>
        <b/>
        <sz val="11"/>
        <color theme="1"/>
        <rFont val="Calibri"/>
        <family val="2"/>
        <scheme val="minor"/>
      </rPr>
      <t>₹11.14 Lakh.</t>
    </r>
  </si>
  <si>
    <r>
      <t>Both</t>
    </r>
    <r>
      <rPr>
        <b/>
        <sz val="11"/>
        <color theme="1"/>
        <rFont val="Calibri"/>
        <family val="2"/>
        <scheme val="minor"/>
      </rPr>
      <t xml:space="preserve"> Instagram</t>
    </r>
    <r>
      <rPr>
        <sz val="11"/>
        <color theme="1"/>
        <rFont val="Calibri"/>
        <family val="2"/>
        <scheme val="minor"/>
      </rPr>
      <t xml:space="preserve"> and</t>
    </r>
    <r>
      <rPr>
        <b/>
        <sz val="11"/>
        <color theme="1"/>
        <rFont val="Calibri"/>
        <family val="2"/>
        <scheme val="minor"/>
      </rPr>
      <t xml:space="preserve"> YouTube</t>
    </r>
    <r>
      <rPr>
        <sz val="11"/>
        <color theme="1"/>
        <rFont val="Calibri"/>
        <family val="2"/>
        <scheme val="minor"/>
      </rPr>
      <t xml:space="preserve"> platforms have a similar ad spend </t>
    </r>
    <r>
      <rPr>
        <b/>
        <sz val="11"/>
        <color theme="1"/>
        <rFont val="Calibri"/>
        <family val="2"/>
        <scheme val="minor"/>
      </rPr>
      <t>(around ₹10.3L - ₹10.6L).</t>
    </r>
  </si>
  <si>
    <r>
      <t xml:space="preserve">​ Even with almost the same budget, </t>
    </r>
    <r>
      <rPr>
        <b/>
        <sz val="11"/>
        <color theme="1"/>
        <rFont val="Calibri"/>
        <family val="2"/>
        <scheme val="minor"/>
      </rPr>
      <t>Instagram</t>
    </r>
    <r>
      <rPr>
        <sz val="11"/>
        <color theme="1"/>
        <rFont val="Calibri"/>
        <family val="2"/>
        <scheme val="minor"/>
      </rPr>
      <t xml:space="preserve"> delivers much Higher Engagement </t>
    </r>
    <r>
      <rPr>
        <b/>
        <sz val="11"/>
        <color theme="1"/>
        <rFont val="Calibri"/>
        <family val="2"/>
        <scheme val="minor"/>
      </rPr>
      <t xml:space="preserve">(301,576) </t>
    </r>
  </si>
  <si>
    <r>
      <t>than YouTube</t>
    </r>
    <r>
      <rPr>
        <b/>
        <sz val="11"/>
        <color theme="1"/>
        <rFont val="Calibri"/>
        <family val="2"/>
        <scheme val="minor"/>
      </rPr>
      <t xml:space="preserve"> (228,696).</t>
    </r>
  </si>
  <si>
    <r>
      <rPr>
        <b/>
        <sz val="11"/>
        <color theme="1"/>
        <rFont val="Calibri"/>
        <family val="2"/>
        <scheme val="minor"/>
      </rPr>
      <t>YouTube</t>
    </r>
    <r>
      <rPr>
        <sz val="11"/>
        <color theme="1"/>
        <rFont val="Calibri"/>
        <family val="2"/>
        <scheme val="minor"/>
      </rPr>
      <t xml:space="preserve"> has the lowest total engagement despite having a higher spend than Instagram.</t>
    </r>
  </si>
  <si>
    <r>
      <t xml:space="preserve">We should review our </t>
    </r>
    <r>
      <rPr>
        <b/>
        <sz val="11"/>
        <color theme="1"/>
        <rFont val="Calibri"/>
        <family val="2"/>
        <scheme val="minor"/>
      </rPr>
      <t>YouTube</t>
    </r>
    <r>
      <rPr>
        <sz val="11"/>
        <color theme="1"/>
        <rFont val="Calibri"/>
        <family val="2"/>
        <scheme val="minor"/>
      </rPr>
      <t xml:space="preserve"> strategy as it is giving the lowest return for every Rupee spent</t>
    </r>
  </si>
  <si>
    <t>3 .Visualize Ad Spend vs. Engagement using charts</t>
  </si>
  <si>
    <t>2. Compare weekly follower growth rates across platforms</t>
  </si>
  <si>
    <t>In Data set 2025-09-08  only post  instgram and twiitter Platform</t>
  </si>
  <si>
    <t>Growth rate (%)</t>
  </si>
  <si>
    <t>New follower -Unfollower</t>
  </si>
  <si>
    <t>Total Follower</t>
  </si>
  <si>
    <t>*100</t>
  </si>
  <si>
    <t>Growth Rate Formula</t>
  </si>
  <si>
    <t>Formula &amp; Function used for this Task</t>
  </si>
  <si>
    <t>formula /function</t>
  </si>
  <si>
    <t>Purpose</t>
  </si>
  <si>
    <t>=SUMIF</t>
  </si>
  <si>
    <t>Calculate Total Engagement</t>
  </si>
  <si>
    <t>Calculate Total Ad spend</t>
  </si>
  <si>
    <t>for Platform</t>
  </si>
  <si>
    <t>=UNIQUE</t>
  </si>
  <si>
    <r>
      <rPr>
        <b/>
        <sz val="11"/>
        <color theme="1"/>
        <rFont val="Calibri"/>
        <family val="2"/>
        <scheme val="minor"/>
      </rPr>
      <t>Twitter</t>
    </r>
    <r>
      <rPr>
        <sz val="11"/>
        <color theme="1"/>
        <rFont val="Calibri"/>
        <family val="2"/>
        <scheme val="minor"/>
      </rPr>
      <t xml:space="preserve"> is currently our most successful Twitter for driving big results.</t>
    </r>
  </si>
  <si>
    <t>Sum of Engagement</t>
  </si>
  <si>
    <r>
      <t xml:space="preserve">Based on Platform analysis </t>
    </r>
    <r>
      <rPr>
        <b/>
        <sz val="11"/>
        <color theme="1"/>
        <rFont val="Calibri"/>
        <family val="2"/>
        <scheme val="minor"/>
      </rPr>
      <t xml:space="preserve">,Twitter </t>
    </r>
    <r>
      <rPr>
        <sz val="11"/>
        <color theme="1"/>
        <rFont val="Calibri"/>
        <family val="2"/>
        <scheme val="minor"/>
      </rPr>
      <t xml:space="preserve">yields the Highest Engagement with a total  score </t>
    </r>
    <r>
      <rPr>
        <b/>
        <sz val="11"/>
        <color theme="1"/>
        <rFont val="Calibri"/>
        <family val="2"/>
        <scheme val="minor"/>
      </rPr>
      <t>(52,7370)</t>
    </r>
    <r>
      <rPr>
        <sz val="11"/>
        <color theme="1"/>
        <rFont val="Calibri"/>
        <family val="2"/>
        <scheme val="minor"/>
      </rPr>
      <t xml:space="preserve">, outperforming both </t>
    </r>
    <r>
      <rPr>
        <b/>
        <sz val="11"/>
        <color theme="1"/>
        <rFont val="Calibri"/>
        <family val="2"/>
        <scheme val="minor"/>
      </rPr>
      <t>Instagram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Twitter</t>
    </r>
    <r>
      <rPr>
        <sz val="11"/>
        <color theme="1"/>
        <rFont val="Calibri"/>
        <family val="2"/>
        <scheme val="minor"/>
      </rPr>
      <t xml:space="preserve"> . Increase investement on </t>
    </r>
    <r>
      <rPr>
        <b/>
        <sz val="11"/>
        <color theme="1"/>
        <rFont val="Calibri"/>
        <family val="2"/>
        <scheme val="minor"/>
      </rPr>
      <t>twitter</t>
    </r>
    <r>
      <rPr>
        <sz val="11"/>
        <color theme="1"/>
        <rFont val="Calibri"/>
        <family val="2"/>
        <scheme val="minor"/>
      </rPr>
      <t xml:space="preserve"> and improve strategy on </t>
    </r>
    <r>
      <rPr>
        <b/>
        <sz val="11"/>
        <color theme="1"/>
        <rFont val="Calibri"/>
        <family val="2"/>
        <scheme val="minor"/>
      </rPr>
      <t>instagram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youtube</t>
    </r>
  </si>
  <si>
    <r>
      <rPr>
        <b/>
        <sz val="11"/>
        <color theme="1"/>
        <rFont val="Calibri"/>
        <family val="2"/>
        <scheme val="minor"/>
      </rPr>
      <t>Twitter</t>
    </r>
    <r>
      <rPr>
        <sz val="11"/>
        <color theme="1"/>
        <rFont val="Calibri"/>
        <family val="2"/>
        <scheme val="minor"/>
      </rPr>
      <t xml:space="preserve">  Had the Highest Average of Growth Rate(%)  </t>
    </r>
    <r>
      <rPr>
        <b/>
        <sz val="11"/>
        <color theme="1"/>
        <rFont val="Calibri"/>
        <family val="2"/>
        <scheme val="minor"/>
      </rPr>
      <t>0.47%</t>
    </r>
    <r>
      <rPr>
        <sz val="11"/>
        <color theme="1"/>
        <rFont val="Calibri"/>
        <family val="2"/>
        <scheme val="minor"/>
      </rPr>
      <t xml:space="preserve"> Indicatin  weekly  top Performing Platform compare to other platforms</t>
    </r>
  </si>
  <si>
    <t>1. Highest Engagement  Platform : Twitter at (52,7370) interaction</t>
  </si>
  <si>
    <r>
      <rPr>
        <b/>
        <sz val="13.5"/>
        <color theme="1"/>
        <rFont val="Calibri"/>
        <family val="2"/>
        <scheme val="minor"/>
      </rPr>
      <t>Recommended focusing</t>
    </r>
    <r>
      <rPr>
        <sz val="13.5"/>
        <color theme="1"/>
        <rFont val="Calibri"/>
        <family val="2"/>
        <scheme val="minor"/>
      </rPr>
      <t xml:space="preserve"> on</t>
    </r>
    <r>
      <rPr>
        <b/>
        <sz val="13.5"/>
        <color theme="1"/>
        <rFont val="Calibri"/>
        <family val="2"/>
        <scheme val="minor"/>
      </rPr>
      <t xml:space="preserve"> one </t>
    </r>
    <r>
      <rPr>
        <sz val="13.5"/>
        <color theme="1"/>
        <rFont val="Calibri"/>
        <family val="2"/>
        <scheme val="minor"/>
      </rPr>
      <t xml:space="preserve">primary platform supported by a secondary platform. </t>
    </r>
    <r>
      <rPr>
        <b/>
        <sz val="13.5"/>
        <color theme="1"/>
        <rFont val="Calibri"/>
        <family val="2"/>
        <scheme val="minor"/>
      </rPr>
      <t>Twitte</t>
    </r>
    <r>
      <rPr>
        <sz val="13.5"/>
        <color theme="1"/>
        <rFont val="Calibri"/>
        <family val="2"/>
        <scheme val="minor"/>
      </rPr>
      <t>r shows the highest performance across key metrics, while</t>
    </r>
    <r>
      <rPr>
        <b/>
        <sz val="13.5"/>
        <color theme="1"/>
        <rFont val="Calibri"/>
        <family val="2"/>
        <scheme val="minor"/>
      </rPr>
      <t xml:space="preserve"> Instagram</t>
    </r>
    <r>
      <rPr>
        <sz val="13.5"/>
        <color theme="1"/>
        <rFont val="Calibri"/>
        <family val="2"/>
        <scheme val="minor"/>
      </rPr>
      <t xml:space="preserve"> also performs well with close results. Therefore, </t>
    </r>
    <r>
      <rPr>
        <b/>
        <sz val="13.5"/>
        <color theme="1"/>
        <rFont val="Calibri"/>
        <family val="2"/>
        <scheme val="minor"/>
      </rPr>
      <t>Twitter</t>
    </r>
    <r>
      <rPr>
        <sz val="13.5"/>
        <color theme="1"/>
        <rFont val="Calibri"/>
        <family val="2"/>
        <scheme val="minor"/>
      </rPr>
      <t xml:space="preserve"> should be the main focus, with</t>
    </r>
    <r>
      <rPr>
        <b/>
        <sz val="13.5"/>
        <color theme="1"/>
        <rFont val="Calibri"/>
        <family val="2"/>
        <scheme val="minor"/>
      </rPr>
      <t xml:space="preserve"> Instagram </t>
    </r>
    <r>
      <rPr>
        <sz val="13.5"/>
        <color theme="1"/>
        <rFont val="Calibri"/>
        <family val="2"/>
        <scheme val="minor"/>
      </rPr>
      <t xml:space="preserve">used as a supporting platform to maximize overall performance. This way, we get good results and don’t depend on only one platform.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</si>
</sst>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m/d/yyyy"/>
    <numFmt numFmtId="166" formatCode="&quot;₹&quot;\ #,##0"/>
    <numFmt numFmtId="167" formatCode="yyyy/mm/dd"/>
  </numFmts>
  <fonts count="3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&quot;Aptos Narrow&quot;"/>
    </font>
    <font>
      <u/>
      <sz val="17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&quot;Aptos Narrow&quot;"/>
    </font>
    <font>
      <sz val="12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&quot;Aptos Narrow&quot;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.5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</cellStyleXfs>
  <cellXfs count="177">
    <xf numFmtId="0" fontId="0" fillId="0" borderId="0" xfId="0"/>
    <xf numFmtId="0" fontId="9" fillId="0" borderId="0" xfId="0" applyFont="1"/>
    <xf numFmtId="16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5" fontId="9" fillId="0" borderId="0" xfId="0" applyNumberFormat="1" applyFont="1" applyAlignment="1">
      <alignment horizontal="right"/>
    </xf>
    <xf numFmtId="0" fontId="10" fillId="0" borderId="1" xfId="0" applyFont="1" applyBorder="1" applyAlignment="1">
      <alignment horizontal="center" vertical="top"/>
    </xf>
    <xf numFmtId="0" fontId="11" fillId="0" borderId="0" xfId="0" applyFont="1"/>
    <xf numFmtId="0" fontId="0" fillId="0" borderId="0" xfId="0" applyAlignment="1">
      <alignment horizontal="center"/>
    </xf>
    <xf numFmtId="0" fontId="12" fillId="2" borderId="2" xfId="4" applyFont="1" applyFill="1" applyBorder="1" applyAlignment="1">
      <alignment horizontal="center" vertical="center"/>
    </xf>
    <xf numFmtId="0" fontId="7" fillId="0" borderId="0" xfId="4"/>
    <xf numFmtId="167" fontId="9" fillId="0" borderId="2" xfId="4" applyNumberFormat="1" applyFont="1" applyBorder="1" applyAlignment="1">
      <alignment horizontal="center"/>
    </xf>
    <xf numFmtId="0" fontId="9" fillId="0" borderId="2" xfId="4" applyFont="1" applyBorder="1" applyAlignment="1">
      <alignment horizontal="center"/>
    </xf>
    <xf numFmtId="0" fontId="7" fillId="0" borderId="0" xfId="4" applyAlignment="1">
      <alignment horizontal="center"/>
    </xf>
    <xf numFmtId="2" fontId="12" fillId="2" borderId="2" xfId="4" applyNumberFormat="1" applyFont="1" applyFill="1" applyBorder="1" applyAlignment="1">
      <alignment horizontal="center" vertical="center"/>
    </xf>
    <xf numFmtId="2" fontId="9" fillId="0" borderId="2" xfId="4" applyNumberFormat="1" applyFont="1" applyBorder="1" applyAlignment="1">
      <alignment horizontal="center"/>
    </xf>
    <xf numFmtId="2" fontId="7" fillId="0" borderId="0" xfId="4" applyNumberForma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1" fontId="12" fillId="2" borderId="2" xfId="4" applyNumberFormat="1" applyFont="1" applyFill="1" applyBorder="1" applyAlignment="1">
      <alignment horizontal="center" vertical="center"/>
    </xf>
    <xf numFmtId="1" fontId="9" fillId="0" borderId="2" xfId="4" applyNumberFormat="1" applyFont="1" applyBorder="1" applyAlignment="1">
      <alignment horizontal="center"/>
    </xf>
    <xf numFmtId="1" fontId="7" fillId="0" borderId="0" xfId="4" applyNumberFormat="1" applyAlignment="1">
      <alignment horizontal="center"/>
    </xf>
    <xf numFmtId="10" fontId="9" fillId="0" borderId="2" xfId="1" applyNumberFormat="1" applyFont="1" applyBorder="1" applyAlignment="1">
      <alignment horizontal="center"/>
    </xf>
    <xf numFmtId="10" fontId="7" fillId="0" borderId="0" xfId="4" applyNumberFormat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49" fontId="12" fillId="2" borderId="2" xfId="0" applyNumberFormat="1" applyFont="1" applyFill="1" applyBorder="1" applyAlignment="1">
      <alignment horizontal="center" vertical="center"/>
    </xf>
    <xf numFmtId="167" fontId="12" fillId="2" borderId="2" xfId="0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15" fillId="0" borderId="0" xfId="0" applyFont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14" fillId="2" borderId="2" xfId="0" applyFont="1" applyFill="1" applyBorder="1"/>
    <xf numFmtId="0" fontId="18" fillId="0" borderId="2" xfId="0" pivotButton="1" applyFont="1" applyBorder="1"/>
    <xf numFmtId="0" fontId="18" fillId="0" borderId="2" xfId="0" applyFont="1" applyBorder="1" applyAlignment="1">
      <alignment horizontal="right"/>
    </xf>
    <xf numFmtId="0" fontId="17" fillId="0" borderId="0" xfId="0" applyFont="1" applyAlignment="1">
      <alignment horizontal="left" vertical="center" indent="5"/>
    </xf>
    <xf numFmtId="1" fontId="20" fillId="0" borderId="2" xfId="0" applyNumberFormat="1" applyFont="1" applyBorder="1" applyAlignment="1">
      <alignment horizontal="center"/>
    </xf>
    <xf numFmtId="0" fontId="22" fillId="0" borderId="0" xfId="0" applyFont="1" applyAlignment="1">
      <alignment horizontal="left" vertical="center" indent="35"/>
    </xf>
    <xf numFmtId="0" fontId="23" fillId="0" borderId="0" xfId="0" applyFont="1" applyAlignment="1">
      <alignment horizontal="left" vertical="center" indent="35"/>
    </xf>
    <xf numFmtId="0" fontId="0" fillId="0" borderId="0" xfId="0" applyAlignment="1">
      <alignment vertical="center" wrapText="1"/>
    </xf>
    <xf numFmtId="0" fontId="26" fillId="3" borderId="0" xfId="0" applyFont="1" applyFill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10" fontId="7" fillId="0" borderId="0" xfId="4" applyNumberFormat="1"/>
    <xf numFmtId="0" fontId="24" fillId="0" borderId="0" xfId="0" applyFont="1" applyAlignment="1">
      <alignment horizontal="centerContinuous" vertical="center"/>
    </xf>
    <xf numFmtId="0" fontId="21" fillId="0" borderId="5" xfId="0" applyFont="1" applyBorder="1" applyAlignment="1">
      <alignment horizontal="left" vertical="center"/>
    </xf>
    <xf numFmtId="1" fontId="21" fillId="0" borderId="5" xfId="0" applyNumberFormat="1" applyFont="1" applyBorder="1" applyAlignment="1">
      <alignment vertical="center"/>
    </xf>
    <xf numFmtId="1" fontId="21" fillId="0" borderId="6" xfId="0" applyNumberFormat="1" applyFont="1" applyBorder="1"/>
    <xf numFmtId="0" fontId="24" fillId="0" borderId="0" xfId="0" applyFont="1" applyAlignment="1">
      <alignment vertical="center"/>
    </xf>
    <xf numFmtId="1" fontId="29" fillId="3" borderId="5" xfId="0" applyNumberFormat="1" applyFont="1" applyFill="1" applyBorder="1" applyAlignment="1">
      <alignment horizontal="center" vertical="center"/>
    </xf>
    <xf numFmtId="10" fontId="29" fillId="3" borderId="2" xfId="4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0" fillId="0" borderId="5" xfId="0" applyNumberFormat="1" applyBorder="1" applyAlignment="1">
      <alignment horizontal="left"/>
    </xf>
    <xf numFmtId="0" fontId="14" fillId="2" borderId="11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30" fillId="0" borderId="0" xfId="0" applyFont="1" applyAlignment="1">
      <alignment horizontal="centerContinuous"/>
    </xf>
    <xf numFmtId="0" fontId="31" fillId="0" borderId="0" xfId="0" applyFont="1" applyAlignment="1">
      <alignment horizontal="centerContinuous"/>
    </xf>
    <xf numFmtId="0" fontId="0" fillId="0" borderId="0" xfId="0" applyAlignment="1">
      <alignment horizontal="left" vertical="center"/>
    </xf>
    <xf numFmtId="0" fontId="32" fillId="3" borderId="0" xfId="0" applyFont="1" applyFill="1" applyAlignment="1">
      <alignment horizontal="center" vertical="center"/>
    </xf>
    <xf numFmtId="0" fontId="34" fillId="0" borderId="0" xfId="0" applyFont="1" applyAlignment="1">
      <alignment horizontal="centerContinuous" vertical="center"/>
    </xf>
    <xf numFmtId="0" fontId="35" fillId="0" borderId="0" xfId="0" applyFont="1" applyAlignment="1">
      <alignment horizontal="centerContinuous" vertical="center"/>
    </xf>
    <xf numFmtId="10" fontId="0" fillId="0" borderId="0" xfId="0" applyNumberFormat="1"/>
    <xf numFmtId="0" fontId="14" fillId="6" borderId="2" xfId="0" applyFont="1" applyFill="1" applyBorder="1" applyAlignment="1">
      <alignment horizontal="center"/>
    </xf>
    <xf numFmtId="0" fontId="3" fillId="6" borderId="2" xfId="0" quotePrefix="1" applyFont="1" applyFill="1" applyBorder="1"/>
    <xf numFmtId="0" fontId="21" fillId="0" borderId="2" xfId="0" applyFont="1" applyBorder="1"/>
    <xf numFmtId="0" fontId="21" fillId="0" borderId="5" xfId="0" applyFont="1" applyBorder="1" applyAlignment="1">
      <alignment horizontal="left"/>
    </xf>
    <xf numFmtId="1" fontId="21" fillId="0" borderId="5" xfId="0" applyNumberFormat="1" applyFont="1" applyBorder="1"/>
    <xf numFmtId="0" fontId="21" fillId="0" borderId="2" xfId="0" applyFont="1" applyBorder="1" applyAlignment="1">
      <alignment horizontal="left"/>
    </xf>
    <xf numFmtId="0" fontId="21" fillId="0" borderId="2" xfId="0" applyFont="1" applyBorder="1" applyAlignment="1">
      <alignment horizontal="center"/>
    </xf>
    <xf numFmtId="10" fontId="21" fillId="0" borderId="8" xfId="0" applyNumberFormat="1" applyFont="1" applyBorder="1" applyAlignment="1">
      <alignment horizontal="center"/>
    </xf>
    <xf numFmtId="0" fontId="21" fillId="4" borderId="2" xfId="0" applyFont="1" applyFill="1" applyBorder="1" applyAlignment="1">
      <alignment horizontal="center"/>
    </xf>
    <xf numFmtId="10" fontId="21" fillId="4" borderId="8" xfId="0" applyNumberFormat="1" applyFont="1" applyFill="1" applyBorder="1" applyAlignment="1">
      <alignment horizontal="center"/>
    </xf>
    <xf numFmtId="10" fontId="21" fillId="0" borderId="10" xfId="0" applyNumberFormat="1" applyFont="1" applyBorder="1" applyAlignment="1">
      <alignment horizontal="center"/>
    </xf>
    <xf numFmtId="0" fontId="28" fillId="2" borderId="2" xfId="0" applyFont="1" applyFill="1" applyBorder="1"/>
    <xf numFmtId="0" fontId="28" fillId="2" borderId="2" xfId="0" applyFont="1" applyFill="1" applyBorder="1" applyAlignment="1">
      <alignment horizontal="center"/>
    </xf>
    <xf numFmtId="0" fontId="21" fillId="0" borderId="2" xfId="0" pivotButton="1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8" fillId="4" borderId="4" xfId="0" applyFont="1" applyFill="1" applyBorder="1" applyAlignment="1">
      <alignment horizontal="left"/>
    </xf>
    <xf numFmtId="1" fontId="28" fillId="5" borderId="4" xfId="0" applyNumberFormat="1" applyFont="1" applyFill="1" applyBorder="1"/>
    <xf numFmtId="0" fontId="28" fillId="4" borderId="2" xfId="0" applyFont="1" applyFill="1" applyBorder="1"/>
    <xf numFmtId="0" fontId="28" fillId="4" borderId="4" xfId="0" applyFont="1" applyFill="1" applyBorder="1" applyAlignment="1">
      <alignment horizontal="left" vertical="center"/>
    </xf>
    <xf numFmtId="1" fontId="28" fillId="5" borderId="4" xfId="0" applyNumberFormat="1" applyFont="1" applyFill="1" applyBorder="1" applyAlignment="1">
      <alignment vertical="center"/>
    </xf>
    <xf numFmtId="0" fontId="14" fillId="4" borderId="2" xfId="0" applyFont="1" applyFill="1" applyBorder="1"/>
    <xf numFmtId="0" fontId="21" fillId="0" borderId="0" xfId="0" applyFont="1" applyAlignment="1">
      <alignment wrapText="1"/>
    </xf>
    <xf numFmtId="0" fontId="21" fillId="0" borderId="0" xfId="0" applyFont="1"/>
    <xf numFmtId="10" fontId="0" fillId="0" borderId="18" xfId="0" applyNumberFormat="1" applyBorder="1" applyAlignment="1">
      <alignment horizontal="center"/>
    </xf>
    <xf numFmtId="167" fontId="0" fillId="0" borderId="17" xfId="0" applyNumberFormat="1" applyBorder="1" applyAlignment="1">
      <alignment horizontal="left"/>
    </xf>
    <xf numFmtId="10" fontId="14" fillId="2" borderId="2" xfId="0" applyNumberFormat="1" applyFont="1" applyFill="1" applyBorder="1" applyAlignment="1">
      <alignment horizontal="center"/>
    </xf>
    <xf numFmtId="0" fontId="21" fillId="0" borderId="6" xfId="0" applyFont="1" applyBorder="1" applyAlignment="1">
      <alignment horizontal="left" vertical="center"/>
    </xf>
    <xf numFmtId="0" fontId="21" fillId="0" borderId="6" xfId="0" applyFont="1" applyBorder="1" applyAlignment="1">
      <alignment horizontal="left"/>
    </xf>
    <xf numFmtId="0" fontId="30" fillId="0" borderId="0" xfId="0" applyFont="1" applyAlignment="1">
      <alignment horizontal="left" vertical="center" indent="5"/>
    </xf>
    <xf numFmtId="0" fontId="31" fillId="0" borderId="0" xfId="0" applyFont="1" applyAlignment="1">
      <alignment horizontal="left" vertical="center" indent="5"/>
    </xf>
    <xf numFmtId="0" fontId="14" fillId="6" borderId="13" xfId="4" applyFont="1" applyFill="1" applyBorder="1" applyAlignment="1">
      <alignment horizontal="center" vertical="center" wrapText="1"/>
    </xf>
    <xf numFmtId="0" fontId="14" fillId="6" borderId="3" xfId="4" applyFont="1" applyFill="1" applyBorder="1" applyAlignment="1">
      <alignment horizontal="center" vertical="center" wrapText="1"/>
    </xf>
    <xf numFmtId="0" fontId="14" fillId="6" borderId="9" xfId="4" applyFont="1" applyFill="1" applyBorder="1" applyAlignment="1">
      <alignment horizontal="center" vertical="center" wrapText="1"/>
    </xf>
    <xf numFmtId="0" fontId="14" fillId="6" borderId="10" xfId="4" applyFont="1" applyFill="1" applyBorder="1" applyAlignment="1">
      <alignment horizontal="center" vertical="center" wrapText="1"/>
    </xf>
    <xf numFmtId="0" fontId="4" fillId="6" borderId="17" xfId="4" applyFont="1" applyFill="1" applyBorder="1" applyAlignment="1">
      <alignment horizontal="center"/>
    </xf>
    <xf numFmtId="0" fontId="4" fillId="6" borderId="18" xfId="4" applyFont="1" applyFill="1" applyBorder="1" applyAlignment="1">
      <alignment horizontal="center"/>
    </xf>
    <xf numFmtId="0" fontId="4" fillId="6" borderId="4" xfId="4" applyFont="1" applyFill="1" applyBorder="1" applyAlignment="1">
      <alignment horizontal="center" vertical="center"/>
    </xf>
    <xf numFmtId="0" fontId="4" fillId="6" borderId="6" xfId="4" applyFont="1" applyFill="1" applyBorder="1" applyAlignment="1">
      <alignment horizontal="center" vertical="center"/>
    </xf>
    <xf numFmtId="0" fontId="33" fillId="3" borderId="0" xfId="4" applyFont="1" applyFill="1" applyAlignment="1">
      <alignment horizontal="center" vertical="center"/>
    </xf>
    <xf numFmtId="0" fontId="33" fillId="3" borderId="12" xfId="4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wrapText="1"/>
    </xf>
    <xf numFmtId="0" fontId="4" fillId="6" borderId="11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6" borderId="8" xfId="0" applyFont="1" applyFill="1" applyBorder="1" applyAlignment="1">
      <alignment horizontal="center" wrapText="1"/>
    </xf>
    <xf numFmtId="0" fontId="4" fillId="6" borderId="9" xfId="0" applyFont="1" applyFill="1" applyBorder="1" applyAlignment="1">
      <alignment horizontal="center" wrapText="1"/>
    </xf>
    <xf numFmtId="0" fontId="4" fillId="6" borderId="12" xfId="0" applyFont="1" applyFill="1" applyBorder="1" applyAlignment="1">
      <alignment horizontal="center" wrapText="1"/>
    </xf>
    <xf numFmtId="0" fontId="4" fillId="6" borderId="10" xfId="0" applyFont="1" applyFill="1" applyBorder="1" applyAlignment="1">
      <alignment horizontal="center" wrapText="1"/>
    </xf>
    <xf numFmtId="0" fontId="3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9" fillId="3" borderId="12" xfId="0" applyFont="1" applyFill="1" applyBorder="1" applyAlignment="1">
      <alignment horizontal="center" vertical="center"/>
    </xf>
    <xf numFmtId="0" fontId="2" fillId="6" borderId="13" xfId="0" applyFont="1" applyFill="1" applyBorder="1"/>
    <xf numFmtId="0" fontId="5" fillId="6" borderId="11" xfId="0" applyFont="1" applyFill="1" applyBorder="1"/>
    <xf numFmtId="0" fontId="5" fillId="6" borderId="3" xfId="0" applyFont="1" applyFill="1" applyBorder="1"/>
    <xf numFmtId="0" fontId="5" fillId="6" borderId="7" xfId="0" applyFont="1" applyFill="1" applyBorder="1"/>
    <xf numFmtId="0" fontId="5" fillId="6" borderId="0" xfId="0" applyFont="1" applyFill="1"/>
    <xf numFmtId="0" fontId="5" fillId="6" borderId="8" xfId="0" applyFont="1" applyFill="1" applyBorder="1"/>
    <xf numFmtId="0" fontId="5" fillId="6" borderId="9" xfId="0" applyFont="1" applyFill="1" applyBorder="1"/>
    <xf numFmtId="0" fontId="5" fillId="6" borderId="12" xfId="0" applyFont="1" applyFill="1" applyBorder="1"/>
    <xf numFmtId="0" fontId="5" fillId="6" borderId="10" xfId="0" applyFont="1" applyFill="1" applyBorder="1"/>
    <xf numFmtId="0" fontId="2" fillId="6" borderId="9" xfId="0" applyFont="1" applyFill="1" applyBorder="1"/>
    <xf numFmtId="0" fontId="5" fillId="6" borderId="13" xfId="0" applyFont="1" applyFill="1" applyBorder="1"/>
    <xf numFmtId="0" fontId="27" fillId="3" borderId="0" xfId="0" applyFont="1" applyFill="1" applyAlignment="1">
      <alignment horizontal="center"/>
    </xf>
    <xf numFmtId="0" fontId="16" fillId="3" borderId="17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26" fillId="3" borderId="12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36" fillId="6" borderId="13" xfId="0" applyFont="1" applyFill="1" applyBorder="1" applyAlignment="1">
      <alignment horizontal="center" vertical="center" wrapText="1"/>
    </xf>
    <xf numFmtId="0" fontId="36" fillId="6" borderId="11" xfId="0" applyFont="1" applyFill="1" applyBorder="1" applyAlignment="1">
      <alignment horizontal="center" vertical="center" wrapText="1"/>
    </xf>
    <xf numFmtId="0" fontId="36" fillId="6" borderId="3" xfId="0" applyFont="1" applyFill="1" applyBorder="1" applyAlignment="1">
      <alignment horizontal="center" vertical="center" wrapText="1"/>
    </xf>
    <xf numFmtId="0" fontId="36" fillId="6" borderId="7" xfId="0" applyFont="1" applyFill="1" applyBorder="1" applyAlignment="1">
      <alignment horizontal="center" vertical="center" wrapText="1"/>
    </xf>
    <xf numFmtId="0" fontId="36" fillId="6" borderId="0" xfId="0" applyFont="1" applyFill="1" applyAlignment="1">
      <alignment horizontal="center" vertical="center" wrapText="1"/>
    </xf>
    <xf numFmtId="0" fontId="36" fillId="6" borderId="8" xfId="0" applyFont="1" applyFill="1" applyBorder="1" applyAlignment="1">
      <alignment horizontal="center" vertical="center" wrapText="1"/>
    </xf>
    <xf numFmtId="0" fontId="36" fillId="6" borderId="9" xfId="0" applyFont="1" applyFill="1" applyBorder="1" applyAlignment="1">
      <alignment horizontal="center" vertical="center" wrapText="1"/>
    </xf>
    <xf numFmtId="0" fontId="36" fillId="6" borderId="12" xfId="0" applyFont="1" applyFill="1" applyBorder="1" applyAlignment="1">
      <alignment horizontal="center" vertical="center" wrapText="1"/>
    </xf>
    <xf numFmtId="0" fontId="36" fillId="6" borderId="10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center"/>
    </xf>
    <xf numFmtId="0" fontId="27" fillId="3" borderId="15" xfId="0" applyFont="1" applyFill="1" applyBorder="1" applyAlignment="1">
      <alignment horizontal="center" vertical="center"/>
    </xf>
    <xf numFmtId="0" fontId="27" fillId="3" borderId="16" xfId="0" applyFont="1" applyFill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 vertical="center" indent="26"/>
    </xf>
    <xf numFmtId="0" fontId="26" fillId="3" borderId="0" xfId="0" applyFont="1" applyFill="1" applyAlignment="1">
      <alignment horizontal="left" indent="2"/>
    </xf>
  </cellXfs>
  <cellStyles count="6">
    <cellStyle name="Normal" xfId="0" builtinId="0"/>
    <cellStyle name="Normal 2" xfId="2" xr:uid="{D9A59732-AFD1-4EA2-95BC-B2B438D7189C}"/>
    <cellStyle name="Normal 3" xfId="4" xr:uid="{190ACD02-37C0-40B4-B830-4D6287163DF8}"/>
    <cellStyle name="Percent" xfId="1" builtinId="5"/>
    <cellStyle name="Percent 2" xfId="3" xr:uid="{1E5F0724-EB43-49D1-801A-747F8DC7E6BF}"/>
    <cellStyle name="Percent 3" xfId="5" xr:uid="{708B73FD-7074-42B7-9FCA-D8BEA07A93BD}"/>
  </cellStyles>
  <dxfs count="105"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numFmt numFmtId="1" formatCode="0"/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3"/>
      </font>
    </dxf>
    <dxf>
      <font>
        <sz val="13"/>
      </font>
    </dxf>
    <dxf>
      <alignment horizontal="righ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b val="0"/>
      </font>
    </dxf>
    <dxf>
      <font>
        <b val="0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fill>
        <patternFill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" formatCode="0"/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3"/>
      </font>
    </dxf>
    <dxf>
      <font>
        <sz val="13"/>
      </font>
    </dxf>
    <dxf>
      <alignment horizontal="right"/>
    </dxf>
  </dxfs>
  <tableStyles count="0" defaultTableStyle="TableStyleMedium2" defaultPivotStyle="PivotStyleLight16"/>
  <colors>
    <mruColors>
      <color rgb="FF009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[(Task-3) Platform Performance Analysis  .xlsx]Compare Weekly Follower!PivotTable1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ln>
                  <a:noFill/>
                </a:ln>
                <a:solidFill>
                  <a:schemeClr val="tx1"/>
                </a:solidFill>
              </a:rPr>
              <a:t>Weekly</a:t>
            </a:r>
            <a:r>
              <a:rPr lang="en-IN" sz="1800" b="1" baseline="0">
                <a:ln>
                  <a:noFill/>
                </a:ln>
                <a:solidFill>
                  <a:schemeClr val="tx1"/>
                </a:solidFill>
              </a:rPr>
              <a:t> Follower Growth  Across Platform</a:t>
            </a:r>
            <a:endParaRPr lang="en-IN" sz="1800" b="1">
              <a:ln>
                <a:noFill/>
              </a:ln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447239387745826"/>
          <c:y val="2.59164986560915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1.451119773140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37687334537728E-2"/>
          <c:y val="0.12455665392681874"/>
          <c:w val="0.81426189446286823"/>
          <c:h val="0.65541589738283912"/>
        </c:manualLayout>
      </c:layout>
      <c:lineChart>
        <c:grouping val="standard"/>
        <c:varyColors val="0"/>
        <c:ser>
          <c:idx val="0"/>
          <c:order val="0"/>
          <c:tx>
            <c:strRef>
              <c:f>'Compare Weekly Follower'!$C$7:$C$8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B5-4461-B142-B9CEA1D8AF86}"/>
              </c:ext>
            </c:extLst>
          </c:dPt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B5-4461-B142-B9CEA1D8AF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'Compare Weekly Follower'!$B$9:$B$76</c:f>
              <c:strCache>
                <c:ptCount val="67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2025-05-19</c:v>
                </c:pt>
                <c:pt idx="51">
                  <c:v>2025-05-26</c:v>
                </c:pt>
                <c:pt idx="52">
                  <c:v>2025-06-02</c:v>
                </c:pt>
                <c:pt idx="53">
                  <c:v>2025-06-09</c:v>
                </c:pt>
                <c:pt idx="54">
                  <c:v>2025-06-16</c:v>
                </c:pt>
                <c:pt idx="55">
                  <c:v>2025-06-23</c:v>
                </c:pt>
                <c:pt idx="56">
                  <c:v>2025-06-30</c:v>
                </c:pt>
                <c:pt idx="57">
                  <c:v>2025-07-07</c:v>
                </c:pt>
                <c:pt idx="58">
                  <c:v>2025-07-14</c:v>
                </c:pt>
                <c:pt idx="59">
                  <c:v>2025-07-21</c:v>
                </c:pt>
                <c:pt idx="60">
                  <c:v>2025-07-28</c:v>
                </c:pt>
                <c:pt idx="61">
                  <c:v>2025-08-04</c:v>
                </c:pt>
                <c:pt idx="62">
                  <c:v>2025-08-11</c:v>
                </c:pt>
                <c:pt idx="63">
                  <c:v>2025-08-18</c:v>
                </c:pt>
                <c:pt idx="64">
                  <c:v>2025-08-25</c:v>
                </c:pt>
                <c:pt idx="65">
                  <c:v>2025-09-01</c:v>
                </c:pt>
                <c:pt idx="66">
                  <c:v>2025-09-08</c:v>
                </c:pt>
              </c:strCache>
            </c:strRef>
          </c:cat>
          <c:val>
            <c:numRef>
              <c:f>'Compare Weekly Follower'!$C$9:$C$76</c:f>
              <c:numCache>
                <c:formatCode>0.00%</c:formatCode>
                <c:ptCount val="67"/>
                <c:pt idx="0">
                  <c:v>1.0709526179733787E-2</c:v>
                </c:pt>
                <c:pt idx="1">
                  <c:v>1.0035253152237385E-2</c:v>
                </c:pt>
                <c:pt idx="2">
                  <c:v>6.1532043593888509E-3</c:v>
                </c:pt>
                <c:pt idx="3">
                  <c:v>7.0194756038813571E-3</c:v>
                </c:pt>
                <c:pt idx="4">
                  <c:v>3.9974246283906723E-3</c:v>
                </c:pt>
                <c:pt idx="5">
                  <c:v>1.9610667968164271E-3</c:v>
                </c:pt>
                <c:pt idx="6">
                  <c:v>2.1159343412017798E-3</c:v>
                </c:pt>
                <c:pt idx="7">
                  <c:v>3.8800515380583087E-3</c:v>
                </c:pt>
                <c:pt idx="8">
                  <c:v>2.3089717768720206E-3</c:v>
                </c:pt>
                <c:pt idx="9">
                  <c:v>6.7435554935305723E-3</c:v>
                </c:pt>
                <c:pt idx="10">
                  <c:v>1.4216285431581398E-2</c:v>
                </c:pt>
                <c:pt idx="11">
                  <c:v>2.5711521816608116E-3</c:v>
                </c:pt>
                <c:pt idx="12">
                  <c:v>5.2519335029163131E-3</c:v>
                </c:pt>
                <c:pt idx="13">
                  <c:v>1.5378321642822803E-3</c:v>
                </c:pt>
                <c:pt idx="14">
                  <c:v>1.7288453918263881E-3</c:v>
                </c:pt>
                <c:pt idx="15">
                  <c:v>1.8947546272643525E-3</c:v>
                </c:pt>
                <c:pt idx="16">
                  <c:v>1.3784135240572171E-2</c:v>
                </c:pt>
                <c:pt idx="17">
                  <c:v>3.0190531054641659E-3</c:v>
                </c:pt>
                <c:pt idx="18">
                  <c:v>1.7507375647522346E-3</c:v>
                </c:pt>
                <c:pt idx="19">
                  <c:v>4.7398149771776844E-3</c:v>
                </c:pt>
                <c:pt idx="20">
                  <c:v>1.0915497012055407E-2</c:v>
                </c:pt>
                <c:pt idx="21">
                  <c:v>3.8051035059458792E-3</c:v>
                </c:pt>
                <c:pt idx="22">
                  <c:v>3.6781918718691762E-3</c:v>
                </c:pt>
                <c:pt idx="23">
                  <c:v>3.9281193313061976E-3</c:v>
                </c:pt>
                <c:pt idx="24">
                  <c:v>2.741648314656868E-3</c:v>
                </c:pt>
                <c:pt idx="25">
                  <c:v>1.2759550523566889E-3</c:v>
                </c:pt>
                <c:pt idx="26">
                  <c:v>4.7176696580273365E-3</c:v>
                </c:pt>
                <c:pt idx="27">
                  <c:v>1.7677812464738406E-3</c:v>
                </c:pt>
                <c:pt idx="28">
                  <c:v>6.506669773402458E-3</c:v>
                </c:pt>
                <c:pt idx="29">
                  <c:v>4.8653658034289241E-3</c:v>
                </c:pt>
                <c:pt idx="30">
                  <c:v>1.7165562473503519E-3</c:v>
                </c:pt>
                <c:pt idx="31">
                  <c:v>3.1809630491290049E-3</c:v>
                </c:pt>
                <c:pt idx="32">
                  <c:v>1.3793673813581599E-3</c:v>
                </c:pt>
                <c:pt idx="33">
                  <c:v>1.3487040845594743E-3</c:v>
                </c:pt>
                <c:pt idx="34">
                  <c:v>9.2415931314094918E-4</c:v>
                </c:pt>
                <c:pt idx="35">
                  <c:v>2.3334666742861497E-3</c:v>
                </c:pt>
                <c:pt idx="36">
                  <c:v>3.0798747854185599E-3</c:v>
                </c:pt>
                <c:pt idx="37">
                  <c:v>4.0817246978170664E-3</c:v>
                </c:pt>
                <c:pt idx="38">
                  <c:v>1.0896826083196401E-3</c:v>
                </c:pt>
                <c:pt idx="39">
                  <c:v>1.0984575217286749E-2</c:v>
                </c:pt>
                <c:pt idx="40">
                  <c:v>1.8468941678809856E-3</c:v>
                </c:pt>
                <c:pt idx="41">
                  <c:v>1.9052058737091724E-3</c:v>
                </c:pt>
                <c:pt idx="42">
                  <c:v>3.0555240088474996E-3</c:v>
                </c:pt>
                <c:pt idx="43">
                  <c:v>3.1475371965261584E-3</c:v>
                </c:pt>
                <c:pt idx="44">
                  <c:v>3.9209705941868752E-3</c:v>
                </c:pt>
                <c:pt idx="45">
                  <c:v>1.9961869935398759E-3</c:v>
                </c:pt>
                <c:pt idx="46">
                  <c:v>1.0988053215795403E-3</c:v>
                </c:pt>
                <c:pt idx="47">
                  <c:v>3.7778051067623862E-3</c:v>
                </c:pt>
                <c:pt idx="48">
                  <c:v>2.5976522198761379E-3</c:v>
                </c:pt>
                <c:pt idx="49">
                  <c:v>1.5731300645365684E-3</c:v>
                </c:pt>
                <c:pt idx="50">
                  <c:v>7.872087032172511E-3</c:v>
                </c:pt>
                <c:pt idx="51">
                  <c:v>3.8281206906062111E-3</c:v>
                </c:pt>
                <c:pt idx="52">
                  <c:v>1.2413909189098204E-3</c:v>
                </c:pt>
                <c:pt idx="53">
                  <c:v>1.1327664328719508E-2</c:v>
                </c:pt>
                <c:pt idx="54">
                  <c:v>2.4617598408673293E-3</c:v>
                </c:pt>
                <c:pt idx="55">
                  <c:v>1.1452908859898713E-3</c:v>
                </c:pt>
                <c:pt idx="56">
                  <c:v>2.2401847575057735E-3</c:v>
                </c:pt>
                <c:pt idx="57">
                  <c:v>3.3512794144334888E-3</c:v>
                </c:pt>
                <c:pt idx="58">
                  <c:v>9.827213822894169E-3</c:v>
                </c:pt>
                <c:pt idx="59">
                  <c:v>7.4721268454424738E-3</c:v>
                </c:pt>
                <c:pt idx="60">
                  <c:v>4.669318378338316E-3</c:v>
                </c:pt>
                <c:pt idx="61">
                  <c:v>7.6555792759910937E-3</c:v>
                </c:pt>
                <c:pt idx="62">
                  <c:v>2.6309839468870114E-3</c:v>
                </c:pt>
                <c:pt idx="63">
                  <c:v>2.1136549728017671E-3</c:v>
                </c:pt>
                <c:pt idx="64">
                  <c:v>6.6754281661347186E-3</c:v>
                </c:pt>
                <c:pt idx="65">
                  <c:v>3.1996007837554212E-3</c:v>
                </c:pt>
                <c:pt idx="66">
                  <c:v>9.1194199159233963E-3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F-4A29-BEF3-DF8D6F5114B7}"/>
            </c:ext>
          </c:extLst>
        </c:ser>
        <c:ser>
          <c:idx val="1"/>
          <c:order val="1"/>
          <c:tx>
            <c:strRef>
              <c:f>'Compare Weekly Follower'!$D$7:$D$8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0FB5-4461-B142-B9CEA1D8AF86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B5-4461-B142-B9CEA1D8AF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'Compare Weekly Follower'!$B$9:$B$76</c:f>
              <c:strCache>
                <c:ptCount val="67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2025-05-19</c:v>
                </c:pt>
                <c:pt idx="51">
                  <c:v>2025-05-26</c:v>
                </c:pt>
                <c:pt idx="52">
                  <c:v>2025-06-02</c:v>
                </c:pt>
                <c:pt idx="53">
                  <c:v>2025-06-09</c:v>
                </c:pt>
                <c:pt idx="54">
                  <c:v>2025-06-16</c:v>
                </c:pt>
                <c:pt idx="55">
                  <c:v>2025-06-23</c:v>
                </c:pt>
                <c:pt idx="56">
                  <c:v>2025-06-30</c:v>
                </c:pt>
                <c:pt idx="57">
                  <c:v>2025-07-07</c:v>
                </c:pt>
                <c:pt idx="58">
                  <c:v>2025-07-14</c:v>
                </c:pt>
                <c:pt idx="59">
                  <c:v>2025-07-21</c:v>
                </c:pt>
                <c:pt idx="60">
                  <c:v>2025-07-28</c:v>
                </c:pt>
                <c:pt idx="61">
                  <c:v>2025-08-04</c:v>
                </c:pt>
                <c:pt idx="62">
                  <c:v>2025-08-11</c:v>
                </c:pt>
                <c:pt idx="63">
                  <c:v>2025-08-18</c:v>
                </c:pt>
                <c:pt idx="64">
                  <c:v>2025-08-25</c:v>
                </c:pt>
                <c:pt idx="65">
                  <c:v>2025-09-01</c:v>
                </c:pt>
                <c:pt idx="66">
                  <c:v>2025-09-08</c:v>
                </c:pt>
              </c:strCache>
            </c:strRef>
          </c:cat>
          <c:val>
            <c:numRef>
              <c:f>'Compare Weekly Follower'!$D$9:$D$76</c:f>
              <c:numCache>
                <c:formatCode>0.00%</c:formatCode>
                <c:ptCount val="67"/>
                <c:pt idx="0">
                  <c:v>3.9875766588582107E-3</c:v>
                </c:pt>
                <c:pt idx="1">
                  <c:v>4.247465810484582E-3</c:v>
                </c:pt>
                <c:pt idx="2">
                  <c:v>5.2165710498603361E-3</c:v>
                </c:pt>
                <c:pt idx="3">
                  <c:v>8.7155963302752298E-3</c:v>
                </c:pt>
                <c:pt idx="4">
                  <c:v>2.7265062228494967E-3</c:v>
                </c:pt>
                <c:pt idx="5">
                  <c:v>1.7836234485988603E-2</c:v>
                </c:pt>
                <c:pt idx="6">
                  <c:v>4.1633646660018432E-3</c:v>
                </c:pt>
                <c:pt idx="7">
                  <c:v>1.3666228646517741E-3</c:v>
                </c:pt>
                <c:pt idx="8">
                  <c:v>5.2125958475504573E-3</c:v>
                </c:pt>
                <c:pt idx="9">
                  <c:v>4.3839826448522105E-3</c:v>
                </c:pt>
                <c:pt idx="10">
                  <c:v>1.031124193757846E-2</c:v>
                </c:pt>
                <c:pt idx="11">
                  <c:v>6.2169419806330862E-3</c:v>
                </c:pt>
                <c:pt idx="12">
                  <c:v>1.1090510417460359E-3</c:v>
                </c:pt>
                <c:pt idx="13">
                  <c:v>2.6618404566337186E-3</c:v>
                </c:pt>
                <c:pt idx="14">
                  <c:v>4.7123181781018424E-3</c:v>
                </c:pt>
                <c:pt idx="15">
                  <c:v>3.4796436801746559E-3</c:v>
                </c:pt>
                <c:pt idx="16">
                  <c:v>3.305365562946797E-3</c:v>
                </c:pt>
                <c:pt idx="17">
                  <c:v>4.6946006530167259E-3</c:v>
                </c:pt>
                <c:pt idx="18">
                  <c:v>2.8850860838862216E-3</c:v>
                </c:pt>
                <c:pt idx="19">
                  <c:v>1.8353650184906177E-3</c:v>
                </c:pt>
                <c:pt idx="20">
                  <c:v>5.3980915408646862E-3</c:v>
                </c:pt>
                <c:pt idx="21">
                  <c:v>1.5788005199153436E-3</c:v>
                </c:pt>
                <c:pt idx="22">
                  <c:v>3.9842122008616216E-3</c:v>
                </c:pt>
                <c:pt idx="23">
                  <c:v>2.6275238057607967E-3</c:v>
                </c:pt>
                <c:pt idx="24">
                  <c:v>5.0288483327232481E-3</c:v>
                </c:pt>
                <c:pt idx="25">
                  <c:v>4.2439230501565839E-3</c:v>
                </c:pt>
                <c:pt idx="26">
                  <c:v>7.8261885293774095E-3</c:v>
                </c:pt>
                <c:pt idx="27">
                  <c:v>3.8344284334702996E-3</c:v>
                </c:pt>
                <c:pt idx="28">
                  <c:v>2.7987701840030041E-3</c:v>
                </c:pt>
                <c:pt idx="29">
                  <c:v>6.4046760353189906E-3</c:v>
                </c:pt>
                <c:pt idx="30">
                  <c:v>3.7157691133055076E-3</c:v>
                </c:pt>
                <c:pt idx="31">
                  <c:v>8.2282093543773697E-3</c:v>
                </c:pt>
                <c:pt idx="32">
                  <c:v>3.960732004118693E-3</c:v>
                </c:pt>
                <c:pt idx="33">
                  <c:v>2.0100280520398473E-3</c:v>
                </c:pt>
                <c:pt idx="34">
                  <c:v>5.1939513477975013E-3</c:v>
                </c:pt>
                <c:pt idx="35">
                  <c:v>6.8852027382833069E-3</c:v>
                </c:pt>
                <c:pt idx="36">
                  <c:v>1.2038244241634072E-2</c:v>
                </c:pt>
                <c:pt idx="37">
                  <c:v>2.3280135960016494E-3</c:v>
                </c:pt>
                <c:pt idx="38">
                  <c:v>3.7818873758696555E-3</c:v>
                </c:pt>
                <c:pt idx="39">
                  <c:v>7.8900723125911749E-3</c:v>
                </c:pt>
                <c:pt idx="40">
                  <c:v>5.1540047386073422E-3</c:v>
                </c:pt>
                <c:pt idx="41">
                  <c:v>1.4348198375413667E-3</c:v>
                </c:pt>
                <c:pt idx="42">
                  <c:v>6.5302778380201933E-3</c:v>
                </c:pt>
                <c:pt idx="43">
                  <c:v>9.0792625187990864E-3</c:v>
                </c:pt>
                <c:pt idx="44">
                  <c:v>2.9814935695005556E-3</c:v>
                </c:pt>
                <c:pt idx="45">
                  <c:v>6.2397756485160086E-3</c:v>
                </c:pt>
                <c:pt idx="46">
                  <c:v>1.4351099955706482E-3</c:v>
                </c:pt>
                <c:pt idx="47">
                  <c:v>2.0509887813384732E-3</c:v>
                </c:pt>
                <c:pt idx="48">
                  <c:v>2.5507605115104954E-3</c:v>
                </c:pt>
                <c:pt idx="49">
                  <c:v>2.6547884187082403E-3</c:v>
                </c:pt>
                <c:pt idx="50">
                  <c:v>4.1466368206671319E-3</c:v>
                </c:pt>
                <c:pt idx="51">
                  <c:v>3.7470607409939207E-3</c:v>
                </c:pt>
                <c:pt idx="52">
                  <c:v>9.6542972769051369E-3</c:v>
                </c:pt>
                <c:pt idx="53">
                  <c:v>1.5942232850377457E-3</c:v>
                </c:pt>
                <c:pt idx="54">
                  <c:v>5.1721119722456512E-3</c:v>
                </c:pt>
                <c:pt idx="55">
                  <c:v>2.1127444317144686E-3</c:v>
                </c:pt>
                <c:pt idx="56">
                  <c:v>1.208595326242385E-2</c:v>
                </c:pt>
                <c:pt idx="57">
                  <c:v>2.6668250067122413E-3</c:v>
                </c:pt>
                <c:pt idx="58">
                  <c:v>1.5181988769584942E-3</c:v>
                </c:pt>
                <c:pt idx="59">
                  <c:v>3.1852844079273504E-3</c:v>
                </c:pt>
                <c:pt idx="60">
                  <c:v>1.0981480529715098E-2</c:v>
                </c:pt>
                <c:pt idx="61">
                  <c:v>1.8650998332996943E-3</c:v>
                </c:pt>
                <c:pt idx="62">
                  <c:v>6.0271996703070265E-3</c:v>
                </c:pt>
                <c:pt idx="63">
                  <c:v>1.823480339105339E-3</c:v>
                </c:pt>
                <c:pt idx="64">
                  <c:v>3.9399561477483558E-3</c:v>
                </c:pt>
                <c:pt idx="65">
                  <c:v>3.6710630280192063E-3</c:v>
                </c:pt>
                <c:pt idx="66">
                  <c:v>1.7666324429429343E-3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65-453E-9481-36A46041661D}"/>
            </c:ext>
          </c:extLst>
        </c:ser>
        <c:ser>
          <c:idx val="2"/>
          <c:order val="2"/>
          <c:tx>
            <c:strRef>
              <c:f>'Compare Weekly Follower'!$E$7:$E$8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6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FB5-4461-B142-B9CEA1D8AF86}"/>
              </c:ext>
            </c:extLst>
          </c:dPt>
          <c:dLbls>
            <c:dLbl>
              <c:idx val="6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B5-4461-B142-B9CEA1D8AF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'Compare Weekly Follower'!$B$9:$B$76</c:f>
              <c:strCache>
                <c:ptCount val="67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2025-05-19</c:v>
                </c:pt>
                <c:pt idx="51">
                  <c:v>2025-05-26</c:v>
                </c:pt>
                <c:pt idx="52">
                  <c:v>2025-06-02</c:v>
                </c:pt>
                <c:pt idx="53">
                  <c:v>2025-06-09</c:v>
                </c:pt>
                <c:pt idx="54">
                  <c:v>2025-06-16</c:v>
                </c:pt>
                <c:pt idx="55">
                  <c:v>2025-06-23</c:v>
                </c:pt>
                <c:pt idx="56">
                  <c:v>2025-06-30</c:v>
                </c:pt>
                <c:pt idx="57">
                  <c:v>2025-07-07</c:v>
                </c:pt>
                <c:pt idx="58">
                  <c:v>2025-07-14</c:v>
                </c:pt>
                <c:pt idx="59">
                  <c:v>2025-07-21</c:v>
                </c:pt>
                <c:pt idx="60">
                  <c:v>2025-07-28</c:v>
                </c:pt>
                <c:pt idx="61">
                  <c:v>2025-08-04</c:v>
                </c:pt>
                <c:pt idx="62">
                  <c:v>2025-08-11</c:v>
                </c:pt>
                <c:pt idx="63">
                  <c:v>2025-08-18</c:v>
                </c:pt>
                <c:pt idx="64">
                  <c:v>2025-08-25</c:v>
                </c:pt>
                <c:pt idx="65">
                  <c:v>2025-09-01</c:v>
                </c:pt>
                <c:pt idx="66">
                  <c:v>2025-09-08</c:v>
                </c:pt>
              </c:strCache>
            </c:strRef>
          </c:cat>
          <c:val>
            <c:numRef>
              <c:f>'Compare Weekly Follower'!$E$9:$E$76</c:f>
              <c:numCache>
                <c:formatCode>0.00%</c:formatCode>
                <c:ptCount val="67"/>
                <c:pt idx="0">
                  <c:v>3.176300905893983E-3</c:v>
                </c:pt>
                <c:pt idx="1">
                  <c:v>1.1541771253329111E-3</c:v>
                </c:pt>
                <c:pt idx="2">
                  <c:v>5.1990991422684362E-3</c:v>
                </c:pt>
                <c:pt idx="3">
                  <c:v>5.5548942586200059E-3</c:v>
                </c:pt>
                <c:pt idx="4">
                  <c:v>3.7184126339477423E-3</c:v>
                </c:pt>
                <c:pt idx="5">
                  <c:v>5.7836390843520723E-3</c:v>
                </c:pt>
                <c:pt idx="6">
                  <c:v>4.4074791828765565E-3</c:v>
                </c:pt>
                <c:pt idx="7">
                  <c:v>2.9558125725816196E-3</c:v>
                </c:pt>
                <c:pt idx="8">
                  <c:v>2.4107127645679174E-3</c:v>
                </c:pt>
                <c:pt idx="9">
                  <c:v>2.3829134417695176E-3</c:v>
                </c:pt>
                <c:pt idx="10">
                  <c:v>3.2668165162148292E-3</c:v>
                </c:pt>
                <c:pt idx="11">
                  <c:v>6.1138546368952043E-3</c:v>
                </c:pt>
                <c:pt idx="12">
                  <c:v>4.3018845648676966E-3</c:v>
                </c:pt>
                <c:pt idx="13">
                  <c:v>2.8775171297394605E-3</c:v>
                </c:pt>
                <c:pt idx="14">
                  <c:v>2.3319170287838973E-3</c:v>
                </c:pt>
                <c:pt idx="15">
                  <c:v>2.2541306944976669E-3</c:v>
                </c:pt>
                <c:pt idx="16">
                  <c:v>1.3748256088824177E-3</c:v>
                </c:pt>
                <c:pt idx="17">
                  <c:v>3.2768049617799048E-3</c:v>
                </c:pt>
                <c:pt idx="18">
                  <c:v>8.0878372132944243E-3</c:v>
                </c:pt>
                <c:pt idx="19">
                  <c:v>3.8177207407976638E-3</c:v>
                </c:pt>
                <c:pt idx="20">
                  <c:v>7.2173750633688196E-3</c:v>
                </c:pt>
                <c:pt idx="21">
                  <c:v>3.6774665438586984E-3</c:v>
                </c:pt>
                <c:pt idx="22">
                  <c:v>8.0175996088975802E-3</c:v>
                </c:pt>
                <c:pt idx="23">
                  <c:v>4.6556860536239985E-3</c:v>
                </c:pt>
                <c:pt idx="24">
                  <c:v>2.0449775112443779E-3</c:v>
                </c:pt>
                <c:pt idx="25">
                  <c:v>5.8524314976443207E-3</c:v>
                </c:pt>
                <c:pt idx="26">
                  <c:v>2.0028848369668811E-3</c:v>
                </c:pt>
                <c:pt idx="27">
                  <c:v>3.2086280175382597E-3</c:v>
                </c:pt>
                <c:pt idx="28">
                  <c:v>7.8332145402708487E-3</c:v>
                </c:pt>
                <c:pt idx="29">
                  <c:v>2.60081206532016E-3</c:v>
                </c:pt>
                <c:pt idx="30">
                  <c:v>4.3562203906807708E-3</c:v>
                </c:pt>
                <c:pt idx="31">
                  <c:v>2.8057492705051896E-3</c:v>
                </c:pt>
                <c:pt idx="32">
                  <c:v>2.9568975321278288E-3</c:v>
                </c:pt>
                <c:pt idx="33">
                  <c:v>2.5280739012313877E-3</c:v>
                </c:pt>
                <c:pt idx="34">
                  <c:v>3.685623501752981E-3</c:v>
                </c:pt>
                <c:pt idx="35">
                  <c:v>1.1697559866836308E-3</c:v>
                </c:pt>
                <c:pt idx="36">
                  <c:v>1.9357425118836263E-3</c:v>
                </c:pt>
                <c:pt idx="37">
                  <c:v>1.0583174536168594E-3</c:v>
                </c:pt>
                <c:pt idx="38">
                  <c:v>1.8949662755644234E-3</c:v>
                </c:pt>
                <c:pt idx="39">
                  <c:v>1.7409229805475531E-3</c:v>
                </c:pt>
                <c:pt idx="40">
                  <c:v>2.2450476889214967E-3</c:v>
                </c:pt>
                <c:pt idx="41">
                  <c:v>4.2810298761233904E-3</c:v>
                </c:pt>
                <c:pt idx="42">
                  <c:v>3.2720751898231166E-3</c:v>
                </c:pt>
                <c:pt idx="43">
                  <c:v>6.7594964249334932E-3</c:v>
                </c:pt>
                <c:pt idx="44">
                  <c:v>3.6902252215116576E-3</c:v>
                </c:pt>
                <c:pt idx="45">
                  <c:v>4.6142223427541986E-3</c:v>
                </c:pt>
                <c:pt idx="46">
                  <c:v>3.2565414723670183E-3</c:v>
                </c:pt>
                <c:pt idx="47">
                  <c:v>2.9339148299662998E-3</c:v>
                </c:pt>
                <c:pt idx="48">
                  <c:v>1.9790880672631238E-3</c:v>
                </c:pt>
                <c:pt idx="49">
                  <c:v>1.4915157677349929E-3</c:v>
                </c:pt>
                <c:pt idx="50">
                  <c:v>7.5491490264485411E-3</c:v>
                </c:pt>
                <c:pt idx="51">
                  <c:v>2.005770990217468E-3</c:v>
                </c:pt>
                <c:pt idx="52">
                  <c:v>4.9181461441388493E-3</c:v>
                </c:pt>
                <c:pt idx="53">
                  <c:v>4.1211031333606603E-3</c:v>
                </c:pt>
                <c:pt idx="54">
                  <c:v>5.4388566363352828E-3</c:v>
                </c:pt>
                <c:pt idx="55">
                  <c:v>3.3553365983339462E-3</c:v>
                </c:pt>
                <c:pt idx="56">
                  <c:v>6.4765009508285796E-3</c:v>
                </c:pt>
                <c:pt idx="57">
                  <c:v>3.1694785125105812E-3</c:v>
                </c:pt>
                <c:pt idx="58">
                  <c:v>2.6388003437092886E-3</c:v>
                </c:pt>
                <c:pt idx="59">
                  <c:v>3.2454858113287115E-3</c:v>
                </c:pt>
                <c:pt idx="60">
                  <c:v>1.7084647221127316E-2</c:v>
                </c:pt>
                <c:pt idx="61">
                  <c:v>3.9299078763469142E-3</c:v>
                </c:pt>
                <c:pt idx="62">
                  <c:v>6.6042394102916796E-3</c:v>
                </c:pt>
                <c:pt idx="63">
                  <c:v>5.5270456327116777E-3</c:v>
                </c:pt>
                <c:pt idx="64">
                  <c:v>3.5959985838152297E-3</c:v>
                </c:pt>
                <c:pt idx="65">
                  <c:v>7.9729048800556194E-4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65-453E-9481-36A460416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900144"/>
        <c:axId val="1418902064"/>
      </c:lineChart>
      <c:catAx>
        <c:axId val="1418900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>
                    <a:solidFill>
                      <a:schemeClr val="tx1"/>
                    </a:solidFill>
                  </a:rPr>
                  <a:t>Week</a:t>
                </a:r>
                <a:r>
                  <a:rPr lang="en-IN" sz="1600" b="1" baseline="0">
                    <a:solidFill>
                      <a:schemeClr val="tx1"/>
                    </a:solidFill>
                  </a:rPr>
                  <a:t> start Date</a:t>
                </a:r>
                <a:endParaRPr lang="en-IN" sz="16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559738372783923"/>
              <c:y val="0.916568183341998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02064"/>
        <c:crosses val="autoZero"/>
        <c:auto val="1"/>
        <c:lblAlgn val="ctr"/>
        <c:lblOffset val="100"/>
        <c:noMultiLvlLbl val="0"/>
      </c:catAx>
      <c:valAx>
        <c:axId val="141890206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</a:rPr>
                  <a:t>Growth rate %</a:t>
                </a:r>
              </a:p>
            </c:rich>
          </c:tx>
          <c:layout>
            <c:manualLayout>
              <c:xMode val="edge"/>
              <c:yMode val="edge"/>
              <c:x val="7.215007215007215E-3"/>
              <c:y val="0.324956370294009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0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Ad spend vs Engagement</a:t>
            </a:r>
          </a:p>
        </c:rich>
      </c:tx>
      <c:layout>
        <c:manualLayout>
          <c:xMode val="edge"/>
          <c:yMode val="edge"/>
          <c:x val="0.35900530578838941"/>
          <c:y val="1.6038249330371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'Ad Spend vs Engagement'!$F$7</c:f>
              <c:strCache>
                <c:ptCount val="1"/>
                <c:pt idx="0">
                  <c:v>Total Ad 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E2219E0-DFB8-4F29-A966-71467EBE0BC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5EF-4FCC-93F8-7011A3BA54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B720D9B-C9DB-46A5-A729-953D2E508E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5EF-4FCC-93F8-7011A3BA54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6C9B91-57C6-4E81-B075-DCBF3879744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5EF-4FCC-93F8-7011A3BA54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'Ad Spend vs Engagement'!$F$8:$F$10</c:f>
              <c:numCache>
                <c:formatCode>General</c:formatCode>
                <c:ptCount val="3"/>
                <c:pt idx="0">
                  <c:v>1035942</c:v>
                </c:pt>
                <c:pt idx="1">
                  <c:v>1114204</c:v>
                </c:pt>
                <c:pt idx="2">
                  <c:v>1065782</c:v>
                </c:pt>
              </c:numCache>
            </c:numRef>
          </c:xVal>
          <c:yVal>
            <c:numRef>
              <c:f>'Ad Spend vs Engagement'!$E$8:$E$10</c:f>
              <c:numCache>
                <c:formatCode>General</c:formatCode>
                <c:ptCount val="3"/>
                <c:pt idx="0">
                  <c:v>301576</c:v>
                </c:pt>
                <c:pt idx="1">
                  <c:v>527370</c:v>
                </c:pt>
                <c:pt idx="2">
                  <c:v>228696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'Ad Spend vs Engagement'!$D$8:$D$10</c15:f>
                <c15:dlblRangeCache>
                  <c:ptCount val="3"/>
                  <c:pt idx="0">
                    <c:v>Instagram</c:v>
                  </c:pt>
                  <c:pt idx="1">
                    <c:v>Twitter</c:v>
                  </c:pt>
                  <c:pt idx="2">
                    <c:v>YouTube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5EF-4FCC-93F8-7011A3BA54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31113328"/>
        <c:axId val="331114288"/>
      </c:scatterChart>
      <c:valAx>
        <c:axId val="331113328"/>
        <c:scaling>
          <c:orientation val="minMax"/>
          <c:max val="12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Ad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14288"/>
        <c:crosses val="autoZero"/>
        <c:crossBetween val="midCat"/>
      </c:valAx>
      <c:valAx>
        <c:axId val="3311142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Total Engagement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13328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20782</xdr:colOff>
      <xdr:row>0</xdr:row>
      <xdr:rowOff>138545</xdr:rowOff>
    </xdr:from>
    <xdr:to>
      <xdr:col>10</xdr:col>
      <xdr:colOff>41564</xdr:colOff>
      <xdr:row>3</xdr:row>
      <xdr:rowOff>159327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A03C628C-C6D9-5559-277A-57888AB1F855}"/>
            </a:ext>
          </a:extLst>
        </xdr:cNvPr>
        <xdr:cNvCxnSpPr/>
      </xdr:nvCxnSpPr>
      <xdr:spPr>
        <a:xfrm>
          <a:off x="9919855" y="138545"/>
          <a:ext cx="616527" cy="6096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320039</xdr:colOff>
      <xdr:row>7</xdr:row>
      <xdr:rowOff>35754</xdr:rowOff>
    </xdr:from>
    <xdr:to>
      <xdr:col>5</xdr:col>
      <xdr:colOff>540432</xdr:colOff>
      <xdr:row>7</xdr:row>
      <xdr:rowOff>175259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65C6423-D691-4958-8385-A1E0A52203FB}"/>
            </a:ext>
          </a:extLst>
        </xdr:cNvPr>
        <xdr:cNvSpPr/>
      </xdr:nvSpPr>
      <xdr:spPr>
        <a:xfrm rot="10800000">
          <a:off x="2148839" y="1780734"/>
          <a:ext cx="220393" cy="13950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41030</xdr:colOff>
      <xdr:row>7</xdr:row>
      <xdr:rowOff>169985</xdr:rowOff>
    </xdr:from>
    <xdr:to>
      <xdr:col>8</xdr:col>
      <xdr:colOff>568569</xdr:colOff>
      <xdr:row>9</xdr:row>
      <xdr:rowOff>164123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1D15F018-77F7-8C9C-46A0-FBFC7AFDD6A9}"/>
            </a:ext>
          </a:extLst>
        </xdr:cNvPr>
        <xdr:cNvCxnSpPr/>
      </xdr:nvCxnSpPr>
      <xdr:spPr>
        <a:xfrm>
          <a:off x="7930661" y="1916723"/>
          <a:ext cx="527539" cy="498231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114616</xdr:colOff>
      <xdr:row>2</xdr:row>
      <xdr:rowOff>55417</xdr:rowOff>
    </xdr:from>
    <xdr:to>
      <xdr:col>24</xdr:col>
      <xdr:colOff>290965</xdr:colOff>
      <xdr:row>27</xdr:row>
      <xdr:rowOff>40595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14FB2F-793A-902E-A9BF-3FDF14BDD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24063</xdr:colOff>
      <xdr:row>74</xdr:row>
      <xdr:rowOff>112295</xdr:rowOff>
    </xdr:from>
    <xdr:to>
      <xdr:col>6</xdr:col>
      <xdr:colOff>32084</xdr:colOff>
      <xdr:row>78</xdr:row>
      <xdr:rowOff>88232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5D40F8C3-D364-B6F2-FA5B-7FC0D0E0EAA7}"/>
            </a:ext>
          </a:extLst>
        </xdr:cNvPr>
        <xdr:cNvCxnSpPr/>
      </xdr:nvCxnSpPr>
      <xdr:spPr>
        <a:xfrm>
          <a:off x="4644189" y="13972674"/>
          <a:ext cx="745958" cy="7138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205740</xdr:colOff>
      <xdr:row>8</xdr:row>
      <xdr:rowOff>99060</xdr:rowOff>
    </xdr:from>
    <xdr:to>
      <xdr:col>2</xdr:col>
      <xdr:colOff>571500</xdr:colOff>
      <xdr:row>11</xdr:row>
      <xdr:rowOff>76200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40448B1B-5529-C299-6726-744766422448}"/>
            </a:ext>
          </a:extLst>
        </xdr:cNvPr>
        <xdr:cNvCxnSpPr/>
      </xdr:nvCxnSpPr>
      <xdr:spPr>
        <a:xfrm rot="10800000" flipV="1">
          <a:off x="815340" y="1760220"/>
          <a:ext cx="975360" cy="525780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60960</xdr:colOff>
      <xdr:row>2</xdr:row>
      <xdr:rowOff>42485</xdr:rowOff>
    </xdr:from>
    <xdr:to>
      <xdr:col>16</xdr:col>
      <xdr:colOff>586740</xdr:colOff>
      <xdr:row>23</xdr:row>
      <xdr:rowOff>1270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523775-DF71-7B64-2892-66125FCBA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7</xdr:row>
      <xdr:rowOff>106680</xdr:rowOff>
    </xdr:from>
    <xdr:to>
      <xdr:col>6</xdr:col>
      <xdr:colOff>335280</xdr:colOff>
      <xdr:row>19</xdr:row>
      <xdr:rowOff>160020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BC82D95B-5032-EBA0-7D5E-43BAE8045D63}"/>
            </a:ext>
          </a:extLst>
        </xdr:cNvPr>
        <xdr:cNvCxnSpPr/>
      </xdr:nvCxnSpPr>
      <xdr:spPr>
        <a:xfrm rot="5400000">
          <a:off x="4724400" y="2712720"/>
          <a:ext cx="2247900" cy="220980"/>
        </a:xfrm>
        <a:prstGeom prst="bentConnector3">
          <a:avLst>
            <a:gd name="adj1" fmla="val 10016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7</xdr:row>
      <xdr:rowOff>104775</xdr:rowOff>
    </xdr:from>
    <xdr:to>
      <xdr:col>6</xdr:col>
      <xdr:colOff>335280</xdr:colOff>
      <xdr:row>7</xdr:row>
      <xdr:rowOff>106680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E0BB7B8F-440C-F59F-A618-2A73D73A0915}"/>
            </a:ext>
          </a:extLst>
        </xdr:cNvPr>
        <xdr:cNvCxnSpPr/>
      </xdr:nvCxnSpPr>
      <xdr:spPr>
        <a:xfrm>
          <a:off x="5541645" y="1590675"/>
          <a:ext cx="325755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5</xdr:row>
      <xdr:rowOff>84665</xdr:rowOff>
    </xdr:from>
    <xdr:to>
      <xdr:col>0</xdr:col>
      <xdr:colOff>564138</xdr:colOff>
      <xdr:row>5</xdr:row>
      <xdr:rowOff>182878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7BF2014B-E77B-40C9-880C-4A96EE4D2244}"/>
            </a:ext>
          </a:extLst>
        </xdr:cNvPr>
        <xdr:cNvSpPr/>
      </xdr:nvSpPr>
      <xdr:spPr>
        <a:xfrm rot="10800000">
          <a:off x="380999" y="1363132"/>
          <a:ext cx="183139" cy="98213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76199</xdr:colOff>
      <xdr:row>5</xdr:row>
      <xdr:rowOff>134815</xdr:rowOff>
    </xdr:from>
    <xdr:to>
      <xdr:col>4</xdr:col>
      <xdr:colOff>0</xdr:colOff>
      <xdr:row>7</xdr:row>
      <xdr:rowOff>164123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E494C0D0-13DD-4CE1-8133-27FBA1495E4B}"/>
            </a:ext>
          </a:extLst>
        </xdr:cNvPr>
        <xdr:cNvCxnSpPr/>
      </xdr:nvCxnSpPr>
      <xdr:spPr>
        <a:xfrm>
          <a:off x="6751319" y="1879795"/>
          <a:ext cx="533401" cy="577948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3</xdr:col>
      <xdr:colOff>855133</xdr:colOff>
      <xdr:row>15</xdr:row>
      <xdr:rowOff>135467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2B3EBA06-DFF9-4E80-A8CE-48A432B25C56}"/>
            </a:ext>
          </a:extLst>
        </xdr:cNvPr>
        <xdr:cNvCxnSpPr/>
      </xdr:nvCxnSpPr>
      <xdr:spPr>
        <a:xfrm>
          <a:off x="4546600" y="2794000"/>
          <a:ext cx="855133" cy="50800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</xdr:colOff>
      <xdr:row>19</xdr:row>
      <xdr:rowOff>160020</xdr:rowOff>
    </xdr:from>
    <xdr:to>
      <xdr:col>4</xdr:col>
      <xdr:colOff>411481</xdr:colOff>
      <xdr:row>22</xdr:row>
      <xdr:rowOff>36928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0827AE1-EEF5-4DF4-9394-024FC4DACC7C}"/>
            </a:ext>
          </a:extLst>
        </xdr:cNvPr>
        <xdr:cNvCxnSpPr/>
      </xdr:nvCxnSpPr>
      <xdr:spPr>
        <a:xfrm>
          <a:off x="5494020" y="4251960"/>
          <a:ext cx="396241" cy="425548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369993</xdr:colOff>
      <xdr:row>15</xdr:row>
      <xdr:rowOff>67733</xdr:rowOff>
    </xdr:from>
    <xdr:to>
      <xdr:col>0</xdr:col>
      <xdr:colOff>567526</xdr:colOff>
      <xdr:row>15</xdr:row>
      <xdr:rowOff>222478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BDEDDE4-DF23-4409-B5F7-8410A04D43A4}"/>
            </a:ext>
          </a:extLst>
        </xdr:cNvPr>
        <xdr:cNvSpPr/>
      </xdr:nvSpPr>
      <xdr:spPr>
        <a:xfrm rot="10800000">
          <a:off x="369993" y="3843866"/>
          <a:ext cx="197533" cy="15474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321732</xdr:colOff>
      <xdr:row>22</xdr:row>
      <xdr:rowOff>76199</xdr:rowOff>
    </xdr:from>
    <xdr:to>
      <xdr:col>0</xdr:col>
      <xdr:colOff>560751</xdr:colOff>
      <xdr:row>22</xdr:row>
      <xdr:rowOff>228597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6A9638A8-D6CF-455C-AE8A-E15991D7F1BF}"/>
            </a:ext>
          </a:extLst>
        </xdr:cNvPr>
        <xdr:cNvSpPr/>
      </xdr:nvSpPr>
      <xdr:spPr>
        <a:xfrm rot="10800000">
          <a:off x="321732" y="5444066"/>
          <a:ext cx="239019" cy="152398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601136</xdr:colOff>
      <xdr:row>1</xdr:row>
      <xdr:rowOff>16935</xdr:rowOff>
    </xdr:from>
    <xdr:to>
      <xdr:col>10</xdr:col>
      <xdr:colOff>973666</xdr:colOff>
      <xdr:row>10</xdr:row>
      <xdr:rowOff>220134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079318AC-602B-A5F5-C47F-5C95F04242AF}"/>
            </a:ext>
          </a:extLst>
        </xdr:cNvPr>
        <xdr:cNvCxnSpPr/>
      </xdr:nvCxnSpPr>
      <xdr:spPr>
        <a:xfrm rot="16200000" flipH="1">
          <a:off x="8559802" y="939803"/>
          <a:ext cx="2201332" cy="982130"/>
        </a:xfrm>
        <a:prstGeom prst="bentConnector3">
          <a:avLst>
            <a:gd name="adj1" fmla="val 9961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rka" refreshedDate="46078.573298611111" createdVersion="8" refreshedVersion="8" minRefreshableVersion="3" recordCount="200" xr:uid="{C4F11208-2ABF-473D-BE5D-006377071188}">
  <cacheSource type="worksheet">
    <worksheetSource ref="A1:I201" sheet="Cleaned_Engagement_Data "/>
  </cacheSource>
  <cacheFields count="10">
    <cacheField name="Week_Start_Date" numFmtId="167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9"/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  <cacheField name="Net followers" numFmtId="1">
      <sharedItems containsSemiMixedTypes="0" containsString="0" containsNumber="1" containsInteger="1" minValue="250" maxValue="1397"/>
    </cacheField>
    <cacheField name="Growth Rate (%)" numFmtId="10">
      <sharedItems containsSemiMixedTypes="0" containsString="0" containsNumber="1" minValue="7.9729048800556194E-4" maxValue="1.7836234485988603E-2"/>
    </cacheField>
    <cacheField name="Days (Week_Start_Date)" numFmtId="0" databaseField="0">
      <fieldGroup base="0">
        <rangePr groupBy="days" startDate="2024-06-03T00:00:00" endDate="2025-09-09T00:00:00" groupInterval="7"/>
        <groupItems count="69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8-05-2025"/>
          <s v="19-05-2025 - 25-05-2025"/>
          <s v="26-05-2025 - 01-06-2025"/>
          <s v="02-06-2025 - 08-06-2025"/>
          <s v="09-06-2025 - 15-06-2025"/>
          <s v="16-06-2025 - 22-06-2025"/>
          <s v="23-06-2025 - 29-06-2025"/>
          <s v="30-06-2025 - 06-07-2025"/>
          <s v="07-07-2025 - 13-07-2025"/>
          <s v="14-07-2025 - 20-07-2025"/>
          <s v="21-07-2025 - 27-07-2025"/>
          <s v="28-07-2025 - 03-08-2025"/>
          <s v="04-08-2025 - 10-08-2025"/>
          <s v="11-08-2025 - 17-08-2025"/>
          <s v="18-08-2025 - 24-08-2025"/>
          <s v="25-08-2025 - 31-08-2025"/>
          <s v="01-09-2025 - 07-09-2025"/>
          <s v="08-09-2025 - 09-09-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 pivotCacheId="72436614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rka" refreshedDate="46078.573300231481" createdVersion="8" refreshedVersion="8" minRefreshableVersion="3" recordCount="300" xr:uid="{6D5B5D44-2BF2-487D-BD78-207063A6ADAE}">
  <cacheSource type="worksheet">
    <worksheetSource ref="A1:O301" sheet="Cleaned_post_Data"/>
  </cacheSource>
  <cacheFields count="15">
    <cacheField name="Post ID" numFmtId="0">
      <sharedItems/>
    </cacheField>
    <cacheField name="Platform" numFmtId="49">
      <sharedItems count="3">
        <s v="Instagram"/>
        <s v="Twitter"/>
        <s v="YouTube"/>
      </sharedItems>
    </cacheField>
    <cacheField name="Date" numFmtId="167">
      <sharedItems containsSemiMixedTypes="0" containsNonDate="0" containsDate="1" containsString="0" minDate="2024-01-01T00:00:00" maxDate="2025-07-02T00:00:00"/>
    </cacheField>
    <cacheField name="Content Type" numFmtId="49">
      <sharedItems/>
    </cacheField>
    <cacheField name="Post Text" numFmtId="49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_Used_1" numFmtId="0">
      <sharedItems/>
    </cacheField>
    <cacheField name="Hashtags_Used_2" numFmtId="0">
      <sharedItems containsBlank="1"/>
    </cacheField>
    <cacheField name="Campaign_Name" numFmtId="49">
      <sharedItems/>
    </cacheField>
    <cacheField name="Engagement" numFmtId="1">
      <sharedItems containsSemiMixedTypes="0" containsString="0" containsNumber="1" containsInteger="1" minValue="1341" maxValue="57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2"/>
    <n v="23125"/>
    <n v="1334"/>
    <n v="1.0709526179733787E-2"/>
  </r>
  <r>
    <x v="0"/>
    <x v="1"/>
    <n v="995"/>
    <n v="86"/>
    <n v="227958"/>
    <n v="8.0500000000000007"/>
    <n v="22788"/>
    <n v="909"/>
    <n v="3.9875766588582107E-3"/>
  </r>
  <r>
    <x v="0"/>
    <x v="2"/>
    <n v="1472"/>
    <n v="296"/>
    <n v="370242"/>
    <n v="7.72"/>
    <n v="7810"/>
    <n v="1176"/>
    <n v="3.176300905893983E-3"/>
  </r>
  <r>
    <x v="1"/>
    <x v="0"/>
    <n v="1018"/>
    <n v="90"/>
    <n v="92474"/>
    <n v="9.4"/>
    <n v="11966"/>
    <n v="928"/>
    <n v="1.0035253152237385E-2"/>
  </r>
  <r>
    <x v="1"/>
    <x v="1"/>
    <n v="1461"/>
    <n v="64"/>
    <n v="328902"/>
    <n v="9.02"/>
    <n v="26298"/>
    <n v="1397"/>
    <n v="4.247465810484582E-3"/>
  </r>
  <r>
    <x v="1"/>
    <x v="2"/>
    <n v="545"/>
    <n v="93"/>
    <n v="391621"/>
    <n v="9.9600000000000009"/>
    <n v="22029"/>
    <n v="452"/>
    <n v="1.1541771253329111E-3"/>
  </r>
  <r>
    <x v="2"/>
    <x v="0"/>
    <n v="881"/>
    <n v="291"/>
    <n v="95885"/>
    <n v="5.29"/>
    <n v="12391"/>
    <n v="590"/>
    <n v="6.1532043593888509E-3"/>
  </r>
  <r>
    <x v="2"/>
    <x v="1"/>
    <n v="1414"/>
    <n v="131"/>
    <n v="245947"/>
    <n v="8.3000000000000007"/>
    <n v="14477"/>
    <n v="1283"/>
    <n v="5.2165710498603361E-3"/>
  </r>
  <r>
    <x v="2"/>
    <x v="2"/>
    <n v="1472"/>
    <n v="170"/>
    <n v="250428"/>
    <n v="4.66"/>
    <n v="25040"/>
    <n v="1302"/>
    <n v="5.1990991422684362E-3"/>
  </r>
  <r>
    <x v="3"/>
    <x v="0"/>
    <n v="809"/>
    <n v="197"/>
    <n v="87186"/>
    <n v="9.48"/>
    <n v="22619"/>
    <n v="612"/>
    <n v="7.0194756038813571E-3"/>
  </r>
  <r>
    <x v="3"/>
    <x v="1"/>
    <n v="1371"/>
    <n v="250"/>
    <n v="128620"/>
    <n v="7.11"/>
    <n v="12399"/>
    <n v="1121"/>
    <n v="8.7155963302752298E-3"/>
  </r>
  <r>
    <x v="3"/>
    <x v="2"/>
    <n v="844"/>
    <n v="144"/>
    <n v="126015"/>
    <n v="9.65"/>
    <n v="22456"/>
    <n v="700"/>
    <n v="5.5548942586200059E-3"/>
  </r>
  <r>
    <x v="4"/>
    <x v="0"/>
    <n v="786"/>
    <n v="72"/>
    <n v="178615"/>
    <n v="5.43"/>
    <n v="19328"/>
    <n v="714"/>
    <n v="3.9974246283906723E-3"/>
  </r>
  <r>
    <x v="4"/>
    <x v="1"/>
    <n v="845"/>
    <n v="250"/>
    <n v="218228"/>
    <n v="4.5199999999999996"/>
    <n v="21107"/>
    <n v="595"/>
    <n v="2.7265062228494967E-3"/>
  </r>
  <r>
    <x v="4"/>
    <x v="2"/>
    <n v="1218"/>
    <n v="101"/>
    <n v="300397"/>
    <n v="4.33"/>
    <n v="12277"/>
    <n v="1117"/>
    <n v="3.7184126339477423E-3"/>
  </r>
  <r>
    <x v="5"/>
    <x v="0"/>
    <n v="797"/>
    <n v="130"/>
    <n v="340121"/>
    <n v="8.52"/>
    <n v="11684"/>
    <n v="667"/>
    <n v="1.9610667968164271E-3"/>
  </r>
  <r>
    <x v="5"/>
    <x v="1"/>
    <n v="1471"/>
    <n v="100"/>
    <n v="76866"/>
    <n v="8.5500000000000007"/>
    <n v="14412"/>
    <n v="1371"/>
    <n v="1.7836234485988603E-2"/>
  </r>
  <r>
    <x v="5"/>
    <x v="2"/>
    <n v="1253"/>
    <n v="136"/>
    <n v="193131"/>
    <n v="7.99"/>
    <n v="15924"/>
    <n v="1117"/>
    <n v="5.7836390843520723E-3"/>
  </r>
  <r>
    <x v="6"/>
    <x v="0"/>
    <n v="616"/>
    <n v="257"/>
    <n v="169665"/>
    <n v="6.31"/>
    <n v="12390"/>
    <n v="359"/>
    <n v="2.1159343412017798E-3"/>
  </r>
  <r>
    <x v="6"/>
    <x v="1"/>
    <n v="1308"/>
    <n v="210"/>
    <n v="263729"/>
    <n v="8.5299999999999994"/>
    <n v="25742"/>
    <n v="1098"/>
    <n v="4.1633646660018432E-3"/>
  </r>
  <r>
    <x v="6"/>
    <x v="2"/>
    <n v="981"/>
    <n v="69"/>
    <n v="206921"/>
    <n v="8.42"/>
    <n v="10495"/>
    <n v="912"/>
    <n v="4.4074791828765565E-3"/>
  </r>
  <r>
    <x v="7"/>
    <x v="0"/>
    <n v="866"/>
    <n v="74"/>
    <n v="204121"/>
    <n v="9.34"/>
    <n v="7797"/>
    <n v="792"/>
    <n v="3.8800515380583087E-3"/>
  </r>
  <r>
    <x v="7"/>
    <x v="1"/>
    <n v="547"/>
    <n v="183"/>
    <n v="266350"/>
    <n v="5.65"/>
    <n v="15595"/>
    <n v="364"/>
    <n v="1.3666228646517741E-3"/>
  </r>
  <r>
    <x v="7"/>
    <x v="2"/>
    <n v="1241"/>
    <n v="116"/>
    <n v="380606"/>
    <n v="4.2"/>
    <n v="24617"/>
    <n v="1125"/>
    <n v="2.9558125725816196E-3"/>
  </r>
  <r>
    <x v="8"/>
    <x v="0"/>
    <n v="973"/>
    <n v="104"/>
    <n v="376358"/>
    <n v="3.87"/>
    <n v="9847"/>
    <n v="869"/>
    <n v="2.3089717768720206E-3"/>
  </r>
  <r>
    <x v="8"/>
    <x v="1"/>
    <n v="611"/>
    <n v="197"/>
    <n v="79423"/>
    <n v="5.82"/>
    <n v="13644"/>
    <n v="414"/>
    <n v="5.2125958475504573E-3"/>
  </r>
  <r>
    <x v="8"/>
    <x v="2"/>
    <n v="983"/>
    <n v="134"/>
    <n v="352178"/>
    <n v="3.55"/>
    <n v="11421"/>
    <n v="849"/>
    <n v="2.4107127645679174E-3"/>
  </r>
  <r>
    <x v="9"/>
    <x v="0"/>
    <n v="1449"/>
    <n v="96"/>
    <n v="200636"/>
    <n v="9.92"/>
    <n v="15613"/>
    <n v="1353"/>
    <n v="6.7435554935305723E-3"/>
  </r>
  <r>
    <x v="9"/>
    <x v="1"/>
    <n v="752"/>
    <n v="170"/>
    <n v="132756"/>
    <n v="8.17"/>
    <n v="23900"/>
    <n v="582"/>
    <n v="4.3839826448522105E-3"/>
  </r>
  <r>
    <x v="9"/>
    <x v="2"/>
    <n v="937"/>
    <n v="179"/>
    <n v="318098"/>
    <n v="5.3"/>
    <n v="5836"/>
    <n v="758"/>
    <n v="2.3829134417695176E-3"/>
  </r>
  <r>
    <x v="10"/>
    <x v="0"/>
    <n v="1060"/>
    <n v="83"/>
    <n v="68724"/>
    <n v="5.98"/>
    <n v="5624"/>
    <n v="977"/>
    <n v="1.4216285431581398E-2"/>
  </r>
  <r>
    <x v="10"/>
    <x v="1"/>
    <n v="1456"/>
    <n v="265"/>
    <n v="115505"/>
    <n v="7.49"/>
    <n v="10311"/>
    <n v="1191"/>
    <n v="1.031124193757846E-2"/>
  </r>
  <r>
    <x v="10"/>
    <x v="2"/>
    <n v="1109"/>
    <n v="205"/>
    <n v="276722"/>
    <n v="9.3800000000000008"/>
    <n v="8274"/>
    <n v="904"/>
    <n v="3.2668165162148292E-3"/>
  </r>
  <r>
    <x v="11"/>
    <x v="0"/>
    <n v="1002"/>
    <n v="93"/>
    <n v="353538"/>
    <n v="5.84"/>
    <n v="6031"/>
    <n v="909"/>
    <n v="2.5711521816608116E-3"/>
  </r>
  <r>
    <x v="11"/>
    <x v="1"/>
    <n v="571"/>
    <n v="189"/>
    <n v="61445"/>
    <n v="5.41"/>
    <n v="27829"/>
    <n v="382"/>
    <n v="6.2169419806330862E-3"/>
  </r>
  <r>
    <x v="11"/>
    <x v="2"/>
    <n v="1240"/>
    <n v="231"/>
    <n v="165035"/>
    <n v="6.05"/>
    <n v="18267"/>
    <n v="1009"/>
    <n v="6.1138546368952043E-3"/>
  </r>
  <r>
    <x v="12"/>
    <x v="0"/>
    <n v="1154"/>
    <n v="132"/>
    <n v="194595"/>
    <n v="7.54"/>
    <n v="26624"/>
    <n v="1022"/>
    <n v="5.2519335029163131E-3"/>
  </r>
  <r>
    <x v="12"/>
    <x v="1"/>
    <n v="537"/>
    <n v="275"/>
    <n v="236238"/>
    <n v="5.87"/>
    <n v="26644"/>
    <n v="262"/>
    <n v="1.1090510417460359E-3"/>
  </r>
  <r>
    <x v="12"/>
    <x v="2"/>
    <n v="1456"/>
    <n v="290"/>
    <n v="271044"/>
    <n v="7.17"/>
    <n v="13051"/>
    <n v="1166"/>
    <n v="4.3018845648676966E-3"/>
  </r>
  <r>
    <x v="13"/>
    <x v="0"/>
    <n v="721"/>
    <n v="206"/>
    <n v="334887"/>
    <n v="6.05"/>
    <n v="14217"/>
    <n v="515"/>
    <n v="1.5378321642822803E-3"/>
  </r>
  <r>
    <x v="13"/>
    <x v="1"/>
    <n v="1098"/>
    <n v="142"/>
    <n v="359150"/>
    <n v="7.51"/>
    <n v="16385"/>
    <n v="956"/>
    <n v="2.6618404566337186E-3"/>
  </r>
  <r>
    <x v="13"/>
    <x v="2"/>
    <n v="1096"/>
    <n v="65"/>
    <n v="358295"/>
    <n v="7.66"/>
    <n v="24548"/>
    <n v="1031"/>
    <n v="2.8775171297394605E-3"/>
  </r>
  <r>
    <x v="14"/>
    <x v="0"/>
    <n v="912"/>
    <n v="275"/>
    <n v="368454"/>
    <n v="6.03"/>
    <n v="9195"/>
    <n v="637"/>
    <n v="1.7288453918263881E-3"/>
  </r>
  <r>
    <x v="14"/>
    <x v="1"/>
    <n v="1430"/>
    <n v="162"/>
    <n v="269082"/>
    <n v="3.4"/>
    <n v="18071"/>
    <n v="1268"/>
    <n v="4.7123181781018424E-3"/>
  </r>
  <r>
    <x v="14"/>
    <x v="2"/>
    <n v="854"/>
    <n v="129"/>
    <n v="310903"/>
    <n v="7.83"/>
    <n v="16875"/>
    <n v="725"/>
    <n v="2.3319170287838973E-3"/>
  </r>
  <r>
    <x v="15"/>
    <x v="0"/>
    <n v="681"/>
    <n v="210"/>
    <n v="248581"/>
    <n v="8.76"/>
    <n v="9567"/>
    <n v="471"/>
    <n v="1.8947546272643525E-3"/>
  </r>
  <r>
    <x v="15"/>
    <x v="1"/>
    <n v="1373"/>
    <n v="82"/>
    <n v="371015"/>
    <n v="9.52"/>
    <n v="20306"/>
    <n v="1291"/>
    <n v="3.4796436801746559E-3"/>
  </r>
  <r>
    <x v="15"/>
    <x v="2"/>
    <n v="685"/>
    <n v="285"/>
    <n v="177452"/>
    <n v="3.36"/>
    <n v="21134"/>
    <n v="400"/>
    <n v="2.2541306944976669E-3"/>
  </r>
  <r>
    <x v="16"/>
    <x v="0"/>
    <n v="1290"/>
    <n v="177"/>
    <n v="80745"/>
    <n v="9.2200000000000006"/>
    <n v="26872"/>
    <n v="1113"/>
    <n v="1.3784135240572171E-2"/>
  </r>
  <r>
    <x v="16"/>
    <x v="1"/>
    <n v="1437"/>
    <n v="239"/>
    <n v="362441"/>
    <n v="5.57"/>
    <n v="10253"/>
    <n v="1198"/>
    <n v="3.305365562946797E-3"/>
  </r>
  <r>
    <x v="16"/>
    <x v="2"/>
    <n v="769"/>
    <n v="295"/>
    <n v="344771"/>
    <n v="8.06"/>
    <n v="23963"/>
    <n v="474"/>
    <n v="1.3748256088824177E-3"/>
  </r>
  <r>
    <x v="17"/>
    <x v="0"/>
    <n v="1416"/>
    <n v="284"/>
    <n v="374952"/>
    <n v="3.45"/>
    <n v="11335"/>
    <n v="1132"/>
    <n v="3.0190531054641659E-3"/>
  </r>
  <r>
    <x v="17"/>
    <x v="1"/>
    <n v="998"/>
    <n v="154"/>
    <n v="179781"/>
    <n v="9.58"/>
    <n v="12115"/>
    <n v="844"/>
    <n v="4.6946006530167259E-3"/>
  </r>
  <r>
    <x v="17"/>
    <x v="2"/>
    <n v="1421"/>
    <n v="246"/>
    <n v="358581"/>
    <n v="8.8800000000000008"/>
    <n v="24358"/>
    <n v="1175"/>
    <n v="3.2768049617799048E-3"/>
  </r>
  <r>
    <x v="18"/>
    <x v="0"/>
    <n v="764"/>
    <n v="205"/>
    <n v="319294"/>
    <n v="6.23"/>
    <n v="12181"/>
    <n v="559"/>
    <n v="1.7507375647522346E-3"/>
  </r>
  <r>
    <x v="18"/>
    <x v="1"/>
    <n v="678"/>
    <n v="124"/>
    <n v="192022"/>
    <n v="8.4499999999999993"/>
    <n v="17729"/>
    <n v="554"/>
    <n v="2.8850860838862216E-3"/>
  </r>
  <r>
    <x v="18"/>
    <x v="2"/>
    <n v="1328"/>
    <n v="103"/>
    <n v="151462"/>
    <n v="8.4"/>
    <n v="10881"/>
    <n v="1225"/>
    <n v="8.0878372132944243E-3"/>
  </r>
  <r>
    <x v="19"/>
    <x v="0"/>
    <n v="1161"/>
    <n v="269"/>
    <n v="188193"/>
    <n v="7.34"/>
    <n v="18576"/>
    <n v="892"/>
    <n v="4.7398149771776844E-3"/>
  </r>
  <r>
    <x v="19"/>
    <x v="1"/>
    <n v="588"/>
    <n v="52"/>
    <n v="292040"/>
    <n v="8.14"/>
    <n v="9383"/>
    <n v="536"/>
    <n v="1.8353650184906177E-3"/>
  </r>
  <r>
    <x v="19"/>
    <x v="2"/>
    <n v="1457"/>
    <n v="215"/>
    <n v="325325"/>
    <n v="9.58"/>
    <n v="14178"/>
    <n v="1242"/>
    <n v="3.8177207407976638E-3"/>
  </r>
  <r>
    <x v="20"/>
    <x v="0"/>
    <n v="1190"/>
    <n v="242"/>
    <n v="86849"/>
    <n v="8.06"/>
    <n v="21254"/>
    <n v="948"/>
    <n v="1.0915497012055407E-2"/>
  </r>
  <r>
    <x v="20"/>
    <x v="1"/>
    <n v="886"/>
    <n v="124"/>
    <n v="141161"/>
    <n v="8.19"/>
    <n v="14215"/>
    <n v="762"/>
    <n v="5.3980915408646862E-3"/>
  </r>
  <r>
    <x v="20"/>
    <x v="2"/>
    <n v="1237"/>
    <n v="155"/>
    <n v="149916"/>
    <n v="4.4800000000000004"/>
    <n v="16921"/>
    <n v="1082"/>
    <n v="7.2173750633688196E-3"/>
  </r>
  <r>
    <x v="21"/>
    <x v="0"/>
    <n v="1435"/>
    <n v="261"/>
    <n v="308533"/>
    <n v="4.5199999999999996"/>
    <n v="25130"/>
    <n v="1174"/>
    <n v="3.8051035059458792E-3"/>
  </r>
  <r>
    <x v="21"/>
    <x v="1"/>
    <n v="746"/>
    <n v="282"/>
    <n v="293894"/>
    <n v="5.42"/>
    <n v="25537"/>
    <n v="464"/>
    <n v="1.5788005199153436E-3"/>
  </r>
  <r>
    <x v="21"/>
    <x v="2"/>
    <n v="759"/>
    <n v="216"/>
    <n v="147656"/>
    <n v="4.08"/>
    <n v="24943"/>
    <n v="543"/>
    <n v="3.6774665438586984E-3"/>
  </r>
  <r>
    <x v="22"/>
    <x v="0"/>
    <n v="1437"/>
    <n v="235"/>
    <n v="326791"/>
    <n v="4.0599999999999996"/>
    <n v="14563"/>
    <n v="1202"/>
    <n v="3.6781918718691762E-3"/>
  </r>
  <r>
    <x v="22"/>
    <x v="1"/>
    <n v="1463"/>
    <n v="73"/>
    <n v="348877"/>
    <n v="9.91"/>
    <n v="26273"/>
    <n v="1390"/>
    <n v="3.9842122008616216E-3"/>
  </r>
  <r>
    <x v="22"/>
    <x v="2"/>
    <n v="1208"/>
    <n v="224"/>
    <n v="122730"/>
    <n v="8.7200000000000006"/>
    <n v="10858"/>
    <n v="984"/>
    <n v="8.0175996088975802E-3"/>
  </r>
  <r>
    <x v="23"/>
    <x v="0"/>
    <n v="1391"/>
    <n v="187"/>
    <n v="306508"/>
    <n v="8.3800000000000008"/>
    <n v="25038"/>
    <n v="1204"/>
    <n v="3.9281193313061976E-3"/>
  </r>
  <r>
    <x v="23"/>
    <x v="1"/>
    <n v="655"/>
    <n v="123"/>
    <n v="202472"/>
    <n v="7.56"/>
    <n v="9092"/>
    <n v="532"/>
    <n v="2.6275238057607967E-3"/>
  </r>
  <r>
    <x v="23"/>
    <x v="2"/>
    <n v="1148"/>
    <n v="90"/>
    <n v="227249"/>
    <n v="7.24"/>
    <n v="17662"/>
    <n v="1058"/>
    <n v="4.6556860536239985E-3"/>
  </r>
  <r>
    <x v="24"/>
    <x v="0"/>
    <n v="946"/>
    <n v="270"/>
    <n v="246567"/>
    <n v="4.53"/>
    <n v="5924"/>
    <n v="676"/>
    <n v="2.741648314656868E-3"/>
  </r>
  <r>
    <x v="24"/>
    <x v="1"/>
    <n v="791"/>
    <n v="214"/>
    <n v="114738"/>
    <n v="6.62"/>
    <n v="25347"/>
    <n v="577"/>
    <n v="5.0288483327232481E-3"/>
  </r>
  <r>
    <x v="24"/>
    <x v="2"/>
    <n v="793"/>
    <n v="111"/>
    <n v="333500"/>
    <n v="6.36"/>
    <n v="8910"/>
    <n v="682"/>
    <n v="2.0449775112443779E-3"/>
  </r>
  <r>
    <x v="25"/>
    <x v="0"/>
    <n v="663"/>
    <n v="213"/>
    <n v="352677"/>
    <n v="9"/>
    <n v="20438"/>
    <n v="450"/>
    <n v="1.2759550523566889E-3"/>
  </r>
  <r>
    <x v="25"/>
    <x v="1"/>
    <n v="954"/>
    <n v="271"/>
    <n v="160936"/>
    <n v="8.83"/>
    <n v="8760"/>
    <n v="683"/>
    <n v="4.2439230501565839E-3"/>
  </r>
  <r>
    <x v="25"/>
    <x v="2"/>
    <n v="1313"/>
    <n v="159"/>
    <n v="197183"/>
    <n v="9.7100000000000009"/>
    <n v="6625"/>
    <n v="1154"/>
    <n v="5.8524314976443207E-3"/>
  </r>
  <r>
    <x v="26"/>
    <x v="0"/>
    <n v="895"/>
    <n v="87"/>
    <n v="171271"/>
    <n v="6.68"/>
    <n v="23329"/>
    <n v="808"/>
    <n v="4.7176696580273365E-3"/>
  </r>
  <r>
    <x v="26"/>
    <x v="1"/>
    <n v="1027"/>
    <n v="156"/>
    <n v="111293"/>
    <n v="5.51"/>
    <n v="7299"/>
    <n v="871"/>
    <n v="7.8261885293774095E-3"/>
  </r>
  <r>
    <x v="26"/>
    <x v="2"/>
    <n v="990"/>
    <n v="286"/>
    <n v="351493"/>
    <n v="7.97"/>
    <n v="14496"/>
    <n v="704"/>
    <n v="2.0028848369668811E-3"/>
  </r>
  <r>
    <x v="27"/>
    <x v="0"/>
    <n v="875"/>
    <n v="264"/>
    <n v="345631"/>
    <n v="9.18"/>
    <n v="25703"/>
    <n v="611"/>
    <n v="1.7677812464738406E-3"/>
  </r>
  <r>
    <x v="27"/>
    <x v="1"/>
    <n v="599"/>
    <n v="194"/>
    <n v="105622"/>
    <n v="6.44"/>
    <n v="15108"/>
    <n v="405"/>
    <n v="3.8344284334702996E-3"/>
  </r>
  <r>
    <x v="27"/>
    <x v="2"/>
    <n v="630"/>
    <n v="248"/>
    <n v="119054"/>
    <n v="5.0199999999999996"/>
    <n v="18867"/>
    <n v="382"/>
    <n v="3.2086280175382597E-3"/>
  </r>
  <r>
    <x v="28"/>
    <x v="0"/>
    <n v="1350"/>
    <n v="233"/>
    <n v="171670"/>
    <n v="4.53"/>
    <n v="17574"/>
    <n v="1117"/>
    <n v="6.506669773402458E-3"/>
  </r>
  <r>
    <x v="28"/>
    <x v="1"/>
    <n v="632"/>
    <n v="155"/>
    <n v="170432"/>
    <n v="9.17"/>
    <n v="12840"/>
    <n v="477"/>
    <n v="2.7987701840030041E-3"/>
  </r>
  <r>
    <x v="28"/>
    <x v="2"/>
    <n v="1182"/>
    <n v="83"/>
    <n v="140300"/>
    <n v="3.27"/>
    <n v="21079"/>
    <n v="1099"/>
    <n v="7.8332145402708487E-3"/>
  </r>
  <r>
    <x v="29"/>
    <x v="0"/>
    <n v="661"/>
    <n v="94"/>
    <n v="116538"/>
    <n v="5.31"/>
    <n v="23486"/>
    <n v="567"/>
    <n v="4.8653658034289241E-3"/>
  </r>
  <r>
    <x v="29"/>
    <x v="1"/>
    <n v="1360"/>
    <n v="227"/>
    <n v="176902"/>
    <n v="6.03"/>
    <n v="5960"/>
    <n v="1133"/>
    <n v="6.4046760353189906E-3"/>
  </r>
  <r>
    <x v="29"/>
    <x v="2"/>
    <n v="935"/>
    <n v="85"/>
    <n v="326821"/>
    <n v="8.89"/>
    <n v="13301"/>
    <n v="850"/>
    <n v="2.60081206532016E-3"/>
  </r>
  <r>
    <x v="30"/>
    <x v="0"/>
    <n v="664"/>
    <n v="251"/>
    <n v="240598"/>
    <n v="4.79"/>
    <n v="10563"/>
    <n v="413"/>
    <n v="1.7165562473503519E-3"/>
  </r>
  <r>
    <x v="30"/>
    <x v="1"/>
    <n v="1490"/>
    <n v="103"/>
    <n v="373274"/>
    <n v="4.8"/>
    <n v="19949"/>
    <n v="1387"/>
    <n v="3.7157691133055076E-3"/>
  </r>
  <r>
    <x v="30"/>
    <x v="2"/>
    <n v="601"/>
    <n v="64"/>
    <n v="123272"/>
    <n v="4.07"/>
    <n v="14273"/>
    <n v="537"/>
    <n v="4.3562203906807708E-3"/>
  </r>
  <r>
    <x v="31"/>
    <x v="0"/>
    <n v="613"/>
    <n v="170"/>
    <n v="139266"/>
    <n v="6.06"/>
    <n v="9247"/>
    <n v="443"/>
    <n v="3.1809630491290049E-3"/>
  </r>
  <r>
    <x v="31"/>
    <x v="1"/>
    <n v="1340"/>
    <n v="57"/>
    <n v="155927"/>
    <n v="7.79"/>
    <n v="11972"/>
    <n v="1283"/>
    <n v="8.2282093543773697E-3"/>
  </r>
  <r>
    <x v="31"/>
    <x v="2"/>
    <n v="953"/>
    <n v="228"/>
    <n v="258398"/>
    <n v="9.0500000000000007"/>
    <n v="13314"/>
    <n v="725"/>
    <n v="2.8057492705051896E-3"/>
  </r>
  <r>
    <x v="32"/>
    <x v="0"/>
    <n v="532"/>
    <n v="65"/>
    <n v="338561"/>
    <n v="3.5"/>
    <n v="14749"/>
    <n v="467"/>
    <n v="1.3793673813581599E-3"/>
  </r>
  <r>
    <x v="32"/>
    <x v="1"/>
    <n v="1414"/>
    <n v="60"/>
    <n v="341856"/>
    <n v="8.76"/>
    <n v="6868"/>
    <n v="1354"/>
    <n v="3.960732004118693E-3"/>
  </r>
  <r>
    <x v="32"/>
    <x v="2"/>
    <n v="685"/>
    <n v="165"/>
    <n v="175860"/>
    <n v="6.26"/>
    <n v="6027"/>
    <n v="520"/>
    <n v="2.9568975321278288E-3"/>
  </r>
  <r>
    <x v="33"/>
    <x v="0"/>
    <n v="601"/>
    <n v="159"/>
    <n v="327722"/>
    <n v="3.33"/>
    <n v="25267"/>
    <n v="442"/>
    <n v="1.3487040845594743E-3"/>
  </r>
  <r>
    <x v="33"/>
    <x v="1"/>
    <n v="841"/>
    <n v="295"/>
    <n v="271638"/>
    <n v="9.15"/>
    <n v="5900"/>
    <n v="546"/>
    <n v="2.0100280520398473E-3"/>
  </r>
  <r>
    <x v="33"/>
    <x v="2"/>
    <n v="1105"/>
    <n v="261"/>
    <n v="333851"/>
    <n v="6.03"/>
    <n v="11181"/>
    <n v="844"/>
    <n v="2.5280739012313877E-3"/>
  </r>
  <r>
    <x v="34"/>
    <x v="0"/>
    <n v="566"/>
    <n v="225"/>
    <n v="368984"/>
    <n v="9.82"/>
    <n v="9592"/>
    <n v="341"/>
    <n v="9.2415931314094918E-4"/>
  </r>
  <r>
    <x v="34"/>
    <x v="1"/>
    <n v="1149"/>
    <n v="280"/>
    <n v="167310"/>
    <n v="3.7"/>
    <n v="5291"/>
    <n v="869"/>
    <n v="5.1939513477975013E-3"/>
  </r>
  <r>
    <x v="34"/>
    <x v="2"/>
    <n v="819"/>
    <n v="101"/>
    <n v="194811"/>
    <n v="3.35"/>
    <n v="22244"/>
    <n v="718"/>
    <n v="3.685623501752981E-3"/>
  </r>
  <r>
    <x v="35"/>
    <x v="0"/>
    <n v="795"/>
    <n v="60"/>
    <n v="314982"/>
    <n v="7.31"/>
    <n v="6824"/>
    <n v="735"/>
    <n v="2.3334666742861497E-3"/>
  </r>
  <r>
    <x v="35"/>
    <x v="1"/>
    <n v="681"/>
    <n v="158"/>
    <n v="75960"/>
    <n v="3.13"/>
    <n v="24112"/>
    <n v="523"/>
    <n v="6.8852027382833069E-3"/>
  </r>
  <r>
    <x v="35"/>
    <x v="2"/>
    <n v="534"/>
    <n v="112"/>
    <n v="360759"/>
    <n v="4.8899999999999997"/>
    <n v="25478"/>
    <n v="422"/>
    <n v="1.1697559866836308E-3"/>
  </r>
  <r>
    <x v="36"/>
    <x v="0"/>
    <n v="1066"/>
    <n v="151"/>
    <n v="297090"/>
    <n v="8.6300000000000008"/>
    <n v="11235"/>
    <n v="915"/>
    <n v="3.0798747854185599E-3"/>
  </r>
  <r>
    <x v="36"/>
    <x v="1"/>
    <n v="1270"/>
    <n v="162"/>
    <n v="92040"/>
    <n v="8.0299999999999994"/>
    <n v="6120"/>
    <n v="1108"/>
    <n v="1.2038244241634072E-2"/>
  </r>
  <r>
    <x v="36"/>
    <x v="2"/>
    <n v="536"/>
    <n v="198"/>
    <n v="174610"/>
    <n v="7.85"/>
    <n v="20572"/>
    <n v="338"/>
    <n v="1.9357425118836263E-3"/>
  </r>
  <r>
    <x v="37"/>
    <x v="0"/>
    <n v="819"/>
    <n v="95"/>
    <n v="177376"/>
    <n v="6.12"/>
    <n v="14975"/>
    <n v="724"/>
    <n v="4.0817246978170664E-3"/>
  </r>
  <r>
    <x v="37"/>
    <x v="1"/>
    <n v="681"/>
    <n v="218"/>
    <n v="198882"/>
    <n v="7.16"/>
    <n v="22234"/>
    <n v="463"/>
    <n v="2.3280135960016494E-3"/>
  </r>
  <r>
    <x v="37"/>
    <x v="2"/>
    <n v="646"/>
    <n v="290"/>
    <n v="336383"/>
    <n v="7.04"/>
    <n v="6532"/>
    <n v="356"/>
    <n v="1.0583174536168594E-3"/>
  </r>
  <r>
    <x v="38"/>
    <x v="0"/>
    <n v="645"/>
    <n v="267"/>
    <n v="346890"/>
    <n v="3.71"/>
    <n v="24858"/>
    <n v="378"/>
    <n v="1.0896826083196401E-3"/>
  </r>
  <r>
    <x v="38"/>
    <x v="1"/>
    <n v="886"/>
    <n v="250"/>
    <n v="168170"/>
    <n v="4.12"/>
    <n v="13883"/>
    <n v="636"/>
    <n v="3.7818873758696555E-3"/>
  </r>
  <r>
    <x v="38"/>
    <x v="2"/>
    <n v="978"/>
    <n v="279"/>
    <n v="368872"/>
    <n v="6.82"/>
    <n v="18654"/>
    <n v="699"/>
    <n v="1.8949662755644234E-3"/>
  </r>
  <r>
    <x v="39"/>
    <x v="0"/>
    <n v="1444"/>
    <n v="165"/>
    <n v="116436"/>
    <n v="8.2200000000000006"/>
    <n v="25234"/>
    <n v="1279"/>
    <n v="1.0984575217286749E-2"/>
  </r>
  <r>
    <x v="39"/>
    <x v="1"/>
    <n v="1234"/>
    <n v="228"/>
    <n v="127502"/>
    <n v="7.71"/>
    <n v="6772"/>
    <n v="1006"/>
    <n v="7.8900723125911749E-3"/>
  </r>
  <r>
    <x v="39"/>
    <x v="2"/>
    <n v="665"/>
    <n v="187"/>
    <n v="274567"/>
    <n v="7.39"/>
    <n v="22428"/>
    <n v="478"/>
    <n v="1.7409229805475531E-3"/>
  </r>
  <r>
    <x v="40"/>
    <x v="0"/>
    <n v="631"/>
    <n v="86"/>
    <n v="295090"/>
    <n v="7.89"/>
    <n v="11911"/>
    <n v="545"/>
    <n v="1.8468941678809856E-3"/>
  </r>
  <r>
    <x v="40"/>
    <x v="1"/>
    <n v="1159"/>
    <n v="154"/>
    <n v="194994"/>
    <n v="6.39"/>
    <n v="21900"/>
    <n v="1005"/>
    <n v="5.1540047386073422E-3"/>
  </r>
  <r>
    <x v="40"/>
    <x v="2"/>
    <n v="950"/>
    <n v="185"/>
    <n v="340750"/>
    <n v="6.77"/>
    <n v="25542"/>
    <n v="765"/>
    <n v="2.2450476889214967E-3"/>
  </r>
  <r>
    <x v="41"/>
    <x v="0"/>
    <n v="693"/>
    <n v="129"/>
    <n v="296031"/>
    <n v="3.41"/>
    <n v="7140"/>
    <n v="564"/>
    <n v="1.9052058737091724E-3"/>
  </r>
  <r>
    <x v="41"/>
    <x v="1"/>
    <n v="576"/>
    <n v="80"/>
    <n v="345688"/>
    <n v="4.1100000000000003"/>
    <n v="20474"/>
    <n v="496"/>
    <n v="1.4348198375413667E-3"/>
  </r>
  <r>
    <x v="41"/>
    <x v="2"/>
    <n v="1274"/>
    <n v="146"/>
    <n v="263488"/>
    <n v="9.58"/>
    <n v="8698"/>
    <n v="1128"/>
    <n v="4.2810298761233904E-3"/>
  </r>
  <r>
    <x v="42"/>
    <x v="0"/>
    <n v="818"/>
    <n v="253"/>
    <n v="184911"/>
    <n v="3.39"/>
    <n v="10402"/>
    <n v="565"/>
    <n v="3.0555240088474996E-3"/>
  </r>
  <r>
    <x v="42"/>
    <x v="1"/>
    <n v="975"/>
    <n v="162"/>
    <n v="124497"/>
    <n v="9.58"/>
    <n v="26618"/>
    <n v="813"/>
    <n v="6.5302778380201933E-3"/>
  </r>
  <r>
    <x v="42"/>
    <x v="2"/>
    <n v="1398"/>
    <n v="97"/>
    <n v="397607"/>
    <n v="5.09"/>
    <n v="7975"/>
    <n v="1301"/>
    <n v="3.2720751898231166E-3"/>
  </r>
  <r>
    <x v="43"/>
    <x v="0"/>
    <n v="591"/>
    <n v="155"/>
    <n v="138521"/>
    <n v="7.85"/>
    <n v="19054"/>
    <n v="436"/>
    <n v="3.1475371965261584E-3"/>
  </r>
  <r>
    <x v="43"/>
    <x v="1"/>
    <n v="1232"/>
    <n v="254"/>
    <n v="107718"/>
    <n v="9.7100000000000009"/>
    <n v="13740"/>
    <n v="978"/>
    <n v="9.0792625187990864E-3"/>
  </r>
  <r>
    <x v="43"/>
    <x v="2"/>
    <n v="1425"/>
    <n v="58"/>
    <n v="202234"/>
    <n v="6.67"/>
    <n v="18442"/>
    <n v="1367"/>
    <n v="6.7594964249334932E-3"/>
  </r>
  <r>
    <x v="44"/>
    <x v="0"/>
    <n v="1417"/>
    <n v="80"/>
    <n v="340987"/>
    <n v="6.13"/>
    <n v="10104"/>
    <n v="1337"/>
    <n v="3.9209705941868752E-3"/>
  </r>
  <r>
    <x v="44"/>
    <x v="1"/>
    <n v="1222"/>
    <n v="208"/>
    <n v="340098"/>
    <n v="7.34"/>
    <n v="21771"/>
    <n v="1014"/>
    <n v="2.9814935695005556E-3"/>
  </r>
  <r>
    <x v="44"/>
    <x v="2"/>
    <n v="1071"/>
    <n v="131"/>
    <n v="254727"/>
    <n v="6.87"/>
    <n v="22191"/>
    <n v="940"/>
    <n v="3.6902252215116576E-3"/>
  </r>
  <r>
    <x v="45"/>
    <x v="0"/>
    <n v="772"/>
    <n v="82"/>
    <n v="345659"/>
    <n v="3.52"/>
    <n v="27753"/>
    <n v="690"/>
    <n v="1.9961869935398759E-3"/>
  </r>
  <r>
    <x v="45"/>
    <x v="1"/>
    <n v="1472"/>
    <n v="137"/>
    <n v="213950"/>
    <n v="6.96"/>
    <n v="23736"/>
    <n v="1335"/>
    <n v="6.2397756485160086E-3"/>
  </r>
  <r>
    <x v="45"/>
    <x v="2"/>
    <n v="1472"/>
    <n v="281"/>
    <n v="258115"/>
    <n v="7.23"/>
    <n v="27393"/>
    <n v="1191"/>
    <n v="4.6142223427541986E-3"/>
  </r>
  <r>
    <x v="46"/>
    <x v="0"/>
    <n v="585"/>
    <n v="232"/>
    <n v="321258"/>
    <n v="7.42"/>
    <n v="10343"/>
    <n v="353"/>
    <n v="1.0988053215795403E-3"/>
  </r>
  <r>
    <x v="46"/>
    <x v="1"/>
    <n v="747"/>
    <n v="261"/>
    <n v="338650"/>
    <n v="7.73"/>
    <n v="25259"/>
    <n v="486"/>
    <n v="1.4351099955706482E-3"/>
  </r>
  <r>
    <x v="46"/>
    <x v="2"/>
    <n v="1113"/>
    <n v="224"/>
    <n v="272989"/>
    <n v="5.13"/>
    <n v="24827"/>
    <n v="889"/>
    <n v="3.2565414723670183E-3"/>
  </r>
  <r>
    <x v="47"/>
    <x v="0"/>
    <n v="1100"/>
    <n v="117"/>
    <n v="260204"/>
    <n v="4.4000000000000004"/>
    <n v="11908"/>
    <n v="983"/>
    <n v="3.7778051067623862E-3"/>
  </r>
  <r>
    <x v="47"/>
    <x v="1"/>
    <n v="751"/>
    <n v="170"/>
    <n v="283278"/>
    <n v="3.49"/>
    <n v="11005"/>
    <n v="581"/>
    <n v="2.0509887813384732E-3"/>
  </r>
  <r>
    <x v="47"/>
    <x v="2"/>
    <n v="864"/>
    <n v="50"/>
    <n v="277445"/>
    <n v="3.57"/>
    <n v="26333"/>
    <n v="814"/>
    <n v="2.9339148299662998E-3"/>
  </r>
  <r>
    <x v="48"/>
    <x v="0"/>
    <n v="1146"/>
    <n v="227"/>
    <n v="353781"/>
    <n v="6.41"/>
    <n v="5495"/>
    <n v="919"/>
    <n v="2.5976522198761379E-3"/>
  </r>
  <r>
    <x v="48"/>
    <x v="1"/>
    <n v="883"/>
    <n v="207"/>
    <n v="265019"/>
    <n v="6.04"/>
    <n v="15655"/>
    <n v="676"/>
    <n v="2.5507605115104954E-3"/>
  </r>
  <r>
    <x v="48"/>
    <x v="2"/>
    <n v="622"/>
    <n v="163"/>
    <n v="231925"/>
    <n v="9.18"/>
    <n v="13763"/>
    <n v="459"/>
    <n v="1.9790880672631238E-3"/>
  </r>
  <r>
    <x v="49"/>
    <x v="0"/>
    <n v="837"/>
    <n v="261"/>
    <n v="366149"/>
    <n v="6.54"/>
    <n v="26073"/>
    <n v="576"/>
    <n v="1.5731300645365684E-3"/>
  </r>
  <r>
    <x v="49"/>
    <x v="1"/>
    <n v="544"/>
    <n v="97"/>
    <n v="168375"/>
    <n v="8.66"/>
    <n v="12774"/>
    <n v="447"/>
    <n v="2.6547884187082403E-3"/>
  </r>
  <r>
    <x v="49"/>
    <x v="2"/>
    <n v="624"/>
    <n v="247"/>
    <n v="252763"/>
    <n v="3.89"/>
    <n v="19000"/>
    <n v="377"/>
    <n v="1.4915157677349929E-3"/>
  </r>
  <r>
    <x v="50"/>
    <x v="0"/>
    <n v="1073"/>
    <n v="141"/>
    <n v="118393"/>
    <n v="7.95"/>
    <n v="14051"/>
    <n v="932"/>
    <n v="7.872087032172511E-3"/>
  </r>
  <r>
    <x v="50"/>
    <x v="1"/>
    <n v="1430"/>
    <n v="74"/>
    <n v="327012"/>
    <n v="6.66"/>
    <n v="27782"/>
    <n v="1356"/>
    <n v="4.1466368206671319E-3"/>
  </r>
  <r>
    <x v="50"/>
    <x v="2"/>
    <n v="1358"/>
    <n v="77"/>
    <n v="169688"/>
    <n v="5.25"/>
    <n v="7859"/>
    <n v="1281"/>
    <n v="7.5491490264485411E-3"/>
  </r>
  <r>
    <x v="51"/>
    <x v="0"/>
    <n v="1242"/>
    <n v="201"/>
    <n v="271935"/>
    <n v="5.07"/>
    <n v="15773"/>
    <n v="1041"/>
    <n v="3.8281206906062111E-3"/>
  </r>
  <r>
    <x v="51"/>
    <x v="1"/>
    <n v="1389"/>
    <n v="205"/>
    <n v="315981"/>
    <n v="7.62"/>
    <n v="20595"/>
    <n v="1184"/>
    <n v="3.7470607409939207E-3"/>
  </r>
  <r>
    <x v="51"/>
    <x v="2"/>
    <n v="826"/>
    <n v="142"/>
    <n v="341016"/>
    <n v="7.44"/>
    <n v="12031"/>
    <n v="684"/>
    <n v="2.005770990217468E-3"/>
  </r>
  <r>
    <x v="52"/>
    <x v="0"/>
    <n v="618"/>
    <n v="264"/>
    <n v="285164"/>
    <n v="4.8600000000000003"/>
    <n v="15128"/>
    <n v="354"/>
    <n v="1.2413909189098204E-3"/>
  </r>
  <r>
    <x v="52"/>
    <x v="1"/>
    <n v="1419"/>
    <n v="293"/>
    <n v="116632"/>
    <n v="6.93"/>
    <n v="11826"/>
    <n v="1126"/>
    <n v="9.6542972769051369E-3"/>
  </r>
  <r>
    <x v="52"/>
    <x v="2"/>
    <n v="637"/>
    <n v="68"/>
    <n v="115694"/>
    <n v="9.99"/>
    <n v="12562"/>
    <n v="569"/>
    <n v="4.9181461441388493E-3"/>
  </r>
  <r>
    <x v="53"/>
    <x v="0"/>
    <n v="917"/>
    <n v="187"/>
    <n v="64444"/>
    <n v="5.22"/>
    <n v="13013"/>
    <n v="730"/>
    <n v="1.1327664328719508E-2"/>
  </r>
  <r>
    <x v="53"/>
    <x v="1"/>
    <n v="810"/>
    <n v="232"/>
    <n v="362559"/>
    <n v="5.17"/>
    <n v="12937"/>
    <n v="578"/>
    <n v="1.5942232850377457E-3"/>
  </r>
  <r>
    <x v="53"/>
    <x v="2"/>
    <n v="1183"/>
    <n v="248"/>
    <n v="226881"/>
    <n v="5.17"/>
    <n v="14534"/>
    <n v="935"/>
    <n v="4.1211031333606603E-3"/>
  </r>
  <r>
    <x v="54"/>
    <x v="0"/>
    <n v="765"/>
    <n v="67"/>
    <n v="283537"/>
    <n v="6.18"/>
    <n v="8182"/>
    <n v="698"/>
    <n v="2.4617598408673293E-3"/>
  </r>
  <r>
    <x v="54"/>
    <x v="1"/>
    <n v="540"/>
    <n v="215"/>
    <n v="62837"/>
    <n v="5.3"/>
    <n v="10615"/>
    <n v="325"/>
    <n v="5.1721119722456512E-3"/>
  </r>
  <r>
    <x v="54"/>
    <x v="2"/>
    <n v="1145"/>
    <n v="151"/>
    <n v="182759"/>
    <n v="5.99"/>
    <n v="20109"/>
    <n v="994"/>
    <n v="5.4388566363352828E-3"/>
  </r>
  <r>
    <x v="55"/>
    <x v="0"/>
    <n v="564"/>
    <n v="244"/>
    <n v="279405"/>
    <n v="8.43"/>
    <n v="26024"/>
    <n v="320"/>
    <n v="1.1452908859898713E-3"/>
  </r>
  <r>
    <x v="55"/>
    <x v="1"/>
    <n v="668"/>
    <n v="124"/>
    <n v="257485"/>
    <n v="7.55"/>
    <n v="26730"/>
    <n v="544"/>
    <n v="2.1127444317144686E-3"/>
  </r>
  <r>
    <x v="55"/>
    <x v="2"/>
    <n v="761"/>
    <n v="241"/>
    <n v="154977"/>
    <n v="5.63"/>
    <n v="10563"/>
    <n v="520"/>
    <n v="3.3553365983339462E-3"/>
  </r>
  <r>
    <x v="56"/>
    <x v="0"/>
    <n v="593"/>
    <n v="108"/>
    <n v="216500"/>
    <n v="4.71"/>
    <n v="27575"/>
    <n v="485"/>
    <n v="2.2401847575057735E-3"/>
  </r>
  <r>
    <x v="56"/>
    <x v="1"/>
    <n v="1349"/>
    <n v="115"/>
    <n v="102102"/>
    <n v="5.28"/>
    <n v="14479"/>
    <n v="1234"/>
    <n v="1.208595326242385E-2"/>
  </r>
  <r>
    <x v="56"/>
    <x v="2"/>
    <n v="693"/>
    <n v="97"/>
    <n v="92025"/>
    <n v="5.95"/>
    <n v="15915"/>
    <n v="596"/>
    <n v="6.4765009508285796E-3"/>
  </r>
  <r>
    <x v="57"/>
    <x v="0"/>
    <n v="974"/>
    <n v="143"/>
    <n v="247965"/>
    <n v="9.98"/>
    <n v="12767"/>
    <n v="831"/>
    <n v="3.3512794144334888E-3"/>
  </r>
  <r>
    <x v="57"/>
    <x v="1"/>
    <n v="1155"/>
    <n v="122"/>
    <n v="387352"/>
    <n v="9.93"/>
    <n v="12170"/>
    <n v="1033"/>
    <n v="2.6668250067122413E-3"/>
  </r>
  <r>
    <x v="57"/>
    <x v="2"/>
    <n v="1051"/>
    <n v="246"/>
    <n v="253985"/>
    <n v="9.08"/>
    <n v="7245"/>
    <n v="805"/>
    <n v="3.1694785125105812E-3"/>
  </r>
  <r>
    <x v="58"/>
    <x v="0"/>
    <n v="1457"/>
    <n v="183"/>
    <n v="129640"/>
    <n v="7.98"/>
    <n v="12985"/>
    <n v="1274"/>
    <n v="9.827213822894169E-3"/>
  </r>
  <r>
    <x v="58"/>
    <x v="1"/>
    <n v="670"/>
    <n v="242"/>
    <n v="281913"/>
    <n v="9.6199999999999992"/>
    <n v="16377"/>
    <n v="428"/>
    <n v="1.5181988769584942E-3"/>
  </r>
  <r>
    <x v="58"/>
    <x v="2"/>
    <n v="1111"/>
    <n v="159"/>
    <n v="360770"/>
    <n v="8.7100000000000009"/>
    <n v="11453"/>
    <n v="952"/>
    <n v="2.6388003437092886E-3"/>
  </r>
  <r>
    <x v="59"/>
    <x v="0"/>
    <n v="1197"/>
    <n v="246"/>
    <n v="127273"/>
    <n v="6.69"/>
    <n v="12323"/>
    <n v="951"/>
    <n v="7.4721268454424738E-3"/>
  </r>
  <r>
    <x v="59"/>
    <x v="1"/>
    <n v="754"/>
    <n v="150"/>
    <n v="189622"/>
    <n v="4.25"/>
    <n v="11911"/>
    <n v="604"/>
    <n v="3.1852844079273504E-3"/>
  </r>
  <r>
    <x v="59"/>
    <x v="2"/>
    <n v="1246"/>
    <n v="107"/>
    <n v="350949"/>
    <n v="4.9800000000000004"/>
    <n v="27809"/>
    <n v="1139"/>
    <n v="3.2454858113287115E-3"/>
  </r>
  <r>
    <x v="60"/>
    <x v="0"/>
    <n v="780"/>
    <n v="213"/>
    <n v="121431"/>
    <n v="4.97"/>
    <n v="21464"/>
    <n v="567"/>
    <n v="4.669318378338316E-3"/>
  </r>
  <r>
    <x v="60"/>
    <x v="1"/>
    <n v="1425"/>
    <n v="143"/>
    <n v="116742"/>
    <n v="3.71"/>
    <n v="27126"/>
    <n v="1282"/>
    <n v="1.0981480529715098E-2"/>
  </r>
  <r>
    <x v="60"/>
    <x v="2"/>
    <n v="1490"/>
    <n v="103"/>
    <n v="81184"/>
    <n v="7.79"/>
    <n v="10681"/>
    <n v="1387"/>
    <n v="1.7084647221127316E-2"/>
  </r>
  <r>
    <x v="61"/>
    <x v="0"/>
    <n v="949"/>
    <n v="282"/>
    <n v="87126"/>
    <n v="4.96"/>
    <n v="5413"/>
    <n v="667"/>
    <n v="7.6555792759910937E-3"/>
  </r>
  <r>
    <x v="61"/>
    <x v="1"/>
    <n v="640"/>
    <n v="141"/>
    <n v="267546"/>
    <n v="8.58"/>
    <n v="25058"/>
    <n v="499"/>
    <n v="1.8650998332996943E-3"/>
  </r>
  <r>
    <x v="61"/>
    <x v="2"/>
    <n v="616"/>
    <n v="93"/>
    <n v="133082"/>
    <n v="8.51"/>
    <n v="18303"/>
    <n v="523"/>
    <n v="3.9299078763469142E-3"/>
  </r>
  <r>
    <x v="62"/>
    <x v="0"/>
    <n v="1080"/>
    <n v="184"/>
    <n v="340557"/>
    <n v="5.41"/>
    <n v="5526"/>
    <n v="896"/>
    <n v="2.6309839468870114E-3"/>
  </r>
  <r>
    <x v="62"/>
    <x v="1"/>
    <n v="938"/>
    <n v="236"/>
    <n v="116472"/>
    <n v="8.7200000000000006"/>
    <n v="17460"/>
    <n v="702"/>
    <n v="6.0271996703070265E-3"/>
  </r>
  <r>
    <x v="62"/>
    <x v="2"/>
    <n v="1007"/>
    <n v="258"/>
    <n v="113412"/>
    <n v="7.71"/>
    <n v="14475"/>
    <n v="749"/>
    <n v="6.6042394102916796E-3"/>
  </r>
  <r>
    <x v="63"/>
    <x v="0"/>
    <n v="541"/>
    <n v="208"/>
    <n v="157547"/>
    <n v="8.35"/>
    <n v="20162"/>
    <n v="333"/>
    <n v="2.1136549728017671E-3"/>
  </r>
  <r>
    <x v="63"/>
    <x v="1"/>
    <n v="745"/>
    <n v="98"/>
    <n v="354816"/>
    <n v="4.03"/>
    <n v="17103"/>
    <n v="647"/>
    <n v="1.823480339105339E-3"/>
  </r>
  <r>
    <x v="63"/>
    <x v="2"/>
    <n v="936"/>
    <n v="97"/>
    <n v="151799"/>
    <n v="9.3699999999999992"/>
    <n v="15461"/>
    <n v="839"/>
    <n v="5.5270456327116777E-3"/>
  </r>
  <r>
    <x v="64"/>
    <x v="0"/>
    <n v="1183"/>
    <n v="223"/>
    <n v="143811"/>
    <n v="6.07"/>
    <n v="22103"/>
    <n v="960"/>
    <n v="6.6754281661347186E-3"/>
  </r>
  <r>
    <x v="64"/>
    <x v="1"/>
    <n v="1413"/>
    <n v="245"/>
    <n v="296450"/>
    <n v="6.52"/>
    <n v="11625"/>
    <n v="1168"/>
    <n v="3.9399561477483558E-3"/>
  </r>
  <r>
    <x v="64"/>
    <x v="2"/>
    <n v="791"/>
    <n v="273"/>
    <n v="144049"/>
    <n v="3.08"/>
    <n v="5281"/>
    <n v="518"/>
    <n v="3.5959985838152297E-3"/>
  </r>
  <r>
    <x v="65"/>
    <x v="0"/>
    <n v="1052"/>
    <n v="180"/>
    <n v="272534"/>
    <n v="5.34"/>
    <n v="13424"/>
    <n v="872"/>
    <n v="3.1996007837554212E-3"/>
  </r>
  <r>
    <x v="65"/>
    <x v="1"/>
    <n v="572"/>
    <n v="270"/>
    <n v="82265"/>
    <n v="3.65"/>
    <n v="13140"/>
    <n v="302"/>
    <n v="3.6710630280192063E-3"/>
  </r>
  <r>
    <x v="65"/>
    <x v="2"/>
    <n v="503"/>
    <n v="253"/>
    <n v="313562"/>
    <n v="4.18"/>
    <n v="19538"/>
    <n v="250"/>
    <n v="7.9729048800556194E-4"/>
  </r>
  <r>
    <x v="66"/>
    <x v="0"/>
    <n v="1017"/>
    <n v="197"/>
    <n v="89918"/>
    <n v="3.91"/>
    <n v="7881"/>
    <n v="820"/>
    <n v="9.1194199159233963E-3"/>
  </r>
  <r>
    <x v="66"/>
    <x v="1"/>
    <n v="860"/>
    <n v="244"/>
    <n v="348686"/>
    <n v="5.12"/>
    <n v="11418"/>
    <n v="616"/>
    <n v="1.7666324429429343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s v="Text"/>
    <s v="Discover fresh beats on Spotify!"/>
    <n v="2414"/>
    <n v="245"/>
    <n v="137"/>
    <n v="21181"/>
    <n v="45292"/>
    <n v="133"/>
    <s v="#SoundtrackOfLife"/>
    <s v="#NowPlaying"/>
    <s v="ChillVibes"/>
    <n v="2796"/>
  </r>
  <r>
    <s v="SP002"/>
    <x v="0"/>
    <d v="2025-02-01T00:00:00"/>
    <s v="Text"/>
    <s v="Explore the latest podcasts now."/>
    <n v="1934"/>
    <n v="210"/>
    <n v="393"/>
    <n v="29129"/>
    <n v="73287"/>
    <n v="273"/>
    <s v="#DiscoverWeekly"/>
    <m/>
    <s v="IndieWave"/>
    <n v="2537"/>
  </r>
  <r>
    <s v="SP003"/>
    <x v="1"/>
    <d v="2024-12-03T00:00:00"/>
    <s v="Story"/>
    <s v="New music just dropped. Hit play!"/>
    <n v="3092"/>
    <n v="177"/>
    <n v="81"/>
    <n v="47533"/>
    <n v="29220"/>
    <n v="121"/>
    <s v="#MusicForEveryone"/>
    <s v="#NowPlaying"/>
    <s v="ChillVibes"/>
    <n v="3350"/>
  </r>
  <r>
    <s v="SP004"/>
    <x v="0"/>
    <d v="2024-12-03T00:00:00"/>
    <s v="Text"/>
    <s v="Wrapped is here! Relive your top tracks ðŸŽ§"/>
    <n v="3173"/>
    <n v="229"/>
    <n v="197"/>
    <n v="29604"/>
    <n v="21809"/>
    <n v="272"/>
    <s v="#SoundtrackOfLife"/>
    <s v="#NowPlaying"/>
    <s v="ChillVibes"/>
    <n v="3599"/>
  </r>
  <r>
    <s v="SP005"/>
    <x v="2"/>
    <d v="2024-04-06T00:00:00"/>
    <s v="Text"/>
    <s v="Music that moves youâ€”only on Spotify."/>
    <n v="2748"/>
    <n v="145"/>
    <n v="315"/>
    <n v="24401"/>
    <n v="61182"/>
    <n v="200"/>
    <s v="#DiscoverWeekly"/>
    <s v="#SpotifyWrapped"/>
    <s v="IndieWave"/>
    <n v="3208"/>
  </r>
  <r>
    <s v="SP006"/>
    <x v="2"/>
    <d v="2024-06-13T00:00:00"/>
    <s v="Text"/>
    <s v="Whatâ€™s your vibe today? #SpotifyHits"/>
    <n v="3882"/>
    <n v="239"/>
    <n v="275"/>
    <n v="58748"/>
    <n v="44646"/>
    <n v="149"/>
    <s v="#DiscoverWeekly"/>
    <s v="#SpotifyWrapped"/>
    <s v="IndieWave"/>
    <n v="4396"/>
  </r>
  <r>
    <s v="SP007"/>
    <x v="1"/>
    <d v="2024-12-19T00:00:00"/>
    <s v="Story"/>
    <s v="Get into the groove with our new drop!"/>
    <n v="4674"/>
    <n v="409"/>
    <n v="327"/>
    <n v="20756"/>
    <n v="63599"/>
    <n v="212"/>
    <s v="#SoundtrackOfLife"/>
    <s v="#NowPlaying"/>
    <s v="ChillVibes"/>
    <n v="5410"/>
  </r>
  <r>
    <s v="SP008"/>
    <x v="1"/>
    <d v="2024-05-09T00:00:00"/>
    <s v="Story"/>
    <s v="Wrapped is here! Relive your top tracks ðŸŽ§"/>
    <n v="1428"/>
    <n v="347"/>
    <n v="67"/>
    <n v="21148"/>
    <n v="19712"/>
    <n v="120"/>
    <s v="#DiscoverWeekly"/>
    <s v="#MusicForEveryone"/>
    <s v="ChillVibes"/>
    <n v="1842"/>
  </r>
  <r>
    <s v="SP009"/>
    <x v="1"/>
    <d v="2025-06-15T00:00:00"/>
    <s v="Text"/>
    <s v="Top trending tracks updated daily!"/>
    <n v="4432"/>
    <n v="223"/>
    <n v="299"/>
    <n v="59016"/>
    <n v="21742"/>
    <n v="171"/>
    <s v="#NowPlaying"/>
    <m/>
    <s v="ChillVibes"/>
    <n v="4954"/>
  </r>
  <r>
    <s v="SP010"/>
    <x v="1"/>
    <d v="2024-12-04T00:00:00"/>
    <s v="Text"/>
    <s v="Wrapped is here! Relive your top tracks ðŸŽ§"/>
    <n v="2357"/>
    <n v="274"/>
    <n v="172"/>
    <n v="21566"/>
    <n v="66829"/>
    <n v="284"/>
    <s v="#NowPlaying"/>
    <m/>
    <s v="ChillVibes"/>
    <n v="2803"/>
  </r>
  <r>
    <s v="SP011"/>
    <x v="1"/>
    <d v="2024-03-06T00:00:00"/>
    <s v="Text"/>
    <s v="Discover fresh beats on Spotify!"/>
    <n v="1971"/>
    <n v="370"/>
    <n v="306"/>
    <n v="31316"/>
    <n v="27897"/>
    <n v="88"/>
    <s v="#SoundtrackOfLife"/>
    <m/>
    <s v="IndieWave"/>
    <n v="2647"/>
  </r>
  <r>
    <s v="SP012"/>
    <x v="0"/>
    <d v="2024-05-14T00:00:00"/>
    <s v="Text"/>
    <s v="Discover fresh beats on Spotify!"/>
    <n v="1485"/>
    <n v="353"/>
    <n v="244"/>
    <n v="38419"/>
    <n v="38556"/>
    <n v="86"/>
    <s v="#SoundtrackOfLife"/>
    <s v="#NowPlaying"/>
    <s v="ChillVibes"/>
    <n v="2082"/>
  </r>
  <r>
    <s v="SP013"/>
    <x v="1"/>
    <d v="2025-06-18T00:00:00"/>
    <s v="Story"/>
    <s v="Discover fresh beats on Spotify!"/>
    <n v="3956"/>
    <n v="319"/>
    <n v="61"/>
    <n v="58162"/>
    <n v="28720"/>
    <n v="213"/>
    <s v="#MusicForEveryone"/>
    <s v="#NowPlaying"/>
    <s v="ChillVibes"/>
    <n v="4336"/>
  </r>
  <r>
    <s v="SP014"/>
    <x v="1"/>
    <d v="2024-10-08T00:00:00"/>
    <s v="Text"/>
    <s v="From pop to podcasts, itâ€™s all here."/>
    <n v="2460"/>
    <n v="409"/>
    <n v="253"/>
    <n v="36702"/>
    <n v="46122"/>
    <n v="264"/>
    <s v="#NowPlaying"/>
    <m/>
    <s v="ChillVibes"/>
    <n v="3122"/>
  </r>
  <r>
    <s v="SP015"/>
    <x v="1"/>
    <d v="2024-05-06T00:00:00"/>
    <s v="Text"/>
    <s v="Your weekend playlist is waiting."/>
    <n v="3476"/>
    <n v="355"/>
    <n v="396"/>
    <n v="37492"/>
    <n v="27285"/>
    <n v="179"/>
    <s v="#NowPlaying"/>
    <m/>
    <s v="ChillVibes"/>
    <n v="4227"/>
  </r>
  <r>
    <s v="SP016"/>
    <x v="1"/>
    <d v="2024-12-29T00:00:00"/>
    <s v="Story"/>
    <s v="New music just dropped. Hit play!"/>
    <n v="4049"/>
    <n v="377"/>
    <n v="94"/>
    <n v="48182"/>
    <n v="42875"/>
    <n v="172"/>
    <s v="#MusicForEveryone"/>
    <s v="#NowPlaying"/>
    <s v="ChillVibes"/>
    <n v="4520"/>
  </r>
  <r>
    <s v="SP017"/>
    <x v="1"/>
    <d v="2024-06-10T00:00:00"/>
    <s v="Text"/>
    <s v="Whatâ€™s your vibe today? #SpotifyHits"/>
    <n v="1514"/>
    <n v="164"/>
    <n v="275"/>
    <n v="41364"/>
    <n v="44389"/>
    <n v="83"/>
    <s v="#NowPlaying"/>
    <m/>
    <s v="ChillVibes"/>
    <n v="1953"/>
  </r>
  <r>
    <s v="SP018"/>
    <x v="0"/>
    <d v="2024-02-03T00:00:00"/>
    <s v="Story"/>
    <s v="Music that moves youâ€”only on Spotify."/>
    <n v="4281"/>
    <n v="101"/>
    <n v="163"/>
    <n v="32278"/>
    <n v="53382"/>
    <n v="235"/>
    <s v="#NowPlaying"/>
    <m/>
    <s v="Wrapped2024"/>
    <n v="4545"/>
  </r>
  <r>
    <s v="SP019"/>
    <x v="2"/>
    <d v="2024-06-15T00:00:00"/>
    <s v="Reel"/>
    <s v="Get into the groove with our new drop!"/>
    <n v="1751"/>
    <n v="143"/>
    <n v="151"/>
    <n v="31826"/>
    <n v="47729"/>
    <n v="95"/>
    <s v="#DiscoverWeekly"/>
    <s v="#SoundtrackOfLife"/>
    <s v="SummerBeats"/>
    <n v="2045"/>
  </r>
  <r>
    <s v="SP020"/>
    <x v="0"/>
    <d v="2024-07-05T00:00:00"/>
    <s v="Text"/>
    <s v="Your weekend playlist is waiting."/>
    <n v="3753"/>
    <n v="411"/>
    <n v="308"/>
    <n v="29138"/>
    <n v="27678"/>
    <n v="90"/>
    <s v="#DiscoverWeekly"/>
    <m/>
    <s v="IndieWave"/>
    <n v="4472"/>
  </r>
  <r>
    <s v="SP021"/>
    <x v="0"/>
    <d v="2024-11-07T00:00:00"/>
    <s v="Story"/>
    <s v="Wrapped is here! Relive your top tracks ðŸŽ§"/>
    <n v="1678"/>
    <n v="423"/>
    <n v="323"/>
    <n v="55668"/>
    <n v="37945"/>
    <n v="230"/>
    <s v="#NowPlaying"/>
    <m/>
    <s v="Wrapped2024"/>
    <n v="2424"/>
  </r>
  <r>
    <s v="SP022"/>
    <x v="0"/>
    <d v="2025-06-15T00:00:00"/>
    <s v="Text"/>
    <s v="Whatâ€™s your vibe today? #SpotifyHits"/>
    <n v="4896"/>
    <n v="466"/>
    <n v="233"/>
    <n v="28621"/>
    <n v="34270"/>
    <n v="84"/>
    <s v="#SoundtrackOfLife"/>
    <s v="#NowPlaying"/>
    <s v="ChillVibes"/>
    <n v="5595"/>
  </r>
  <r>
    <s v="SP023"/>
    <x v="2"/>
    <d v="2024-06-09T00:00:00"/>
    <s v="Reel"/>
    <s v="From pop to podcasts, itâ€™s all here."/>
    <n v="2786"/>
    <n v="368"/>
    <n v="208"/>
    <n v="42000"/>
    <n v="39967"/>
    <n v="103"/>
    <s v="#DiscoverWeekly"/>
    <s v="#SoundtrackOfLife"/>
    <s v="SummerBeats"/>
    <n v="3362"/>
  </r>
  <r>
    <s v="SP024"/>
    <x v="1"/>
    <d v="2024-10-18T00:00:00"/>
    <s v="Text"/>
    <s v="New music just dropped. Hit play!"/>
    <n v="2607"/>
    <n v="379"/>
    <n v="180"/>
    <n v="28712"/>
    <n v="61620"/>
    <n v="174"/>
    <s v="#SoundtrackOfLife"/>
    <m/>
    <s v="IndieWave"/>
    <n v="3166"/>
  </r>
  <r>
    <s v="SP025"/>
    <x v="2"/>
    <d v="2024-10-10T00:00:00"/>
    <s v="Reel"/>
    <s v="From pop to podcasts, itâ€™s all here."/>
    <n v="4013"/>
    <n v="320"/>
    <n v="92"/>
    <n v="54605"/>
    <n v="60169"/>
    <n v="232"/>
    <s v="#DiscoverWeekly"/>
    <s v="#SoundtrackOfLife"/>
    <s v="SummerBeats"/>
    <n v="4425"/>
  </r>
  <r>
    <s v="SP026"/>
    <x v="1"/>
    <d v="2025-05-14T00:00:00"/>
    <s v="Story"/>
    <s v="From pop to podcasts, itâ€™s all here."/>
    <n v="2707"/>
    <n v="103"/>
    <n v="51"/>
    <n v="55302"/>
    <n v="18801"/>
    <n v="147"/>
    <s v="#DiscoverWeekly"/>
    <s v="#MusicForEveryone"/>
    <s v="ChillVibes"/>
    <n v="2861"/>
  </r>
  <r>
    <s v="SP027"/>
    <x v="0"/>
    <d v="2024-11-29T00:00:00"/>
    <s v="Text"/>
    <s v="Whatâ€™s your vibe today? #SpotifyHits"/>
    <n v="2824"/>
    <n v="425"/>
    <n v="274"/>
    <n v="31004"/>
    <n v="53488"/>
    <n v="268"/>
    <s v="#SoundtrackOfLife"/>
    <s v="#NowPlaying"/>
    <s v="ChillVibes"/>
    <n v="3523"/>
  </r>
  <r>
    <s v="SP028"/>
    <x v="2"/>
    <d v="2024-03-05T00:00:00"/>
    <s v="Reel"/>
    <s v="Explore the latest podcasts now."/>
    <n v="3558"/>
    <n v="314"/>
    <n v="199"/>
    <n v="49612"/>
    <n v="53929"/>
    <n v="206"/>
    <s v="#DiscoverWeekly"/>
    <s v="#SoundtrackOfLife"/>
    <s v="SummerBeats"/>
    <n v="4071"/>
  </r>
  <r>
    <s v="SP029"/>
    <x v="1"/>
    <d v="2025-03-18T00:00:00"/>
    <s v="Story"/>
    <s v="Explore the latest podcasts now."/>
    <n v="3418"/>
    <n v="188"/>
    <n v="387"/>
    <n v="57431"/>
    <n v="36933"/>
    <n v="202"/>
    <s v="#MusicForEveryone"/>
    <s v="#NowPlaying"/>
    <s v="ChillVibes"/>
    <n v="3993"/>
  </r>
  <r>
    <s v="SP030"/>
    <x v="1"/>
    <d v="2025-04-26T00:00:00"/>
    <s v="Text"/>
    <s v="Discover fresh beats on Spotify!"/>
    <n v="2411"/>
    <n v="194"/>
    <n v="168"/>
    <n v="26665"/>
    <n v="71699"/>
    <n v="197"/>
    <s v="#NowPlaying"/>
    <m/>
    <s v="ChillVibes"/>
    <n v="2773"/>
  </r>
  <r>
    <s v="SP031"/>
    <x v="0"/>
    <d v="2025-01-01T00:00:00"/>
    <s v="Text"/>
    <s v="New music just dropped. Hit play!"/>
    <n v="4036"/>
    <n v="112"/>
    <n v="382"/>
    <n v="56284"/>
    <n v="29440"/>
    <n v="279"/>
    <s v="#SoundtrackOfLife"/>
    <s v="#NowPlaying"/>
    <s v="ChillVibes"/>
    <n v="4530"/>
  </r>
  <r>
    <s v="SP032"/>
    <x v="1"/>
    <d v="2024-05-07T00:00:00"/>
    <s v="Story"/>
    <s v="Explore the latest podcasts now."/>
    <n v="2776"/>
    <n v="307"/>
    <n v="178"/>
    <n v="43365"/>
    <n v="48408"/>
    <n v="138"/>
    <s v="#SoundtrackOfLife"/>
    <s v="#NowPlaying"/>
    <s v="ChillVibes"/>
    <n v="3261"/>
  </r>
  <r>
    <s v="SP033"/>
    <x v="1"/>
    <d v="2024-10-09T00:00:00"/>
    <s v="Story"/>
    <s v="Discover fresh beats on Spotify!"/>
    <n v="4929"/>
    <n v="182"/>
    <n v="95"/>
    <n v="32181"/>
    <n v="31084"/>
    <n v="289"/>
    <s v="#DiscoverWeekly"/>
    <s v="#MusicForEveryone"/>
    <s v="ChillVibes"/>
    <n v="5206"/>
  </r>
  <r>
    <s v="SP034"/>
    <x v="0"/>
    <d v="2025-01-09T00:00:00"/>
    <s v="Text"/>
    <s v="New music just dropped. Hit play!"/>
    <n v="1015"/>
    <n v="366"/>
    <n v="308"/>
    <n v="38127"/>
    <n v="63790"/>
    <n v="287"/>
    <s v="#SoundtrackOfLife"/>
    <s v="#NowPlaying"/>
    <s v="ChillVibes"/>
    <n v="1689"/>
  </r>
  <r>
    <s v="SP035"/>
    <x v="1"/>
    <d v="2025-05-08T00:00:00"/>
    <s v="Story"/>
    <s v="Your weekend playlist is waiting."/>
    <n v="3316"/>
    <n v="332"/>
    <n v="268"/>
    <n v="40095"/>
    <n v="36913"/>
    <n v="265"/>
    <s v="#MusicForEveryone"/>
    <s v="#NowPlaying"/>
    <s v="ChillVibes"/>
    <n v="3916"/>
  </r>
  <r>
    <s v="SP036"/>
    <x v="0"/>
    <d v="2024-05-04T00:00:00"/>
    <s v="Text"/>
    <s v="Wrapped is here! Relive your top tracks ðŸŽ§"/>
    <n v="2274"/>
    <n v="243"/>
    <n v="222"/>
    <n v="43066"/>
    <n v="59174"/>
    <n v="80"/>
    <s v="#DiscoverWeekly"/>
    <m/>
    <s v="IndieWave"/>
    <n v="2739"/>
  </r>
  <r>
    <s v="SP037"/>
    <x v="1"/>
    <d v="2025-05-27T00:00:00"/>
    <s v="Story"/>
    <s v="Explore the latest podcasts now."/>
    <n v="4095"/>
    <n v="385"/>
    <n v="400"/>
    <n v="45300"/>
    <n v="31795"/>
    <n v="80"/>
    <s v="#MusicForEveryone"/>
    <s v="#NowPlaying"/>
    <s v="ChillVibes"/>
    <n v="4880"/>
  </r>
  <r>
    <s v="SP038"/>
    <x v="0"/>
    <d v="2024-09-10T00:00:00"/>
    <s v="Story"/>
    <s v="New music just dropped. Hit play!"/>
    <n v="1230"/>
    <n v="309"/>
    <n v="207"/>
    <n v="44629"/>
    <n v="40699"/>
    <n v="195"/>
    <s v="#NowPlaying"/>
    <m/>
    <s v="Wrapped2024"/>
    <n v="1746"/>
  </r>
  <r>
    <s v="SP039"/>
    <x v="0"/>
    <d v="2024-11-25T00:00:00"/>
    <s v="Text"/>
    <s v="From pop to podcasts, itâ€™s all here."/>
    <n v="1341"/>
    <n v="472"/>
    <n v="238"/>
    <n v="51386"/>
    <n v="51706"/>
    <n v="133"/>
    <s v="#DiscoverWeekly"/>
    <m/>
    <s v="IndieWave"/>
    <n v="2051"/>
  </r>
  <r>
    <s v="SP040"/>
    <x v="1"/>
    <d v="2025-06-10T00:00:00"/>
    <s v="Text"/>
    <s v="Explore the latest podcasts now."/>
    <n v="3615"/>
    <n v="192"/>
    <n v="162"/>
    <n v="27492"/>
    <n v="35341"/>
    <n v="125"/>
    <s v="#NowPlaying"/>
    <m/>
    <s v="ChillVibes"/>
    <n v="3969"/>
  </r>
  <r>
    <s v="SP041"/>
    <x v="0"/>
    <d v="2024-04-19T00:00:00"/>
    <s v="Text"/>
    <s v="New music just dropped. Hit play!"/>
    <n v="4001"/>
    <n v="353"/>
    <n v="129"/>
    <n v="41265"/>
    <n v="37279"/>
    <n v="275"/>
    <s v="#SoundtrackOfLife"/>
    <s v="#NowPlaying"/>
    <s v="ChillVibes"/>
    <n v="4483"/>
  </r>
  <r>
    <s v="SP042"/>
    <x v="0"/>
    <d v="2025-01-26T00:00:00"/>
    <s v="Story"/>
    <s v="Whatâ€™s your vibe today? #SpotifyHits"/>
    <n v="3451"/>
    <n v="363"/>
    <n v="393"/>
    <n v="44853"/>
    <n v="69032"/>
    <n v="211"/>
    <s v="#NowPlaying"/>
    <m/>
    <s v="Wrapped2024"/>
    <n v="4207"/>
  </r>
  <r>
    <s v="SP043"/>
    <x v="0"/>
    <d v="2025-02-14T00:00:00"/>
    <s v="Text"/>
    <s v="Top trending tracks updated daily!"/>
    <n v="4891"/>
    <n v="450"/>
    <n v="387"/>
    <n v="48746"/>
    <n v="37312"/>
    <n v="154"/>
    <s v="#SoundtrackOfLife"/>
    <s v="#NowPlaying"/>
    <s v="ChillVibes"/>
    <n v="5728"/>
  </r>
  <r>
    <s v="SP044"/>
    <x v="0"/>
    <d v="2024-09-06T00:00:00"/>
    <s v="Text"/>
    <s v="New music just dropped. Hit play!"/>
    <n v="1452"/>
    <n v="281"/>
    <n v="326"/>
    <n v="51556"/>
    <n v="62599"/>
    <n v="290"/>
    <s v="#DiscoverWeekly"/>
    <m/>
    <s v="IndieWave"/>
    <n v="2059"/>
  </r>
  <r>
    <s v="SP045"/>
    <x v="2"/>
    <d v="2024-07-14T00:00:00"/>
    <s v="Text"/>
    <s v="Your weekend playlist is waiting."/>
    <n v="3806"/>
    <n v="114"/>
    <n v="278"/>
    <n v="36148"/>
    <n v="24209"/>
    <n v="201"/>
    <s v="#DiscoverWeekly"/>
    <s v="#SpotifyWrapped"/>
    <s v="IndieWave"/>
    <n v="4198"/>
  </r>
  <r>
    <s v="SP046"/>
    <x v="0"/>
    <d v="2024-02-12T00:00:00"/>
    <s v="Text"/>
    <s v="Explore the latest podcasts now."/>
    <n v="2923"/>
    <n v="330"/>
    <n v="250"/>
    <n v="23993"/>
    <n v="74590"/>
    <n v="92"/>
    <s v="#DiscoverWeekly"/>
    <m/>
    <s v="IndieWave"/>
    <n v="3503"/>
  </r>
  <r>
    <s v="SP047"/>
    <x v="2"/>
    <d v="2024-03-14T00:00:00"/>
    <s v="Reel"/>
    <s v="From pop to podcasts, itâ€™s all here."/>
    <n v="3361"/>
    <n v="188"/>
    <n v="358"/>
    <n v="39838"/>
    <n v="24536"/>
    <n v="120"/>
    <s v="#DiscoverWeekly"/>
    <s v="#SoundtrackOfLife"/>
    <s v="SummerBeats"/>
    <n v="3907"/>
  </r>
  <r>
    <s v="SP048"/>
    <x v="0"/>
    <d v="2025-02-05T00:00:00"/>
    <s v="Story"/>
    <s v="Music that moves youâ€”only on Spotify."/>
    <n v="3074"/>
    <n v="371"/>
    <n v="348"/>
    <n v="24104"/>
    <n v="57803"/>
    <n v="213"/>
    <s v="#NowPlaying"/>
    <m/>
    <s v="Wrapped2024"/>
    <n v="3793"/>
  </r>
  <r>
    <s v="SP049"/>
    <x v="1"/>
    <d v="2024-08-29T00:00:00"/>
    <s v="Story"/>
    <s v="Get into the groove with our new drop!"/>
    <n v="4276"/>
    <n v="227"/>
    <n v="223"/>
    <n v="43443"/>
    <n v="41005"/>
    <n v="191"/>
    <s v="#DiscoverWeekly"/>
    <s v="#MusicForEveryone"/>
    <s v="ChillVibes"/>
    <n v="4726"/>
  </r>
  <r>
    <s v="SP050"/>
    <x v="1"/>
    <d v="2025-04-22T00:00:00"/>
    <s v="Text"/>
    <s v="Discover fresh beats on Spotify!"/>
    <n v="4401"/>
    <n v="421"/>
    <n v="216"/>
    <n v="24890"/>
    <n v="54361"/>
    <n v="148"/>
    <s v="#NowPlaying"/>
    <m/>
    <s v="ChillVibes"/>
    <n v="5038"/>
  </r>
  <r>
    <s v="SP051"/>
    <x v="2"/>
    <d v="2024-05-13T00:00:00"/>
    <s v="Reel"/>
    <s v="Explore the latest podcasts now."/>
    <n v="4161"/>
    <n v="481"/>
    <n v="61"/>
    <n v="45884"/>
    <n v="48955"/>
    <n v="215"/>
    <s v="#DiscoverWeekly"/>
    <s v="#SoundtrackOfLife"/>
    <s v="SummerBeats"/>
    <n v="4703"/>
  </r>
  <r>
    <s v="SP052"/>
    <x v="1"/>
    <d v="2024-09-04T00:00:00"/>
    <s v="Story"/>
    <s v="New music just dropped. Hit play!"/>
    <n v="2613"/>
    <n v="455"/>
    <n v="228"/>
    <n v="21645"/>
    <n v="61334"/>
    <n v="261"/>
    <s v="#DiscoverWeekly"/>
    <s v="#MusicForEveryone"/>
    <s v="ChillVibes"/>
    <n v="3296"/>
  </r>
  <r>
    <s v="SP053"/>
    <x v="1"/>
    <d v="2024-08-12T00:00:00"/>
    <s v="Story"/>
    <s v="Whatâ€™s your vibe today? #SpotifyHits"/>
    <n v="2842"/>
    <n v="213"/>
    <n v="331"/>
    <n v="57660"/>
    <n v="68606"/>
    <n v="87"/>
    <s v="#MusicForEveryone"/>
    <s v="#NowPlaying"/>
    <s v="ChillVibes"/>
    <n v="3386"/>
  </r>
  <r>
    <s v="SP054"/>
    <x v="0"/>
    <d v="2025-03-06T00:00:00"/>
    <s v="Text"/>
    <s v="Get into the groove with our new drop!"/>
    <n v="4851"/>
    <n v="460"/>
    <n v="212"/>
    <n v="58075"/>
    <n v="59574"/>
    <n v="239"/>
    <s v="#DiscoverWeekly"/>
    <m/>
    <s v="IndieWave"/>
    <n v="5523"/>
  </r>
  <r>
    <s v="SP055"/>
    <x v="1"/>
    <d v="2024-05-08T00:00:00"/>
    <s v="Text"/>
    <s v="Explore the latest podcasts now."/>
    <n v="1828"/>
    <n v="450"/>
    <n v="214"/>
    <n v="52115"/>
    <n v="19166"/>
    <n v="190"/>
    <s v="#NowPlaying"/>
    <m/>
    <s v="ChillVibes"/>
    <n v="2492"/>
  </r>
  <r>
    <s v="SP056"/>
    <x v="0"/>
    <d v="2025-02-19T00:00:00"/>
    <s v="Story"/>
    <s v="From pop to podcasts, itâ€™s all here."/>
    <n v="2422"/>
    <n v="455"/>
    <n v="376"/>
    <n v="23428"/>
    <n v="46775"/>
    <n v="259"/>
    <s v="#NowPlaying"/>
    <m/>
    <s v="Wrapped2024"/>
    <n v="3253"/>
  </r>
  <r>
    <s v="SP057"/>
    <x v="0"/>
    <d v="2024-01-08T00:00:00"/>
    <s v="Text"/>
    <s v="Top trending tracks updated daily!"/>
    <n v="2683"/>
    <n v="405"/>
    <n v="223"/>
    <n v="31233"/>
    <n v="58106"/>
    <n v="291"/>
    <s v="#DiscoverWeekly"/>
    <m/>
    <s v="IndieWave"/>
    <n v="3311"/>
  </r>
  <r>
    <s v="SP058"/>
    <x v="2"/>
    <d v="2024-07-17T00:00:00"/>
    <s v="Text"/>
    <s v="Top trending tracks updated daily!"/>
    <n v="3135"/>
    <n v="110"/>
    <n v="215"/>
    <n v="39192"/>
    <n v="24744"/>
    <n v="177"/>
    <s v="#DiscoverWeekly"/>
    <s v="#SpotifyWrapped"/>
    <s v="IndieWave"/>
    <n v="3460"/>
  </r>
  <r>
    <s v="SP059"/>
    <x v="2"/>
    <d v="2024-08-10T00:00:00"/>
    <s v="Text"/>
    <s v="From pop to podcasts, itâ€™s all here."/>
    <n v="1105"/>
    <n v="181"/>
    <n v="55"/>
    <n v="53581"/>
    <n v="74048"/>
    <n v="220"/>
    <s v="#DiscoverWeekly"/>
    <s v="#SpotifyWrapped"/>
    <s v="IndieWave"/>
    <n v="1341"/>
  </r>
  <r>
    <s v="SP060"/>
    <x v="2"/>
    <d v="2024-04-16T00:00:00"/>
    <s v="Text"/>
    <s v="Discover fresh beats on Spotify!"/>
    <n v="4674"/>
    <n v="326"/>
    <n v="62"/>
    <n v="45503"/>
    <n v="46814"/>
    <n v="116"/>
    <s v="#DiscoverWeekly"/>
    <s v="#SpotifyWrapped"/>
    <s v="IndieWave"/>
    <n v="5062"/>
  </r>
  <r>
    <s v="SP061"/>
    <x v="2"/>
    <d v="2024-01-01T00:00:00"/>
    <s v="Reel"/>
    <s v="Explore the latest podcasts now."/>
    <n v="3437"/>
    <n v="129"/>
    <n v="359"/>
    <n v="44558"/>
    <n v="30854"/>
    <n v="171"/>
    <s v="#DiscoverWeekly"/>
    <s v="#SoundtrackOfLife"/>
    <s v="SummerBeats"/>
    <n v="3925"/>
  </r>
  <r>
    <s v="SP062"/>
    <x v="1"/>
    <d v="2024-11-03T00:00:00"/>
    <s v="Story"/>
    <s v="Wrapped is here! Relive your top tracks ðŸŽ§"/>
    <n v="1959"/>
    <n v="316"/>
    <n v="82"/>
    <n v="54036"/>
    <n v="69015"/>
    <n v="182"/>
    <s v="#MusicForEveryone"/>
    <s v="#NowPlaying"/>
    <s v="ChillVibes"/>
    <n v="2357"/>
  </r>
  <r>
    <s v="SP063"/>
    <x v="1"/>
    <d v="2024-07-07T00:00:00"/>
    <s v="Text"/>
    <s v="New music just dropped. Hit play!"/>
    <n v="1035"/>
    <n v="137"/>
    <n v="184"/>
    <n v="37302"/>
    <n v="68953"/>
    <n v="237"/>
    <s v="#SoundtrackOfLife"/>
    <m/>
    <s v="IndieWave"/>
    <n v="1356"/>
  </r>
  <r>
    <s v="SP064"/>
    <x v="1"/>
    <d v="2025-01-22T00:00:00"/>
    <s v="Story"/>
    <s v="New music just dropped. Hit play!"/>
    <n v="4478"/>
    <n v="101"/>
    <n v="121"/>
    <n v="51035"/>
    <n v="58207"/>
    <n v="205"/>
    <s v="#MusicForEveryone"/>
    <s v="#NowPlaying"/>
    <s v="ChillVibes"/>
    <n v="4700"/>
  </r>
  <r>
    <s v="SP065"/>
    <x v="2"/>
    <d v="2024-05-26T00:00:00"/>
    <s v="Text"/>
    <s v="From pop to podcasts, itâ€™s all here."/>
    <n v="1488"/>
    <n v="327"/>
    <n v="110"/>
    <n v="53805"/>
    <n v="30239"/>
    <n v="109"/>
    <s v="#DiscoverWeekly"/>
    <s v="#SpotifyWrapped"/>
    <s v="IndieWave"/>
    <n v="1925"/>
  </r>
  <r>
    <s v="SP066"/>
    <x v="0"/>
    <d v="2025-04-16T00:00:00"/>
    <s v="Text"/>
    <s v="Wrapped is here! Relive your top tracks ðŸŽ§"/>
    <n v="4836"/>
    <n v="331"/>
    <n v="140"/>
    <n v="58792"/>
    <n v="47711"/>
    <n v="227"/>
    <s v="#SoundtrackOfLife"/>
    <s v="#NowPlaying"/>
    <s v="ChillVibes"/>
    <n v="5307"/>
  </r>
  <r>
    <s v="SP067"/>
    <x v="2"/>
    <d v="2024-04-02T00:00:00"/>
    <s v="Reel"/>
    <s v="Your weekend playlist is waiting."/>
    <n v="4563"/>
    <n v="488"/>
    <n v="356"/>
    <n v="30619"/>
    <n v="23328"/>
    <n v="267"/>
    <s v="#DiscoverWeekly"/>
    <s v="#SoundtrackOfLife"/>
    <s v="SummerBeats"/>
    <n v="5407"/>
  </r>
  <r>
    <s v="SP068"/>
    <x v="1"/>
    <d v="2024-03-28T00:00:00"/>
    <s v="Text"/>
    <s v="Music that moves youâ€”only on Spotify."/>
    <n v="3276"/>
    <n v="421"/>
    <n v="114"/>
    <n v="20580"/>
    <n v="30324"/>
    <n v="221"/>
    <s v="#SoundtrackOfLife"/>
    <m/>
    <s v="IndieWave"/>
    <n v="3811"/>
  </r>
  <r>
    <s v="SP069"/>
    <x v="1"/>
    <d v="2024-12-17T00:00:00"/>
    <s v="Story"/>
    <s v="Music that moves youâ€”only on Spotify."/>
    <n v="1316"/>
    <n v="472"/>
    <n v="286"/>
    <n v="44692"/>
    <n v="53343"/>
    <n v="227"/>
    <s v="#DiscoverWeekly"/>
    <s v="#MusicForEveryone"/>
    <s v="ChillVibes"/>
    <n v="2074"/>
  </r>
  <r>
    <s v="SP070"/>
    <x v="1"/>
    <d v="2025-01-05T00:00:00"/>
    <s v="Text"/>
    <s v="Wrapped is here! Relive your top tracks ðŸŽ§"/>
    <n v="4811"/>
    <n v="473"/>
    <n v="254"/>
    <n v="51964"/>
    <n v="68795"/>
    <n v="107"/>
    <s v="#NowPlaying"/>
    <m/>
    <s v="ChillVibes"/>
    <n v="5538"/>
  </r>
  <r>
    <s v="SP071"/>
    <x v="1"/>
    <d v="2024-01-11T00:00:00"/>
    <s v="Text"/>
    <s v="Whatâ€™s your vibe today? #SpotifyHits"/>
    <n v="4218"/>
    <n v="247"/>
    <n v="183"/>
    <n v="28914"/>
    <n v="18310"/>
    <n v="135"/>
    <s v="#SoundtrackOfLife"/>
    <m/>
    <s v="IndieWave"/>
    <n v="4648"/>
  </r>
  <r>
    <s v="SP072"/>
    <x v="0"/>
    <d v="2024-10-11T00:00:00"/>
    <s v="Text"/>
    <s v="From pop to podcasts, itâ€™s all here."/>
    <n v="1360"/>
    <n v="249"/>
    <n v="52"/>
    <n v="20368"/>
    <n v="42152"/>
    <n v="193"/>
    <s v="#DiscoverWeekly"/>
    <m/>
    <s v="IndieWave"/>
    <n v="1661"/>
  </r>
  <r>
    <s v="SP073"/>
    <x v="2"/>
    <d v="2025-05-06T00:00:00"/>
    <s v="Reel"/>
    <s v="Discover fresh beats on Spotify!"/>
    <n v="1085"/>
    <n v="496"/>
    <n v="320"/>
    <n v="36528"/>
    <n v="38599"/>
    <n v="270"/>
    <s v="#DiscoverWeekly"/>
    <s v="#SoundtrackOfLife"/>
    <s v="SummerBeats"/>
    <n v="1901"/>
  </r>
  <r>
    <s v="SP074"/>
    <x v="1"/>
    <d v="2024-05-19T00:00:00"/>
    <s v="Story"/>
    <s v="Get into the groove with our new drop!"/>
    <n v="1763"/>
    <n v="206"/>
    <n v="187"/>
    <n v="53342"/>
    <n v="25095"/>
    <n v="88"/>
    <s v="#DiscoverWeekly"/>
    <s v="#MusicForEveryone"/>
    <s v="ChillVibes"/>
    <n v="2156"/>
  </r>
  <r>
    <s v="SP075"/>
    <x v="1"/>
    <d v="2024-01-22T00:00:00"/>
    <s v="Story"/>
    <s v="From pop to podcasts, itâ€™s all here."/>
    <n v="1554"/>
    <n v="455"/>
    <n v="158"/>
    <n v="41947"/>
    <n v="48578"/>
    <n v="101"/>
    <s v="#SoundtrackOfLife"/>
    <s v="#NowPlaying"/>
    <s v="ChillVibes"/>
    <n v="2167"/>
  </r>
  <r>
    <s v="SP076"/>
    <x v="0"/>
    <d v="2024-07-14T00:00:00"/>
    <s v="Text"/>
    <s v="Wrapped is here! Relive your top tracks ðŸŽ§"/>
    <n v="2464"/>
    <n v="401"/>
    <n v="78"/>
    <n v="38665"/>
    <n v="73593"/>
    <n v="207"/>
    <s v="#DiscoverWeekly"/>
    <m/>
    <s v="IndieWave"/>
    <n v="2943"/>
  </r>
  <r>
    <s v="SP077"/>
    <x v="1"/>
    <d v="2025-05-28T00:00:00"/>
    <s v="Text"/>
    <s v="From pop to podcasts, itâ€™s all here."/>
    <n v="2418"/>
    <n v="161"/>
    <n v="360"/>
    <n v="30589"/>
    <n v="41383"/>
    <n v="88"/>
    <s v="#NowPlaying"/>
    <m/>
    <s v="ChillVibes"/>
    <n v="2939"/>
  </r>
  <r>
    <s v="SP078"/>
    <x v="1"/>
    <d v="2025-01-21T00:00:00"/>
    <s v="Story"/>
    <s v="Discover fresh beats on Spotify!"/>
    <n v="2494"/>
    <n v="494"/>
    <n v="55"/>
    <n v="22580"/>
    <n v="22214"/>
    <n v="109"/>
    <s v="#MusicForEveryone"/>
    <s v="#NowPlaying"/>
    <s v="ChillVibes"/>
    <n v="3043"/>
  </r>
  <r>
    <s v="SP079"/>
    <x v="2"/>
    <d v="2024-01-13T00:00:00"/>
    <s v="Reel"/>
    <s v="New music just dropped. Hit play!"/>
    <n v="4781"/>
    <n v="191"/>
    <n v="122"/>
    <n v="35535"/>
    <n v="50777"/>
    <n v="128"/>
    <s v="#DiscoverWeekly"/>
    <s v="#SoundtrackOfLife"/>
    <s v="SummerBeats"/>
    <n v="5094"/>
  </r>
  <r>
    <s v="SP080"/>
    <x v="0"/>
    <d v="2025-06-17T00:00:00"/>
    <s v="Text"/>
    <s v="Music that moves youâ€”only on Spotify."/>
    <n v="2284"/>
    <n v="187"/>
    <n v="260"/>
    <n v="37400"/>
    <n v="65014"/>
    <n v="157"/>
    <s v="#SoundtrackOfLife"/>
    <s v="#NowPlaying"/>
    <s v="ChillVibes"/>
    <n v="2731"/>
  </r>
  <r>
    <s v="SP081"/>
    <x v="1"/>
    <d v="2025-03-07T00:00:00"/>
    <s v="Text"/>
    <s v="Get into the groove with our new drop!"/>
    <n v="4234"/>
    <n v="486"/>
    <n v="276"/>
    <n v="56623"/>
    <n v="41343"/>
    <n v="184"/>
    <s v="#SoundtrackOfLife"/>
    <m/>
    <s v="IndieWave"/>
    <n v="4996"/>
  </r>
  <r>
    <s v="SP082"/>
    <x v="0"/>
    <d v="2024-08-26T00:00:00"/>
    <s v="Text"/>
    <s v="Your weekend playlist is waiting."/>
    <n v="2102"/>
    <n v="181"/>
    <n v="306"/>
    <n v="43650"/>
    <n v="50079"/>
    <n v="182"/>
    <s v="#DiscoverWeekly"/>
    <m/>
    <s v="IndieWave"/>
    <n v="2589"/>
  </r>
  <r>
    <s v="SP083"/>
    <x v="1"/>
    <d v="2025-01-03T00:00:00"/>
    <s v="Story"/>
    <s v="Get into the groove with our new drop!"/>
    <n v="4845"/>
    <n v="158"/>
    <n v="84"/>
    <n v="34578"/>
    <n v="51480"/>
    <n v="180"/>
    <s v="#SoundtrackOfLife"/>
    <s v="#NowPlaying"/>
    <s v="ChillVibes"/>
    <n v="5087"/>
  </r>
  <r>
    <s v="SP084"/>
    <x v="1"/>
    <d v="2024-08-03T00:00:00"/>
    <s v="Text"/>
    <s v="Your weekend playlist is waiting."/>
    <n v="4247"/>
    <n v="390"/>
    <n v="213"/>
    <n v="29785"/>
    <n v="57768"/>
    <n v="122"/>
    <s v="#NowPlaying"/>
    <m/>
    <s v="ChillVibes"/>
    <n v="4850"/>
  </r>
  <r>
    <s v="SP085"/>
    <x v="0"/>
    <d v="2024-08-18T00:00:00"/>
    <s v="Text"/>
    <s v="Explore the latest podcasts now."/>
    <n v="2965"/>
    <n v="328"/>
    <n v="171"/>
    <n v="57685"/>
    <n v="67536"/>
    <n v="264"/>
    <s v="#SoundtrackOfLife"/>
    <s v="#NowPlaying"/>
    <s v="ChillVibes"/>
    <n v="3464"/>
  </r>
  <r>
    <s v="SP086"/>
    <x v="1"/>
    <d v="2025-05-14T00:00:00"/>
    <s v="Story"/>
    <s v="Wrapped is here! Relive your top tracks ðŸŽ§"/>
    <n v="1371"/>
    <n v="139"/>
    <n v="96"/>
    <n v="36140"/>
    <n v="39395"/>
    <n v="169"/>
    <s v="#SoundtrackOfLife"/>
    <s v="#NowPlaying"/>
    <s v="ChillVibes"/>
    <n v="1606"/>
  </r>
  <r>
    <s v="SP087"/>
    <x v="1"/>
    <d v="2024-04-23T00:00:00"/>
    <s v="Story"/>
    <s v="Discover fresh beats on Spotify!"/>
    <n v="2683"/>
    <n v="496"/>
    <n v="89"/>
    <n v="53435"/>
    <n v="30334"/>
    <n v="160"/>
    <s v="#SoundtrackOfLife"/>
    <s v="#NowPlaying"/>
    <s v="ChillVibes"/>
    <n v="3268"/>
  </r>
  <r>
    <s v="SP088"/>
    <x v="1"/>
    <d v="2025-02-17T00:00:00"/>
    <s v="Story"/>
    <s v="Whatâ€™s your vibe today? #SpotifyHits"/>
    <n v="4796"/>
    <n v="427"/>
    <n v="339"/>
    <n v="30752"/>
    <n v="33870"/>
    <n v="298"/>
    <s v="#SoundtrackOfLife"/>
    <s v="#NowPlaying"/>
    <s v="ChillVibes"/>
    <n v="5562"/>
  </r>
  <r>
    <s v="SP089"/>
    <x v="0"/>
    <d v="2024-12-04T00:00:00"/>
    <s v="Text"/>
    <s v="Wrapped is here! Relive your top tracks ðŸŽ§"/>
    <n v="2601"/>
    <n v="336"/>
    <n v="260"/>
    <n v="32368"/>
    <n v="49028"/>
    <n v="120"/>
    <s v="#SoundtrackOfLife"/>
    <s v="#NowPlaying"/>
    <s v="ChillVibes"/>
    <n v="3197"/>
  </r>
  <r>
    <s v="SP090"/>
    <x v="1"/>
    <d v="2024-07-22T00:00:00"/>
    <s v="Story"/>
    <s v="Wrapped is here! Relive your top tracks ðŸŽ§"/>
    <n v="3336"/>
    <n v="229"/>
    <n v="337"/>
    <n v="22117"/>
    <n v="26205"/>
    <n v="160"/>
    <s v="#MusicForEveryone"/>
    <s v="#NowPlaying"/>
    <s v="ChillVibes"/>
    <n v="3902"/>
  </r>
  <r>
    <s v="SP091"/>
    <x v="1"/>
    <d v="2025-04-27T00:00:00"/>
    <s v="Text"/>
    <s v="Explore the latest podcasts now."/>
    <n v="1165"/>
    <n v="294"/>
    <n v="163"/>
    <n v="20659"/>
    <n v="45926"/>
    <n v="111"/>
    <s v="#SoundtrackOfLife"/>
    <m/>
    <s v="IndieWave"/>
    <n v="1622"/>
  </r>
  <r>
    <s v="SP092"/>
    <x v="2"/>
    <d v="2024-03-25T00:00:00"/>
    <s v="Reel"/>
    <s v="Explore the latest podcasts now."/>
    <n v="1948"/>
    <n v="155"/>
    <n v="315"/>
    <n v="30321"/>
    <n v="57121"/>
    <n v="82"/>
    <s v="#DiscoverWeekly"/>
    <s v="#SoundtrackOfLife"/>
    <s v="SummerBeats"/>
    <n v="2418"/>
  </r>
  <r>
    <s v="SP093"/>
    <x v="0"/>
    <d v="2024-02-29T00:00:00"/>
    <s v="Text"/>
    <s v="From pop to podcasts, itâ€™s all here."/>
    <n v="1100"/>
    <n v="229"/>
    <n v="312"/>
    <n v="25641"/>
    <n v="34601"/>
    <n v="169"/>
    <s v="#DiscoverWeekly"/>
    <m/>
    <s v="IndieWave"/>
    <n v="1641"/>
  </r>
  <r>
    <s v="SP094"/>
    <x v="1"/>
    <d v="2024-11-13T00:00:00"/>
    <s v="Story"/>
    <s v="Top trending tracks updated daily!"/>
    <n v="4628"/>
    <n v="257"/>
    <n v="397"/>
    <n v="36686"/>
    <n v="54683"/>
    <n v="98"/>
    <s v="#SoundtrackOfLife"/>
    <s v="#NowPlaying"/>
    <s v="ChillVibes"/>
    <n v="5282"/>
  </r>
  <r>
    <s v="SP095"/>
    <x v="0"/>
    <d v="2024-03-22T00:00:00"/>
    <s v="Story"/>
    <s v="Discover fresh beats on Spotify!"/>
    <n v="2319"/>
    <n v="484"/>
    <n v="193"/>
    <n v="21202"/>
    <n v="18091"/>
    <n v="241"/>
    <s v="#NowPlaying"/>
    <m/>
    <s v="Wrapped2024"/>
    <n v="2996"/>
  </r>
  <r>
    <s v="SP096"/>
    <x v="1"/>
    <d v="2024-03-16T00:00:00"/>
    <s v="Story"/>
    <s v="Wrapped is here! Relive your top tracks ðŸŽ§"/>
    <n v="2895"/>
    <n v="292"/>
    <n v="90"/>
    <n v="24223"/>
    <n v="54626"/>
    <n v="114"/>
    <s v="#SoundtrackOfLife"/>
    <s v="#NowPlaying"/>
    <s v="ChillVibes"/>
    <n v="3277"/>
  </r>
  <r>
    <s v="SP097"/>
    <x v="0"/>
    <d v="2024-01-26T00:00:00"/>
    <s v="Text"/>
    <s v="Whatâ€™s your vibe today? #SpotifyHits"/>
    <n v="3878"/>
    <n v="431"/>
    <n v="97"/>
    <n v="41763"/>
    <n v="29729"/>
    <n v="191"/>
    <s v="#DiscoverWeekly"/>
    <m/>
    <s v="IndieWave"/>
    <n v="4406"/>
  </r>
  <r>
    <s v="SP098"/>
    <x v="1"/>
    <d v="2024-03-15T00:00:00"/>
    <s v="Story"/>
    <s v="Get into the groove with our new drop!"/>
    <n v="4969"/>
    <n v="433"/>
    <n v="237"/>
    <n v="59552"/>
    <n v="23885"/>
    <n v="157"/>
    <s v="#DiscoverWeekly"/>
    <s v="#MusicForEveryone"/>
    <s v="ChillVibes"/>
    <n v="5639"/>
  </r>
  <r>
    <s v="SP099"/>
    <x v="1"/>
    <d v="2024-10-15T00:00:00"/>
    <s v="Text"/>
    <s v="Wrapped is here! Relive your top tracks ðŸŽ§"/>
    <n v="1984"/>
    <n v="481"/>
    <n v="356"/>
    <n v="40681"/>
    <n v="63111"/>
    <n v="258"/>
    <s v="#NowPlaying"/>
    <m/>
    <s v="ChillVibes"/>
    <n v="2821"/>
  </r>
  <r>
    <s v="SP100"/>
    <x v="0"/>
    <d v="2024-07-21T00:00:00"/>
    <s v="Text"/>
    <s v="Discover fresh beats on Spotify!"/>
    <n v="3004"/>
    <n v="415"/>
    <n v="218"/>
    <n v="36090"/>
    <n v="37073"/>
    <n v="181"/>
    <s v="#DiscoverWeekly"/>
    <m/>
    <s v="IndieWave"/>
    <n v="3637"/>
  </r>
  <r>
    <s v="SP101"/>
    <x v="1"/>
    <d v="2024-10-12T00:00:00"/>
    <s v="Text"/>
    <s v="Get into the groove with our new drop!"/>
    <n v="3169"/>
    <n v="386"/>
    <n v="175"/>
    <n v="45012"/>
    <n v="38508"/>
    <n v="218"/>
    <s v="#NowPlaying"/>
    <m/>
    <s v="ChillVibes"/>
    <n v="3730"/>
  </r>
  <r>
    <s v="SP102"/>
    <x v="1"/>
    <d v="2024-10-26T00:00:00"/>
    <s v="Text"/>
    <s v="Discover fresh beats on Spotify!"/>
    <n v="3036"/>
    <n v="293"/>
    <n v="115"/>
    <n v="23776"/>
    <n v="46386"/>
    <n v="282"/>
    <s v="#NowPlaying"/>
    <m/>
    <s v="ChillVibes"/>
    <n v="3444"/>
  </r>
  <r>
    <s v="SP103"/>
    <x v="0"/>
    <d v="2024-02-14T00:00:00"/>
    <s v="Text"/>
    <s v="Music that moves youâ€”only on Spotify."/>
    <n v="1830"/>
    <n v="112"/>
    <n v="181"/>
    <n v="31870"/>
    <n v="55742"/>
    <n v="263"/>
    <s v="#SoundtrackOfLife"/>
    <s v="#NowPlaying"/>
    <s v="ChillVibes"/>
    <n v="2123"/>
  </r>
  <r>
    <s v="SP104"/>
    <x v="1"/>
    <d v="2024-05-01T00:00:00"/>
    <s v="Story"/>
    <s v="Whatâ€™s your vibe today? #SpotifyHits"/>
    <n v="2587"/>
    <n v="447"/>
    <n v="183"/>
    <n v="36266"/>
    <n v="32877"/>
    <n v="132"/>
    <s v="#DiscoverWeekly"/>
    <s v="#MusicForEveryone"/>
    <s v="ChillVibes"/>
    <n v="3217"/>
  </r>
  <r>
    <s v="SP105"/>
    <x v="1"/>
    <d v="2024-09-18T00:00:00"/>
    <s v="Text"/>
    <s v="Discover fresh beats on Spotify!"/>
    <n v="2878"/>
    <n v="265"/>
    <n v="91"/>
    <n v="52090"/>
    <n v="28924"/>
    <n v="133"/>
    <s v="#NowPlaying"/>
    <m/>
    <s v="ChillVibes"/>
    <n v="3234"/>
  </r>
  <r>
    <s v="SP106"/>
    <x v="1"/>
    <d v="2025-01-20T00:00:00"/>
    <s v="Story"/>
    <s v="New music just dropped. Hit play!"/>
    <n v="4619"/>
    <n v="272"/>
    <n v="57"/>
    <n v="21334"/>
    <n v="46292"/>
    <n v="91"/>
    <s v="#SoundtrackOfLife"/>
    <s v="#NowPlaying"/>
    <s v="ChillVibes"/>
    <n v="4948"/>
  </r>
  <r>
    <s v="SP107"/>
    <x v="1"/>
    <d v="2025-01-13T00:00:00"/>
    <s v="Text"/>
    <s v="Music that moves youâ€”only on Spotify."/>
    <n v="4090"/>
    <n v="209"/>
    <n v="278"/>
    <n v="52853"/>
    <n v="57084"/>
    <n v="102"/>
    <s v="#SoundtrackOfLife"/>
    <m/>
    <s v="IndieWave"/>
    <n v="4577"/>
  </r>
  <r>
    <s v="SP108"/>
    <x v="2"/>
    <d v="2024-09-07T00:00:00"/>
    <s v="Reel"/>
    <s v="Music that moves youâ€”only on Spotify."/>
    <n v="3882"/>
    <n v="342"/>
    <n v="374"/>
    <n v="41991"/>
    <n v="48554"/>
    <n v="118"/>
    <s v="#DiscoverWeekly"/>
    <s v="#SoundtrackOfLife"/>
    <s v="SummerBeats"/>
    <n v="4598"/>
  </r>
  <r>
    <s v="SP109"/>
    <x v="0"/>
    <d v="2024-11-21T00:00:00"/>
    <s v="Text"/>
    <s v="Music that moves youâ€”only on Spotify."/>
    <n v="4581"/>
    <n v="181"/>
    <n v="112"/>
    <n v="35221"/>
    <n v="28797"/>
    <n v="164"/>
    <s v="#SoundtrackOfLife"/>
    <s v="#NowPlaying"/>
    <s v="ChillVibes"/>
    <n v="4874"/>
  </r>
  <r>
    <s v="SP110"/>
    <x v="0"/>
    <d v="2024-06-26T00:00:00"/>
    <s v="Text"/>
    <s v="New music just dropped. Hit play!"/>
    <n v="3253"/>
    <n v="483"/>
    <n v="336"/>
    <n v="25397"/>
    <n v="51485"/>
    <n v="131"/>
    <s v="#DiscoverWeekly"/>
    <m/>
    <s v="IndieWave"/>
    <n v="4072"/>
  </r>
  <r>
    <s v="SP111"/>
    <x v="2"/>
    <d v="2024-07-20T00:00:00"/>
    <s v="Reel"/>
    <s v="Music that moves youâ€”only on Spotify."/>
    <n v="4955"/>
    <n v="299"/>
    <n v="345"/>
    <n v="33644"/>
    <n v="43547"/>
    <n v="194"/>
    <s v="#DiscoverWeekly"/>
    <s v="#SoundtrackOfLife"/>
    <s v="SummerBeats"/>
    <n v="5599"/>
  </r>
  <r>
    <s v="SP112"/>
    <x v="0"/>
    <d v="2025-02-16T00:00:00"/>
    <s v="Text"/>
    <s v="Your weekend playlist is waiting."/>
    <n v="1333"/>
    <n v="286"/>
    <n v="298"/>
    <n v="36174"/>
    <n v="34517"/>
    <n v="170"/>
    <s v="#SoundtrackOfLife"/>
    <s v="#NowPlaying"/>
    <s v="ChillVibes"/>
    <n v="1917"/>
  </r>
  <r>
    <s v="SP113"/>
    <x v="0"/>
    <d v="2024-09-09T00:00:00"/>
    <s v="Text"/>
    <s v="New music just dropped. Hit play!"/>
    <n v="1616"/>
    <n v="360"/>
    <n v="180"/>
    <n v="54342"/>
    <n v="18796"/>
    <n v="282"/>
    <s v="#SoundtrackOfLife"/>
    <s v="#NowPlaying"/>
    <s v="ChillVibes"/>
    <n v="2156"/>
  </r>
  <r>
    <s v="SP114"/>
    <x v="1"/>
    <d v="2024-07-16T00:00:00"/>
    <s v="Text"/>
    <s v="Top trending tracks updated daily!"/>
    <n v="1803"/>
    <n v="273"/>
    <n v="287"/>
    <n v="46176"/>
    <n v="25488"/>
    <n v="141"/>
    <s v="#NowPlaying"/>
    <m/>
    <s v="ChillVibes"/>
    <n v="2363"/>
  </r>
  <r>
    <s v="SP115"/>
    <x v="0"/>
    <d v="2025-04-15T00:00:00"/>
    <s v="Text"/>
    <s v="Explore the latest podcasts now."/>
    <n v="4177"/>
    <n v="489"/>
    <n v="331"/>
    <n v="57451"/>
    <n v="73793"/>
    <n v="251"/>
    <s v="#DiscoverWeekly"/>
    <m/>
    <s v="IndieWave"/>
    <n v="4997"/>
  </r>
  <r>
    <s v="SP116"/>
    <x v="0"/>
    <d v="2025-05-04T00:00:00"/>
    <s v="Story"/>
    <s v="New music just dropped. Hit play!"/>
    <n v="1311"/>
    <n v="181"/>
    <n v="361"/>
    <n v="37148"/>
    <n v="44875"/>
    <n v="245"/>
    <s v="#NowPlaying"/>
    <m/>
    <s v="Wrapped2024"/>
    <n v="1853"/>
  </r>
  <r>
    <s v="SP117"/>
    <x v="0"/>
    <d v="2024-02-18T00:00:00"/>
    <s v="Story"/>
    <s v="From pop to podcasts, itâ€™s all here."/>
    <n v="1516"/>
    <n v="215"/>
    <n v="332"/>
    <n v="58981"/>
    <n v="36118"/>
    <n v="211"/>
    <s v="#NowPlaying"/>
    <m/>
    <s v="Wrapped2024"/>
    <n v="2063"/>
  </r>
  <r>
    <s v="SP118"/>
    <x v="1"/>
    <d v="2024-05-16T00:00:00"/>
    <s v="Story"/>
    <s v="Music that moves youâ€”only on Spotify."/>
    <n v="2023"/>
    <n v="124"/>
    <n v="99"/>
    <n v="54524"/>
    <n v="34790"/>
    <n v="195"/>
    <s v="#DiscoverWeekly"/>
    <s v="#MusicForEveryone"/>
    <s v="ChillVibes"/>
    <n v="2246"/>
  </r>
  <r>
    <s v="SP119"/>
    <x v="1"/>
    <d v="2025-05-29T00:00:00"/>
    <s v="Story"/>
    <s v="Music that moves youâ€”only on Spotify."/>
    <n v="2134"/>
    <n v="322"/>
    <n v="114"/>
    <n v="44338"/>
    <n v="52165"/>
    <n v="176"/>
    <s v="#MusicForEveryone"/>
    <s v="#NowPlaying"/>
    <s v="ChillVibes"/>
    <n v="2570"/>
  </r>
  <r>
    <s v="SP120"/>
    <x v="0"/>
    <d v="2025-01-17T00:00:00"/>
    <s v="Text"/>
    <s v="Top trending tracks updated daily!"/>
    <n v="2266"/>
    <n v="126"/>
    <n v="140"/>
    <n v="53759"/>
    <n v="46834"/>
    <n v="277"/>
    <s v="#DiscoverWeekly"/>
    <m/>
    <s v="IndieWave"/>
    <n v="2532"/>
  </r>
  <r>
    <s v="SP121"/>
    <x v="0"/>
    <d v="2025-04-30T00:00:00"/>
    <s v="Story"/>
    <s v="New music just dropped. Hit play!"/>
    <n v="3916"/>
    <n v="459"/>
    <n v="229"/>
    <n v="48989"/>
    <n v="39768"/>
    <n v="200"/>
    <s v="#NowPlaying"/>
    <m/>
    <s v="Wrapped2024"/>
    <n v="4604"/>
  </r>
  <r>
    <s v="SP122"/>
    <x v="1"/>
    <d v="2024-02-24T00:00:00"/>
    <s v="Story"/>
    <s v="Music that moves youâ€”only on Spotify."/>
    <n v="1022"/>
    <n v="463"/>
    <n v="360"/>
    <n v="51468"/>
    <n v="24279"/>
    <n v="230"/>
    <s v="#DiscoverWeekly"/>
    <s v="#MusicForEveryone"/>
    <s v="ChillVibes"/>
    <n v="1845"/>
  </r>
  <r>
    <s v="SP123"/>
    <x v="2"/>
    <d v="2024-05-12T00:00:00"/>
    <s v="Text"/>
    <s v="From pop to podcasts, itâ€™s all here."/>
    <n v="2911"/>
    <n v="467"/>
    <n v="94"/>
    <n v="59083"/>
    <n v="49762"/>
    <n v="236"/>
    <s v="#DiscoverWeekly"/>
    <s v="#SpotifyWrapped"/>
    <s v="IndieWave"/>
    <n v="3472"/>
  </r>
  <r>
    <s v="SP124"/>
    <x v="1"/>
    <d v="2024-05-09T00:00:00"/>
    <s v="Story"/>
    <s v="New music just dropped. Hit play!"/>
    <n v="3277"/>
    <n v="423"/>
    <n v="259"/>
    <n v="46328"/>
    <n v="44293"/>
    <n v="299"/>
    <s v="#SoundtrackOfLife"/>
    <s v="#NowPlaying"/>
    <s v="ChillVibes"/>
    <n v="3959"/>
  </r>
  <r>
    <s v="SP125"/>
    <x v="1"/>
    <d v="2024-11-06T00:00:00"/>
    <s v="Text"/>
    <s v="From pop to podcasts, itâ€™s all here."/>
    <n v="2956"/>
    <n v="381"/>
    <n v="345"/>
    <n v="33347"/>
    <n v="22558"/>
    <n v="173"/>
    <s v="#NowPlaying"/>
    <m/>
    <s v="ChillVibes"/>
    <n v="3682"/>
  </r>
  <r>
    <s v="SP126"/>
    <x v="1"/>
    <d v="2024-01-04T00:00:00"/>
    <s v="Story"/>
    <s v="Whatâ€™s your vibe today? #SpotifyHits"/>
    <n v="3208"/>
    <n v="476"/>
    <n v="277"/>
    <n v="56072"/>
    <n v="21061"/>
    <n v="113"/>
    <s v="#MusicForEveryone"/>
    <s v="#NowPlaying"/>
    <s v="ChillVibes"/>
    <n v="3961"/>
  </r>
  <r>
    <s v="SP127"/>
    <x v="1"/>
    <d v="2024-01-28T00:00:00"/>
    <s v="Text"/>
    <s v="Music that moves youâ€”only on Spotify."/>
    <n v="1456"/>
    <n v="265"/>
    <n v="137"/>
    <n v="53485"/>
    <n v="59729"/>
    <n v="145"/>
    <s v="#SoundtrackOfLife"/>
    <m/>
    <s v="IndieWave"/>
    <n v="1858"/>
  </r>
  <r>
    <s v="SP128"/>
    <x v="0"/>
    <d v="2024-02-22T00:00:00"/>
    <s v="Text"/>
    <s v="New music just dropped. Hit play!"/>
    <n v="1902"/>
    <n v="394"/>
    <n v="279"/>
    <n v="24615"/>
    <n v="51330"/>
    <n v="176"/>
    <s v="#SoundtrackOfLife"/>
    <s v="#NowPlaying"/>
    <s v="ChillVibes"/>
    <n v="2575"/>
  </r>
  <r>
    <s v="SP129"/>
    <x v="1"/>
    <d v="2025-07-01T00:00:00"/>
    <s v="Story"/>
    <s v="Explore the latest podcasts now."/>
    <n v="3219"/>
    <n v="424"/>
    <n v="267"/>
    <n v="48879"/>
    <n v="37691"/>
    <n v="224"/>
    <s v="#DiscoverWeekly"/>
    <s v="#MusicForEveryone"/>
    <s v="ChillVibes"/>
    <n v="3910"/>
  </r>
  <r>
    <s v="SP130"/>
    <x v="2"/>
    <d v="2024-01-10T00:00:00"/>
    <s v="Text"/>
    <s v="Explore the latest podcasts now."/>
    <n v="1261"/>
    <n v="190"/>
    <n v="233"/>
    <n v="59888"/>
    <n v="51449"/>
    <n v="205"/>
    <s v="#DiscoverWeekly"/>
    <s v="#SpotifyWrapped"/>
    <s v="IndieWave"/>
    <n v="1684"/>
  </r>
  <r>
    <s v="SP131"/>
    <x v="1"/>
    <d v="2025-03-20T00:00:00"/>
    <s v="Text"/>
    <s v="Your weekend playlist is waiting."/>
    <n v="1564"/>
    <n v="362"/>
    <n v="371"/>
    <n v="42075"/>
    <n v="66659"/>
    <n v="205"/>
    <s v="#SoundtrackOfLife"/>
    <m/>
    <s v="IndieWave"/>
    <n v="2297"/>
  </r>
  <r>
    <s v="SP132"/>
    <x v="1"/>
    <d v="2024-09-28T00:00:00"/>
    <s v="Text"/>
    <s v="Whatâ€™s your vibe today? #SpotifyHits"/>
    <n v="4006"/>
    <n v="420"/>
    <n v="194"/>
    <n v="49964"/>
    <n v="20685"/>
    <n v="148"/>
    <s v="#NowPlaying"/>
    <m/>
    <s v="ChillVibes"/>
    <n v="4620"/>
  </r>
  <r>
    <s v="SP133"/>
    <x v="2"/>
    <d v="2024-01-27T00:00:00"/>
    <s v="Text"/>
    <s v="Your weekend playlist is waiting."/>
    <n v="1976"/>
    <n v="262"/>
    <n v="218"/>
    <n v="51696"/>
    <n v="44846"/>
    <n v="139"/>
    <s v="#DiscoverWeekly"/>
    <s v="#SpotifyWrapped"/>
    <s v="IndieWave"/>
    <n v="2456"/>
  </r>
  <r>
    <s v="SP134"/>
    <x v="1"/>
    <d v="2025-05-15T00:00:00"/>
    <s v="Text"/>
    <s v="New music just dropped. Hit play!"/>
    <n v="1583"/>
    <n v="433"/>
    <n v="249"/>
    <n v="30256"/>
    <n v="47066"/>
    <n v="196"/>
    <s v="#NowPlaying"/>
    <m/>
    <s v="ChillVibes"/>
    <n v="2265"/>
  </r>
  <r>
    <s v="SP135"/>
    <x v="1"/>
    <d v="2024-10-04T00:00:00"/>
    <s v="Story"/>
    <s v="Explore the latest podcasts now."/>
    <n v="2870"/>
    <n v="380"/>
    <n v="393"/>
    <n v="37621"/>
    <n v="71794"/>
    <n v="127"/>
    <s v="#MusicForEveryone"/>
    <s v="#NowPlaying"/>
    <s v="ChillVibes"/>
    <n v="3643"/>
  </r>
  <r>
    <s v="SP136"/>
    <x v="1"/>
    <d v="2024-11-19T00:00:00"/>
    <s v="Text"/>
    <s v="Top trending tracks updated daily!"/>
    <n v="3728"/>
    <n v="271"/>
    <n v="275"/>
    <n v="22827"/>
    <n v="37034"/>
    <n v="199"/>
    <s v="#NowPlaying"/>
    <m/>
    <s v="ChillVibes"/>
    <n v="4274"/>
  </r>
  <r>
    <s v="SP137"/>
    <x v="1"/>
    <d v="2024-04-05T00:00:00"/>
    <s v="Story"/>
    <s v="New music just dropped. Hit play!"/>
    <n v="4965"/>
    <n v="175"/>
    <n v="307"/>
    <n v="32793"/>
    <n v="43412"/>
    <n v="296"/>
    <s v="#SoundtrackOfLife"/>
    <s v="#NowPlaying"/>
    <s v="ChillVibes"/>
    <n v="5447"/>
  </r>
  <r>
    <s v="SP138"/>
    <x v="1"/>
    <d v="2024-11-28T00:00:00"/>
    <s v="Story"/>
    <s v="New music just dropped. Hit play!"/>
    <n v="1131"/>
    <n v="100"/>
    <n v="116"/>
    <n v="48437"/>
    <n v="72704"/>
    <n v="236"/>
    <s v="#DiscoverWeekly"/>
    <s v="#MusicForEveryone"/>
    <s v="ChillVibes"/>
    <n v="1347"/>
  </r>
  <r>
    <s v="SP139"/>
    <x v="1"/>
    <d v="2025-03-09T00:00:00"/>
    <s v="Text"/>
    <s v="Your weekend playlist is waiting."/>
    <n v="2754"/>
    <n v="215"/>
    <n v="264"/>
    <n v="27762"/>
    <n v="70203"/>
    <n v="289"/>
    <s v="#NowPlaying"/>
    <m/>
    <s v="ChillVibes"/>
    <n v="3233"/>
  </r>
  <r>
    <s v="SP140"/>
    <x v="1"/>
    <d v="2024-08-27T00:00:00"/>
    <s v="Story"/>
    <s v="New music just dropped. Hit play!"/>
    <n v="1856"/>
    <n v="357"/>
    <n v="348"/>
    <n v="29428"/>
    <n v="70206"/>
    <n v="236"/>
    <s v="#MusicForEveryone"/>
    <s v="#NowPlaying"/>
    <s v="ChillVibes"/>
    <n v="2561"/>
  </r>
  <r>
    <s v="SP141"/>
    <x v="2"/>
    <d v="2024-10-01T00:00:00"/>
    <s v="Reel"/>
    <s v="Explore the latest podcasts now."/>
    <n v="3543"/>
    <n v="334"/>
    <n v="218"/>
    <n v="58007"/>
    <n v="24792"/>
    <n v="273"/>
    <s v="#DiscoverWeekly"/>
    <s v="#SoundtrackOfLife"/>
    <s v="SummerBeats"/>
    <n v="4095"/>
  </r>
  <r>
    <s v="SP142"/>
    <x v="0"/>
    <d v="2024-12-21T00:00:00"/>
    <s v="Story"/>
    <s v="New music just dropped. Hit play!"/>
    <n v="4563"/>
    <n v="398"/>
    <n v="163"/>
    <n v="43679"/>
    <n v="48760"/>
    <n v="92"/>
    <s v="#NowPlaying"/>
    <m/>
    <s v="Wrapped2024"/>
    <n v="5124"/>
  </r>
  <r>
    <s v="SP143"/>
    <x v="0"/>
    <d v="2024-06-17T00:00:00"/>
    <s v="Text"/>
    <s v="Discover fresh beats on Spotify!"/>
    <n v="4283"/>
    <n v="471"/>
    <n v="156"/>
    <n v="53004"/>
    <n v="25678"/>
    <n v="105"/>
    <s v="#DiscoverWeekly"/>
    <m/>
    <s v="IndieWave"/>
    <n v="4910"/>
  </r>
  <r>
    <s v="SP144"/>
    <x v="0"/>
    <d v="2025-02-14T00:00:00"/>
    <s v="Text"/>
    <s v="Discover fresh beats on Spotify!"/>
    <n v="2329"/>
    <n v="373"/>
    <n v="291"/>
    <n v="49577"/>
    <n v="28002"/>
    <n v="82"/>
    <s v="#SoundtrackOfLife"/>
    <s v="#NowPlaying"/>
    <s v="ChillVibes"/>
    <n v="2993"/>
  </r>
  <r>
    <s v="SP145"/>
    <x v="1"/>
    <d v="2025-05-28T00:00:00"/>
    <s v="Story"/>
    <s v="Top trending tracks updated daily!"/>
    <n v="4287"/>
    <n v="273"/>
    <n v="122"/>
    <n v="40792"/>
    <n v="23878"/>
    <n v="277"/>
    <s v="#MusicForEveryone"/>
    <s v="#NowPlaying"/>
    <s v="ChillVibes"/>
    <n v="4682"/>
  </r>
  <r>
    <s v="SP146"/>
    <x v="0"/>
    <d v="2025-05-22T00:00:00"/>
    <s v="Text"/>
    <s v="Discover fresh beats on Spotify!"/>
    <n v="2633"/>
    <n v="318"/>
    <n v="380"/>
    <n v="40869"/>
    <n v="64474"/>
    <n v="245"/>
    <s v="#DiscoverWeekly"/>
    <m/>
    <s v="IndieWave"/>
    <n v="3331"/>
  </r>
  <r>
    <s v="SP147"/>
    <x v="1"/>
    <d v="2024-01-21T00:00:00"/>
    <s v="Story"/>
    <s v="Discover fresh beats on Spotify!"/>
    <n v="2383"/>
    <n v="136"/>
    <n v="302"/>
    <n v="39187"/>
    <n v="22133"/>
    <n v="208"/>
    <s v="#MusicForEveryone"/>
    <s v="#NowPlaying"/>
    <s v="ChillVibes"/>
    <n v="2821"/>
  </r>
  <r>
    <s v="SP148"/>
    <x v="1"/>
    <d v="2025-02-08T00:00:00"/>
    <s v="Story"/>
    <s v="Your weekend playlist is waiting."/>
    <n v="4752"/>
    <n v="334"/>
    <n v="56"/>
    <n v="48017"/>
    <n v="55534"/>
    <n v="270"/>
    <s v="#DiscoverWeekly"/>
    <s v="#MusicForEveryone"/>
    <s v="ChillVibes"/>
    <n v="5142"/>
  </r>
  <r>
    <s v="SP149"/>
    <x v="1"/>
    <d v="2025-04-13T00:00:00"/>
    <s v="Text"/>
    <s v="From pop to podcasts, itâ€™s all here."/>
    <n v="3890"/>
    <n v="408"/>
    <n v="338"/>
    <n v="56994"/>
    <n v="32621"/>
    <n v="286"/>
    <s v="#SoundtrackOfLife"/>
    <m/>
    <s v="IndieWave"/>
    <n v="4636"/>
  </r>
  <r>
    <s v="SP150"/>
    <x v="1"/>
    <d v="2024-05-30T00:00:00"/>
    <s v="Story"/>
    <s v="Your weekend playlist is waiting."/>
    <n v="2311"/>
    <n v="207"/>
    <n v="363"/>
    <n v="30349"/>
    <n v="32925"/>
    <n v="88"/>
    <s v="#MusicForEveryone"/>
    <s v="#NowPlaying"/>
    <s v="ChillVibes"/>
    <n v="2881"/>
  </r>
  <r>
    <s v="SP151"/>
    <x v="0"/>
    <d v="2024-08-12T00:00:00"/>
    <s v="Story"/>
    <s v="Discover fresh beats on Spotify!"/>
    <n v="2962"/>
    <n v="400"/>
    <n v="280"/>
    <n v="52508"/>
    <n v="58329"/>
    <n v="219"/>
    <s v="#NowPlaying"/>
    <m/>
    <s v="Wrapped2024"/>
    <n v="3642"/>
  </r>
  <r>
    <s v="SP152"/>
    <x v="0"/>
    <d v="2024-09-27T00:00:00"/>
    <s v="Text"/>
    <s v="Discover fresh beats on Spotify!"/>
    <n v="3118"/>
    <n v="116"/>
    <n v="195"/>
    <n v="37100"/>
    <n v="62629"/>
    <n v="272"/>
    <s v="#DiscoverWeekly"/>
    <m/>
    <s v="IndieWave"/>
    <n v="3429"/>
  </r>
  <r>
    <s v="SP153"/>
    <x v="1"/>
    <d v="2025-06-11T00:00:00"/>
    <s v="Story"/>
    <s v="Explore the latest podcasts now."/>
    <n v="3805"/>
    <n v="453"/>
    <n v="63"/>
    <n v="52395"/>
    <n v="72934"/>
    <n v="87"/>
    <s v="#DiscoverWeekly"/>
    <s v="#MusicForEveryone"/>
    <s v="ChillVibes"/>
    <n v="4321"/>
  </r>
  <r>
    <s v="SP154"/>
    <x v="0"/>
    <d v="2024-11-19T00:00:00"/>
    <s v="Text"/>
    <s v="Whatâ€™s your vibe today? #SpotifyHits"/>
    <n v="2525"/>
    <n v="272"/>
    <n v="294"/>
    <n v="51875"/>
    <n v="24732"/>
    <n v="92"/>
    <s v="#DiscoverWeekly"/>
    <m/>
    <s v="IndieWave"/>
    <n v="3091"/>
  </r>
  <r>
    <s v="SP155"/>
    <x v="0"/>
    <d v="2024-04-25T00:00:00"/>
    <s v="Text"/>
    <s v="Music that moves youâ€”only on Spotify."/>
    <n v="3563"/>
    <n v="483"/>
    <n v="227"/>
    <n v="41085"/>
    <n v="26393"/>
    <n v="236"/>
    <s v="#SoundtrackOfLife"/>
    <s v="#NowPlaying"/>
    <s v="ChillVibes"/>
    <n v="4273"/>
  </r>
  <r>
    <s v="SP156"/>
    <x v="2"/>
    <d v="2024-09-03T00:00:00"/>
    <s v="Reel"/>
    <s v="Whatâ€™s your vibe today? #SpotifyHits"/>
    <n v="1437"/>
    <n v="494"/>
    <n v="129"/>
    <n v="53048"/>
    <n v="44090"/>
    <n v="230"/>
    <s v="#DiscoverWeekly"/>
    <s v="#SoundtrackOfLife"/>
    <s v="SummerBeats"/>
    <n v="2060"/>
  </r>
  <r>
    <s v="SP157"/>
    <x v="2"/>
    <d v="2025-03-02T00:00:00"/>
    <s v="Text"/>
    <s v="From pop to podcasts, itâ€™s all here."/>
    <n v="4425"/>
    <n v="185"/>
    <n v="162"/>
    <n v="24610"/>
    <n v="21342"/>
    <n v="158"/>
    <s v="#DiscoverWeekly"/>
    <s v="#SpotifyWrapped"/>
    <s v="IndieWave"/>
    <n v="4772"/>
  </r>
  <r>
    <s v="SP158"/>
    <x v="1"/>
    <d v="2025-03-21T00:00:00"/>
    <s v="Story"/>
    <s v="New music just dropped. Hit play!"/>
    <n v="4609"/>
    <n v="427"/>
    <n v="395"/>
    <n v="33698"/>
    <n v="29259"/>
    <n v="216"/>
    <s v="#DiscoverWeekly"/>
    <s v="#MusicForEveryone"/>
    <s v="ChillVibes"/>
    <n v="5431"/>
  </r>
  <r>
    <s v="SP159"/>
    <x v="0"/>
    <d v="2024-04-12T00:00:00"/>
    <s v="Story"/>
    <s v="Get into the groove with our new drop!"/>
    <n v="1558"/>
    <n v="352"/>
    <n v="202"/>
    <n v="25405"/>
    <n v="69941"/>
    <n v="219"/>
    <s v="#NowPlaying"/>
    <m/>
    <s v="Wrapped2024"/>
    <n v="2112"/>
  </r>
  <r>
    <s v="SP160"/>
    <x v="2"/>
    <d v="2024-02-08T00:00:00"/>
    <s v="Reel"/>
    <s v="Top trending tracks updated daily!"/>
    <n v="1889"/>
    <n v="298"/>
    <n v="122"/>
    <n v="46225"/>
    <n v="74305"/>
    <n v="293"/>
    <s v="#DiscoverWeekly"/>
    <s v="#SoundtrackOfLife"/>
    <s v="SummerBeats"/>
    <n v="2309"/>
  </r>
  <r>
    <s v="SP161"/>
    <x v="0"/>
    <d v="2025-05-26T00:00:00"/>
    <s v="Text"/>
    <s v="Discover fresh beats on Spotify!"/>
    <n v="3086"/>
    <n v="148"/>
    <n v="310"/>
    <n v="22824"/>
    <n v="58103"/>
    <n v="275"/>
    <s v="#DiscoverWeekly"/>
    <m/>
    <s v="IndieWave"/>
    <n v="3544"/>
  </r>
  <r>
    <s v="SP162"/>
    <x v="0"/>
    <d v="2024-11-14T00:00:00"/>
    <s v="Text"/>
    <s v="Music that moves youâ€”only on Spotify."/>
    <n v="2422"/>
    <n v="318"/>
    <n v="118"/>
    <n v="25386"/>
    <n v="20873"/>
    <n v="100"/>
    <s v="#SoundtrackOfLife"/>
    <s v="#NowPlaying"/>
    <s v="ChillVibes"/>
    <n v="2858"/>
  </r>
  <r>
    <s v="SP163"/>
    <x v="2"/>
    <d v="2024-08-09T00:00:00"/>
    <s v="Reel"/>
    <s v="From pop to podcasts, itâ€™s all here."/>
    <n v="3414"/>
    <n v="154"/>
    <n v="204"/>
    <n v="34146"/>
    <n v="44633"/>
    <n v="256"/>
    <s v="#DiscoverWeekly"/>
    <s v="#SoundtrackOfLife"/>
    <s v="SummerBeats"/>
    <n v="3772"/>
  </r>
  <r>
    <s v="SP164"/>
    <x v="0"/>
    <d v="2025-06-27T00:00:00"/>
    <s v="Story"/>
    <s v="Whatâ€™s your vibe today? #SpotifyHits"/>
    <n v="1342"/>
    <n v="332"/>
    <n v="163"/>
    <n v="51712"/>
    <n v="57922"/>
    <n v="168"/>
    <s v="#NowPlaying"/>
    <m/>
    <s v="Wrapped2024"/>
    <n v="1837"/>
  </r>
  <r>
    <s v="SP165"/>
    <x v="0"/>
    <d v="2024-05-08T00:00:00"/>
    <s v="Story"/>
    <s v="Music that moves youâ€”only on Spotify."/>
    <n v="2414"/>
    <n v="220"/>
    <n v="280"/>
    <n v="27355"/>
    <n v="50562"/>
    <n v="258"/>
    <s v="#NowPlaying"/>
    <m/>
    <s v="Wrapped2024"/>
    <n v="2914"/>
  </r>
  <r>
    <s v="SP166"/>
    <x v="0"/>
    <d v="2024-04-05T00:00:00"/>
    <s v="Text"/>
    <s v="New music just dropped. Hit play!"/>
    <n v="4383"/>
    <n v="352"/>
    <n v="176"/>
    <n v="53239"/>
    <n v="34168"/>
    <n v="288"/>
    <s v="#DiscoverWeekly"/>
    <m/>
    <s v="IndieWave"/>
    <n v="4911"/>
  </r>
  <r>
    <s v="SP167"/>
    <x v="2"/>
    <d v="2025-01-27T00:00:00"/>
    <s v="Text"/>
    <s v="Wrapped is here! Relive your top tracks ðŸŽ§"/>
    <n v="4294"/>
    <n v="423"/>
    <n v="93"/>
    <n v="29828"/>
    <n v="73144"/>
    <n v="298"/>
    <s v="#DiscoverWeekly"/>
    <s v="#SpotifyWrapped"/>
    <s v="IndieWave"/>
    <n v="4810"/>
  </r>
  <r>
    <s v="SP168"/>
    <x v="0"/>
    <d v="2024-04-03T00:00:00"/>
    <s v="Text"/>
    <s v="Top trending tracks updated daily!"/>
    <n v="2762"/>
    <n v="339"/>
    <n v="323"/>
    <n v="33757"/>
    <n v="68511"/>
    <n v="121"/>
    <s v="#SoundtrackOfLife"/>
    <s v="#NowPlaying"/>
    <s v="ChillVibes"/>
    <n v="3424"/>
  </r>
  <r>
    <s v="SP169"/>
    <x v="2"/>
    <d v="2025-01-03T00:00:00"/>
    <s v="Text"/>
    <s v="New music just dropped. Hit play!"/>
    <n v="3782"/>
    <n v="484"/>
    <n v="144"/>
    <n v="52172"/>
    <n v="59386"/>
    <n v="175"/>
    <s v="#DiscoverWeekly"/>
    <s v="#SpotifyWrapped"/>
    <s v="IndieWave"/>
    <n v="4410"/>
  </r>
  <r>
    <s v="SP170"/>
    <x v="1"/>
    <d v="2024-11-23T00:00:00"/>
    <s v="Text"/>
    <s v="New music just dropped. Hit play!"/>
    <n v="4318"/>
    <n v="371"/>
    <n v="329"/>
    <n v="32347"/>
    <n v="68956"/>
    <n v="259"/>
    <s v="#SoundtrackOfLife"/>
    <m/>
    <s v="IndieWave"/>
    <n v="5018"/>
  </r>
  <r>
    <s v="SP171"/>
    <x v="0"/>
    <d v="2024-09-01T00:00:00"/>
    <s v="Story"/>
    <s v="Wrapped is here! Relive your top tracks ðŸŽ§"/>
    <n v="2335"/>
    <n v="150"/>
    <n v="75"/>
    <n v="26114"/>
    <n v="57549"/>
    <n v="135"/>
    <s v="#NowPlaying"/>
    <m/>
    <s v="Wrapped2024"/>
    <n v="2560"/>
  </r>
  <r>
    <s v="SP172"/>
    <x v="2"/>
    <d v="2024-04-18T00:00:00"/>
    <s v="Text"/>
    <s v="Explore the latest podcasts now."/>
    <n v="4023"/>
    <n v="293"/>
    <n v="91"/>
    <n v="26795"/>
    <n v="28924"/>
    <n v="278"/>
    <s v="#DiscoverWeekly"/>
    <s v="#SpotifyWrapped"/>
    <s v="IndieWave"/>
    <n v="4407"/>
  </r>
  <r>
    <s v="SP173"/>
    <x v="0"/>
    <d v="2024-06-04T00:00:00"/>
    <s v="Text"/>
    <s v="Get into the groove with our new drop!"/>
    <n v="3948"/>
    <n v="151"/>
    <n v="249"/>
    <n v="43147"/>
    <n v="63136"/>
    <n v="230"/>
    <s v="#DiscoverWeekly"/>
    <m/>
    <s v="IndieWave"/>
    <n v="4348"/>
  </r>
  <r>
    <s v="SP174"/>
    <x v="2"/>
    <d v="2025-04-02T00:00:00"/>
    <s v="Text"/>
    <s v="Wrapped is here! Relive your top tracks ðŸŽ§"/>
    <n v="4598"/>
    <n v="455"/>
    <n v="378"/>
    <n v="52952"/>
    <n v="58504"/>
    <n v="269"/>
    <s v="#DiscoverWeekly"/>
    <s v="#SpotifyWrapped"/>
    <s v="IndieWave"/>
    <n v="5431"/>
  </r>
  <r>
    <s v="SP175"/>
    <x v="1"/>
    <d v="2025-04-01T00:00:00"/>
    <s v="Story"/>
    <s v="Music that moves youâ€”only on Spotify."/>
    <n v="2665"/>
    <n v="143"/>
    <n v="315"/>
    <n v="54808"/>
    <n v="29818"/>
    <n v="98"/>
    <s v="#DiscoverWeekly"/>
    <s v="#MusicForEveryone"/>
    <s v="ChillVibes"/>
    <n v="3123"/>
  </r>
  <r>
    <s v="SP176"/>
    <x v="0"/>
    <d v="2024-07-02T00:00:00"/>
    <s v="Text"/>
    <s v="Top trending tracks updated daily!"/>
    <n v="3469"/>
    <n v="371"/>
    <n v="76"/>
    <n v="46493"/>
    <n v="26906"/>
    <n v="150"/>
    <s v="#SoundtrackOfLife"/>
    <s v="#NowPlaying"/>
    <s v="ChillVibes"/>
    <n v="3916"/>
  </r>
  <r>
    <s v="SP177"/>
    <x v="1"/>
    <d v="2024-11-10T00:00:00"/>
    <s v="Text"/>
    <s v="Explore the latest podcasts now."/>
    <n v="4823"/>
    <n v="489"/>
    <n v="302"/>
    <n v="32470"/>
    <n v="31861"/>
    <n v="178"/>
    <s v="#SoundtrackOfLife"/>
    <m/>
    <s v="IndieWave"/>
    <n v="5614"/>
  </r>
  <r>
    <s v="SP178"/>
    <x v="0"/>
    <d v="2024-12-14T00:00:00"/>
    <s v="Story"/>
    <s v="From pop to podcasts, itâ€™s all here."/>
    <n v="3812"/>
    <n v="321"/>
    <n v="289"/>
    <n v="59838"/>
    <n v="36337"/>
    <n v="161"/>
    <s v="#NowPlaying"/>
    <m/>
    <s v="Wrapped2024"/>
    <n v="4422"/>
  </r>
  <r>
    <s v="SP179"/>
    <x v="1"/>
    <d v="2024-11-19T00:00:00"/>
    <s v="Text"/>
    <s v="Explore the latest podcasts now."/>
    <n v="2387"/>
    <n v="353"/>
    <n v="78"/>
    <n v="39745"/>
    <n v="69226"/>
    <n v="208"/>
    <s v="#SoundtrackOfLife"/>
    <m/>
    <s v="IndieWave"/>
    <n v="2818"/>
  </r>
  <r>
    <s v="SP180"/>
    <x v="1"/>
    <d v="2025-04-30T00:00:00"/>
    <s v="Story"/>
    <s v="Wrapped is here! Relive your top tracks ðŸŽ§"/>
    <n v="3929"/>
    <n v="275"/>
    <n v="330"/>
    <n v="58329"/>
    <n v="33196"/>
    <n v="85"/>
    <s v="#MusicForEveryone"/>
    <s v="#NowPlaying"/>
    <s v="ChillVibes"/>
    <n v="4534"/>
  </r>
  <r>
    <s v="SP181"/>
    <x v="1"/>
    <d v="2024-03-19T00:00:00"/>
    <s v="Text"/>
    <s v="From pop to podcasts, itâ€™s all here."/>
    <n v="2191"/>
    <n v="288"/>
    <n v="83"/>
    <n v="59606"/>
    <n v="24765"/>
    <n v="281"/>
    <s v="#SoundtrackOfLife"/>
    <m/>
    <s v="IndieWave"/>
    <n v="2562"/>
  </r>
  <r>
    <s v="SP182"/>
    <x v="0"/>
    <d v="2024-03-19T00:00:00"/>
    <s v="Text"/>
    <s v="From pop to podcasts, itâ€™s all here."/>
    <n v="2878"/>
    <n v="278"/>
    <n v="255"/>
    <n v="47235"/>
    <n v="57922"/>
    <n v="112"/>
    <s v="#SoundtrackOfLife"/>
    <s v="#NowPlaying"/>
    <s v="ChillVibes"/>
    <n v="3411"/>
  </r>
  <r>
    <s v="SP183"/>
    <x v="1"/>
    <d v="2024-07-23T00:00:00"/>
    <s v="Text"/>
    <s v="Top trending tracks updated daily!"/>
    <n v="3204"/>
    <n v="398"/>
    <n v="85"/>
    <n v="22020"/>
    <n v="58353"/>
    <n v="286"/>
    <s v="#SoundtrackOfLife"/>
    <m/>
    <s v="IndieWave"/>
    <n v="3687"/>
  </r>
  <r>
    <s v="SP184"/>
    <x v="1"/>
    <d v="2024-07-13T00:00:00"/>
    <s v="Story"/>
    <s v="Get into the groove with our new drop!"/>
    <n v="2408"/>
    <n v="323"/>
    <n v="251"/>
    <n v="47599"/>
    <n v="35543"/>
    <n v="287"/>
    <s v="#MusicForEveryone"/>
    <s v="#NowPlaying"/>
    <s v="ChillVibes"/>
    <n v="2982"/>
  </r>
  <r>
    <s v="SP185"/>
    <x v="2"/>
    <d v="2025-04-22T00:00:00"/>
    <s v="Reel"/>
    <s v="New music just dropped. Hit play!"/>
    <n v="2733"/>
    <n v="297"/>
    <n v="235"/>
    <n v="37980"/>
    <n v="33058"/>
    <n v="219"/>
    <s v="#DiscoverWeekly"/>
    <s v="#SoundtrackOfLife"/>
    <s v="SummerBeats"/>
    <n v="3265"/>
  </r>
  <r>
    <s v="SP186"/>
    <x v="1"/>
    <d v="2024-06-16T00:00:00"/>
    <s v="Story"/>
    <s v="Explore the latest podcasts now."/>
    <n v="4618"/>
    <n v="312"/>
    <n v="254"/>
    <n v="22571"/>
    <n v="29453"/>
    <n v="197"/>
    <s v="#MusicForEveryone"/>
    <s v="#NowPlaying"/>
    <s v="ChillVibes"/>
    <n v="5184"/>
  </r>
  <r>
    <s v="SP187"/>
    <x v="2"/>
    <d v="2025-05-18T00:00:00"/>
    <s v="Reel"/>
    <s v="Wrapped is here! Relive your top tracks ðŸŽ§"/>
    <n v="4210"/>
    <n v="319"/>
    <n v="350"/>
    <n v="37762"/>
    <n v="55162"/>
    <n v="204"/>
    <s v="#DiscoverWeekly"/>
    <s v="#SoundtrackOfLife"/>
    <s v="SummerBeats"/>
    <n v="4879"/>
  </r>
  <r>
    <s v="SP188"/>
    <x v="0"/>
    <d v="2025-06-06T00:00:00"/>
    <s v="Text"/>
    <s v="Wrapped is here! Relive your top tracks ðŸŽ§"/>
    <n v="3987"/>
    <n v="171"/>
    <n v="274"/>
    <n v="45122"/>
    <n v="65431"/>
    <n v="168"/>
    <s v="#DiscoverWeekly"/>
    <m/>
    <s v="IndieWave"/>
    <n v="4432"/>
  </r>
  <r>
    <s v="SP189"/>
    <x v="2"/>
    <d v="2025-02-20T00:00:00"/>
    <s v="Reel"/>
    <s v="Get into the groove with our new drop!"/>
    <n v="4957"/>
    <n v="262"/>
    <n v="365"/>
    <n v="49199"/>
    <n v="40314"/>
    <n v="216"/>
    <s v="#DiscoverWeekly"/>
    <s v="#SoundtrackOfLife"/>
    <s v="SummerBeats"/>
    <n v="5584"/>
  </r>
  <r>
    <s v="SP190"/>
    <x v="0"/>
    <d v="2025-01-16T00:00:00"/>
    <s v="Text"/>
    <s v="Music that moves youâ€”only on Spotify."/>
    <n v="2605"/>
    <n v="282"/>
    <n v="148"/>
    <n v="32201"/>
    <n v="49583"/>
    <n v="241"/>
    <s v="#SoundtrackOfLife"/>
    <s v="#NowPlaying"/>
    <s v="ChillVibes"/>
    <n v="3035"/>
  </r>
  <r>
    <s v="SP191"/>
    <x v="2"/>
    <d v="2024-02-24T00:00:00"/>
    <s v="Reel"/>
    <s v="Discover fresh beats on Spotify!"/>
    <n v="4221"/>
    <n v="307"/>
    <n v="58"/>
    <n v="45080"/>
    <n v="37214"/>
    <n v="240"/>
    <s v="#DiscoverWeekly"/>
    <s v="#SoundtrackOfLife"/>
    <s v="SummerBeats"/>
    <n v="4586"/>
  </r>
  <r>
    <s v="SP192"/>
    <x v="1"/>
    <d v="2024-09-16T00:00:00"/>
    <s v="Story"/>
    <s v="Whatâ€™s your vibe today? #SpotifyHits"/>
    <n v="4422"/>
    <n v="434"/>
    <n v="156"/>
    <n v="56165"/>
    <n v="52431"/>
    <n v="173"/>
    <s v="#DiscoverWeekly"/>
    <s v="#MusicForEveryone"/>
    <s v="ChillVibes"/>
    <n v="5012"/>
  </r>
  <r>
    <s v="SP193"/>
    <x v="2"/>
    <d v="2024-06-04T00:00:00"/>
    <s v="Reel"/>
    <s v="Wrapped is here! Relive your top tracks ðŸŽ§"/>
    <n v="1211"/>
    <n v="431"/>
    <n v="83"/>
    <n v="26532"/>
    <n v="47305"/>
    <n v="232"/>
    <s v="#DiscoverWeekly"/>
    <s v="#SoundtrackOfLife"/>
    <s v="SummerBeats"/>
    <n v="1725"/>
  </r>
  <r>
    <s v="SP194"/>
    <x v="1"/>
    <d v="2024-05-10T00:00:00"/>
    <s v="Story"/>
    <s v="Explore the latest podcasts now."/>
    <n v="2784"/>
    <n v="111"/>
    <n v="399"/>
    <n v="58366"/>
    <n v="69512"/>
    <n v="269"/>
    <s v="#MusicForEveryone"/>
    <s v="#NowPlaying"/>
    <s v="ChillVibes"/>
    <n v="3294"/>
  </r>
  <r>
    <s v="SP195"/>
    <x v="2"/>
    <d v="2024-01-14T00:00:00"/>
    <s v="Text"/>
    <s v="New music just dropped. Hit play!"/>
    <n v="3634"/>
    <n v="280"/>
    <n v="399"/>
    <n v="40256"/>
    <n v="52605"/>
    <n v="213"/>
    <s v="#DiscoverWeekly"/>
    <s v="#SpotifyWrapped"/>
    <s v="IndieWave"/>
    <n v="4313"/>
  </r>
  <r>
    <s v="SP196"/>
    <x v="0"/>
    <d v="2025-01-12T00:00:00"/>
    <s v="Text"/>
    <s v="From pop to podcasts, itâ€™s all here."/>
    <n v="1771"/>
    <n v="487"/>
    <n v="272"/>
    <n v="48810"/>
    <n v="48084"/>
    <n v="272"/>
    <s v="#SoundtrackOfLife"/>
    <s v="#NowPlaying"/>
    <s v="ChillVibes"/>
    <n v="2530"/>
  </r>
  <r>
    <s v="SP197"/>
    <x v="2"/>
    <d v="2024-12-08T00:00:00"/>
    <s v="Text"/>
    <s v="Top trending tracks updated daily!"/>
    <n v="1424"/>
    <n v="396"/>
    <n v="312"/>
    <n v="59517"/>
    <n v="46102"/>
    <n v="239"/>
    <s v="#DiscoverWeekly"/>
    <s v="#SpotifyWrapped"/>
    <s v="IndieWave"/>
    <n v="2132"/>
  </r>
  <r>
    <s v="SP198"/>
    <x v="1"/>
    <d v="2025-02-01T00:00:00"/>
    <s v="Story"/>
    <s v="Top trending tracks updated daily!"/>
    <n v="1079"/>
    <n v="265"/>
    <n v="190"/>
    <n v="43786"/>
    <n v="72428"/>
    <n v="222"/>
    <s v="#SoundtrackOfLife"/>
    <s v="#NowPlaying"/>
    <s v="ChillVibes"/>
    <n v="1534"/>
  </r>
  <r>
    <s v="SP199"/>
    <x v="1"/>
    <d v="2024-07-11T00:00:00"/>
    <s v="Story"/>
    <s v="Get into the groove with our new drop!"/>
    <n v="4247"/>
    <n v="179"/>
    <n v="175"/>
    <n v="32991"/>
    <n v="70120"/>
    <n v="276"/>
    <s v="#SoundtrackOfLife"/>
    <s v="#NowPlaying"/>
    <s v="ChillVibes"/>
    <n v="4601"/>
  </r>
  <r>
    <s v="SP200"/>
    <x v="1"/>
    <d v="2024-03-18T00:00:00"/>
    <s v="Text"/>
    <s v="New music just dropped. Hit play!"/>
    <n v="2033"/>
    <n v="420"/>
    <n v="94"/>
    <n v="56290"/>
    <n v="57391"/>
    <n v="196"/>
    <s v="#NowPlaying"/>
    <m/>
    <s v="ChillVibes"/>
    <n v="2547"/>
  </r>
  <r>
    <s v="SP201"/>
    <x v="1"/>
    <d v="2024-09-12T00:00:00"/>
    <s v="Story"/>
    <s v="Wrapped is here! Relive your top tracks ðŸŽ§"/>
    <n v="1839"/>
    <n v="223"/>
    <n v="171"/>
    <n v="35459"/>
    <n v="69988"/>
    <n v="114"/>
    <s v="#MusicForEveryone"/>
    <s v="#NowPlaying"/>
    <s v="ChillVibes"/>
    <n v="2233"/>
  </r>
  <r>
    <s v="SP202"/>
    <x v="1"/>
    <d v="2024-01-11T00:00:00"/>
    <s v="Story"/>
    <s v="Wrapped is here! Relive your top tracks ðŸŽ§"/>
    <n v="2340"/>
    <n v="141"/>
    <n v="206"/>
    <n v="24916"/>
    <n v="30582"/>
    <n v="157"/>
    <s v="#SoundtrackOfLife"/>
    <s v="#NowPlaying"/>
    <s v="ChillVibes"/>
    <n v="2687"/>
  </r>
  <r>
    <s v="SP203"/>
    <x v="0"/>
    <d v="2024-10-06T00:00:00"/>
    <s v="Text"/>
    <s v="Top trending tracks updated daily!"/>
    <n v="2080"/>
    <n v="389"/>
    <n v="92"/>
    <n v="30971"/>
    <n v="25347"/>
    <n v="111"/>
    <s v="#DiscoverWeekly"/>
    <m/>
    <s v="IndieWave"/>
    <n v="2561"/>
  </r>
  <r>
    <s v="SP204"/>
    <x v="1"/>
    <d v="2024-12-30T00:00:00"/>
    <s v="Text"/>
    <s v="Get into the groove with our new drop!"/>
    <n v="4214"/>
    <n v="286"/>
    <n v="127"/>
    <n v="47293"/>
    <n v="27184"/>
    <n v="232"/>
    <s v="#NowPlaying"/>
    <m/>
    <s v="ChillVibes"/>
    <n v="4627"/>
  </r>
  <r>
    <s v="SP205"/>
    <x v="1"/>
    <d v="2025-04-16T00:00:00"/>
    <s v="Text"/>
    <s v="Wrapped is here! Relive your top tracks ðŸŽ§"/>
    <n v="3792"/>
    <n v="315"/>
    <n v="120"/>
    <n v="54592"/>
    <n v="67886"/>
    <n v="117"/>
    <s v="#SoundtrackOfLife"/>
    <m/>
    <s v="IndieWave"/>
    <n v="4227"/>
  </r>
  <r>
    <s v="SP206"/>
    <x v="1"/>
    <d v="2024-08-21T00:00:00"/>
    <s v="Story"/>
    <s v="Explore the latest podcasts now."/>
    <n v="3989"/>
    <n v="476"/>
    <n v="128"/>
    <n v="57569"/>
    <n v="40193"/>
    <n v="222"/>
    <s v="#DiscoverWeekly"/>
    <s v="#MusicForEveryone"/>
    <s v="ChillVibes"/>
    <n v="4593"/>
  </r>
  <r>
    <s v="SP207"/>
    <x v="1"/>
    <d v="2024-04-05T00:00:00"/>
    <s v="Story"/>
    <s v="Wrapped is here! Relive your top tracks ðŸŽ§"/>
    <n v="2857"/>
    <n v="443"/>
    <n v="359"/>
    <n v="51519"/>
    <n v="28256"/>
    <n v="155"/>
    <s v="#SoundtrackOfLife"/>
    <s v="#NowPlaying"/>
    <s v="ChillVibes"/>
    <n v="3659"/>
  </r>
  <r>
    <s v="SP208"/>
    <x v="1"/>
    <d v="2025-04-07T00:00:00"/>
    <s v="Text"/>
    <s v="From pop to podcasts, itâ€™s all here."/>
    <n v="1403"/>
    <n v="385"/>
    <n v="344"/>
    <n v="54223"/>
    <n v="72595"/>
    <n v="239"/>
    <s v="#SoundtrackOfLife"/>
    <m/>
    <s v="IndieWave"/>
    <n v="2132"/>
  </r>
  <r>
    <s v="SP209"/>
    <x v="1"/>
    <d v="2024-07-19T00:00:00"/>
    <s v="Story"/>
    <s v="Whatâ€™s your vibe today? #SpotifyHits"/>
    <n v="3071"/>
    <n v="126"/>
    <n v="200"/>
    <n v="44013"/>
    <n v="44679"/>
    <n v="118"/>
    <s v="#DiscoverWeekly"/>
    <s v="#MusicForEveryone"/>
    <s v="ChillVibes"/>
    <n v="3397"/>
  </r>
  <r>
    <s v="SP210"/>
    <x v="1"/>
    <d v="2025-05-03T00:00:00"/>
    <s v="Story"/>
    <s v="Top trending tracks updated daily!"/>
    <n v="1010"/>
    <n v="361"/>
    <n v="240"/>
    <n v="47229"/>
    <n v="72573"/>
    <n v="275"/>
    <s v="#SoundtrackOfLife"/>
    <s v="#NowPlaying"/>
    <s v="ChillVibes"/>
    <n v="1611"/>
  </r>
  <r>
    <s v="SP211"/>
    <x v="1"/>
    <d v="2024-04-14T00:00:00"/>
    <s v="Story"/>
    <s v="Discover fresh beats on Spotify!"/>
    <n v="1295"/>
    <n v="153"/>
    <n v="81"/>
    <n v="48350"/>
    <n v="61033"/>
    <n v="232"/>
    <s v="#DiscoverWeekly"/>
    <s v="#MusicForEveryone"/>
    <s v="ChillVibes"/>
    <n v="1529"/>
  </r>
  <r>
    <s v="SP212"/>
    <x v="1"/>
    <d v="2025-06-19T00:00:00"/>
    <s v="Story"/>
    <s v="Whatâ€™s your vibe today? #SpotifyHits"/>
    <n v="1433"/>
    <n v="452"/>
    <n v="305"/>
    <n v="54541"/>
    <n v="63700"/>
    <n v="296"/>
    <s v="#DiscoverWeekly"/>
    <s v="#MusicForEveryone"/>
    <s v="ChillVibes"/>
    <n v="2190"/>
  </r>
  <r>
    <s v="SP213"/>
    <x v="0"/>
    <d v="2025-06-24T00:00:00"/>
    <s v="Story"/>
    <s v="Get into the groove with our new drop!"/>
    <n v="4902"/>
    <n v="422"/>
    <n v="376"/>
    <n v="31674"/>
    <n v="53225"/>
    <n v="147"/>
    <s v="#NowPlaying"/>
    <m/>
    <s v="Wrapped2024"/>
    <n v="5700"/>
  </r>
  <r>
    <s v="SP214"/>
    <x v="1"/>
    <d v="2024-10-09T00:00:00"/>
    <s v="Text"/>
    <s v="Wrapped is here! Relive your top tracks ðŸŽ§"/>
    <n v="2659"/>
    <n v="167"/>
    <n v="73"/>
    <n v="23090"/>
    <n v="25872"/>
    <n v="293"/>
    <s v="#SoundtrackOfLife"/>
    <m/>
    <s v="IndieWave"/>
    <n v="2899"/>
  </r>
  <r>
    <s v="SP215"/>
    <x v="2"/>
    <d v="2025-01-15T00:00:00"/>
    <s v="Text"/>
    <s v="Your weekend playlist is waiting."/>
    <n v="2599"/>
    <n v="324"/>
    <n v="182"/>
    <n v="37525"/>
    <n v="37216"/>
    <n v="186"/>
    <s v="#DiscoverWeekly"/>
    <s v="#SpotifyWrapped"/>
    <s v="IndieWave"/>
    <n v="3105"/>
  </r>
  <r>
    <s v="SP216"/>
    <x v="1"/>
    <d v="2025-01-12T00:00:00"/>
    <s v="Text"/>
    <s v="Music that moves youâ€”only on Spotify."/>
    <n v="1765"/>
    <n v="285"/>
    <n v="100"/>
    <n v="41313"/>
    <n v="56575"/>
    <n v="174"/>
    <s v="#SoundtrackOfLife"/>
    <m/>
    <s v="IndieWave"/>
    <n v="2150"/>
  </r>
  <r>
    <s v="SP217"/>
    <x v="0"/>
    <d v="2025-05-31T00:00:00"/>
    <s v="Text"/>
    <s v="Whatâ€™s your vibe today? #SpotifyHits"/>
    <n v="2169"/>
    <n v="240"/>
    <n v="57"/>
    <n v="26109"/>
    <n v="46667"/>
    <n v="133"/>
    <s v="#SoundtrackOfLife"/>
    <s v="#NowPlaying"/>
    <s v="ChillVibes"/>
    <n v="2466"/>
  </r>
  <r>
    <s v="SP218"/>
    <x v="1"/>
    <d v="2024-10-14T00:00:00"/>
    <s v="Story"/>
    <s v="Explore the latest podcasts now."/>
    <n v="4303"/>
    <n v="306"/>
    <n v="302"/>
    <n v="39575"/>
    <n v="33762"/>
    <n v="265"/>
    <s v="#DiscoverWeekly"/>
    <s v="#MusicForEveryone"/>
    <s v="ChillVibes"/>
    <n v="4911"/>
  </r>
  <r>
    <s v="SP219"/>
    <x v="1"/>
    <d v="2024-02-10T00:00:00"/>
    <s v="Text"/>
    <s v="From pop to podcasts, itâ€™s all here."/>
    <n v="1519"/>
    <n v="456"/>
    <n v="379"/>
    <n v="51611"/>
    <n v="45880"/>
    <n v="176"/>
    <s v="#SoundtrackOfLife"/>
    <m/>
    <s v="IndieWave"/>
    <n v="2354"/>
  </r>
  <r>
    <s v="SP220"/>
    <x v="2"/>
    <d v="2024-12-10T00:00:00"/>
    <s v="Text"/>
    <s v="Whatâ€™s your vibe today? #SpotifyHits"/>
    <n v="2569"/>
    <n v="140"/>
    <n v="375"/>
    <n v="38372"/>
    <n v="22102"/>
    <n v="255"/>
    <s v="#DiscoverWeekly"/>
    <s v="#SpotifyWrapped"/>
    <s v="IndieWave"/>
    <n v="3084"/>
  </r>
  <r>
    <s v="SP221"/>
    <x v="1"/>
    <d v="2025-05-09T00:00:00"/>
    <s v="Story"/>
    <s v="Music that moves youâ€”only on Spotify."/>
    <n v="2778"/>
    <n v="241"/>
    <n v="317"/>
    <n v="26247"/>
    <n v="20677"/>
    <n v="282"/>
    <s v="#MusicForEveryone"/>
    <s v="#NowPlaying"/>
    <s v="ChillVibes"/>
    <n v="3336"/>
  </r>
  <r>
    <s v="SP222"/>
    <x v="1"/>
    <d v="2025-06-21T00:00:00"/>
    <s v="Text"/>
    <s v="Explore the latest podcasts now."/>
    <n v="3611"/>
    <n v="127"/>
    <n v="139"/>
    <n v="44768"/>
    <n v="29435"/>
    <n v="178"/>
    <s v="#NowPlaying"/>
    <m/>
    <s v="ChillVibes"/>
    <n v="3877"/>
  </r>
  <r>
    <s v="SP223"/>
    <x v="1"/>
    <d v="2024-06-19T00:00:00"/>
    <s v="Text"/>
    <s v="Whatâ€™s your vibe today? #SpotifyHits"/>
    <n v="1224"/>
    <n v="168"/>
    <n v="199"/>
    <n v="54232"/>
    <n v="52844"/>
    <n v="271"/>
    <s v="#SoundtrackOfLife"/>
    <m/>
    <s v="IndieWave"/>
    <n v="1591"/>
  </r>
  <r>
    <s v="SP224"/>
    <x v="1"/>
    <d v="2024-12-10T00:00:00"/>
    <s v="Text"/>
    <s v="From pop to podcasts, itâ€™s all here."/>
    <n v="4673"/>
    <n v="270"/>
    <n v="93"/>
    <n v="45260"/>
    <n v="57513"/>
    <n v="103"/>
    <s v="#NowPlaying"/>
    <m/>
    <s v="ChillVibes"/>
    <n v="5036"/>
  </r>
  <r>
    <s v="SP225"/>
    <x v="2"/>
    <d v="2024-02-01T00:00:00"/>
    <s v="Text"/>
    <s v="Wrapped is here! Relive your top tracks ðŸŽ§"/>
    <n v="1432"/>
    <n v="437"/>
    <n v="267"/>
    <n v="40634"/>
    <n v="54511"/>
    <n v="197"/>
    <s v="#DiscoverWeekly"/>
    <s v="#SpotifyWrapped"/>
    <s v="IndieWave"/>
    <n v="2136"/>
  </r>
  <r>
    <s v="SP226"/>
    <x v="1"/>
    <d v="2024-01-17T00:00:00"/>
    <s v="Story"/>
    <s v="New music just dropped. Hit play!"/>
    <n v="2174"/>
    <n v="499"/>
    <n v="212"/>
    <n v="54938"/>
    <n v="27190"/>
    <n v="265"/>
    <s v="#MusicForEveryone"/>
    <s v="#NowPlaying"/>
    <s v="ChillVibes"/>
    <n v="2885"/>
  </r>
  <r>
    <s v="SP227"/>
    <x v="2"/>
    <d v="2025-03-22T00:00:00"/>
    <s v="Text"/>
    <s v="Music that moves youâ€”only on Spotify."/>
    <n v="4308"/>
    <n v="171"/>
    <n v="106"/>
    <n v="36955"/>
    <n v="23949"/>
    <n v="294"/>
    <s v="#DiscoverWeekly"/>
    <s v="#SpotifyWrapped"/>
    <s v="IndieWave"/>
    <n v="4585"/>
  </r>
  <r>
    <s v="SP228"/>
    <x v="2"/>
    <d v="2024-05-30T00:00:00"/>
    <s v="Reel"/>
    <s v="Whatâ€™s your vibe today? #SpotifyHits"/>
    <n v="1060"/>
    <n v="442"/>
    <n v="319"/>
    <n v="57194"/>
    <n v="24258"/>
    <n v="101"/>
    <s v="#DiscoverWeekly"/>
    <s v="#SoundtrackOfLife"/>
    <s v="SummerBeats"/>
    <n v="1821"/>
  </r>
  <r>
    <s v="SP229"/>
    <x v="2"/>
    <d v="2024-02-24T00:00:00"/>
    <s v="Text"/>
    <s v="Music that moves youâ€”only on Spotify."/>
    <n v="4653"/>
    <n v="226"/>
    <n v="349"/>
    <n v="56876"/>
    <n v="28452"/>
    <n v="257"/>
    <s v="#DiscoverWeekly"/>
    <s v="#SpotifyWrapped"/>
    <s v="IndieWave"/>
    <n v="5228"/>
  </r>
  <r>
    <s v="SP230"/>
    <x v="2"/>
    <d v="2025-05-14T00:00:00"/>
    <s v="Text"/>
    <s v="Discover fresh beats on Spotify!"/>
    <n v="1701"/>
    <n v="272"/>
    <n v="385"/>
    <n v="47496"/>
    <n v="40832"/>
    <n v="246"/>
    <s v="#DiscoverWeekly"/>
    <s v="#SpotifyWrapped"/>
    <s v="IndieWave"/>
    <n v="2358"/>
  </r>
  <r>
    <s v="SP231"/>
    <x v="0"/>
    <d v="2024-03-28T00:00:00"/>
    <s v="Text"/>
    <s v="Whatâ€™s your vibe today? #SpotifyHits"/>
    <n v="1673"/>
    <n v="280"/>
    <n v="67"/>
    <n v="29847"/>
    <n v="48016"/>
    <n v="213"/>
    <s v="#SoundtrackOfLife"/>
    <s v="#NowPlaying"/>
    <s v="ChillVibes"/>
    <n v="2020"/>
  </r>
  <r>
    <s v="SP232"/>
    <x v="2"/>
    <d v="2025-03-07T00:00:00"/>
    <s v="Text"/>
    <s v="Top trending tracks updated daily!"/>
    <n v="4310"/>
    <n v="284"/>
    <n v="306"/>
    <n v="44606"/>
    <n v="42604"/>
    <n v="290"/>
    <s v="#DiscoverWeekly"/>
    <s v="#SpotifyWrapped"/>
    <s v="IndieWave"/>
    <n v="4900"/>
  </r>
  <r>
    <s v="SP233"/>
    <x v="1"/>
    <d v="2024-10-20T00:00:00"/>
    <s v="Text"/>
    <s v="From pop to podcasts, itâ€™s all here."/>
    <n v="2752"/>
    <n v="309"/>
    <n v="91"/>
    <n v="39038"/>
    <n v="28095"/>
    <n v="277"/>
    <s v="#NowPlaying"/>
    <m/>
    <s v="ChillVibes"/>
    <n v="3152"/>
  </r>
  <r>
    <s v="SP234"/>
    <x v="1"/>
    <d v="2024-02-02T00:00:00"/>
    <s v="Text"/>
    <s v="From pop to podcasts, itâ€™s all here."/>
    <n v="3818"/>
    <n v="115"/>
    <n v="286"/>
    <n v="25127"/>
    <n v="22277"/>
    <n v="263"/>
    <s v="#NowPlaying"/>
    <m/>
    <s v="ChillVibes"/>
    <n v="4219"/>
  </r>
  <r>
    <s v="SP235"/>
    <x v="2"/>
    <d v="2024-09-07T00:00:00"/>
    <s v="Text"/>
    <s v="Your weekend playlist is waiting."/>
    <n v="2101"/>
    <n v="411"/>
    <n v="190"/>
    <n v="41791"/>
    <n v="57090"/>
    <n v="172"/>
    <s v="#DiscoverWeekly"/>
    <s v="#SpotifyWrapped"/>
    <s v="IndieWave"/>
    <n v="2702"/>
  </r>
  <r>
    <s v="SP236"/>
    <x v="0"/>
    <d v="2024-12-20T00:00:00"/>
    <s v="Text"/>
    <s v="Discover fresh beats on Spotify!"/>
    <n v="2519"/>
    <n v="202"/>
    <n v="239"/>
    <n v="36245"/>
    <n v="48606"/>
    <n v="145"/>
    <s v="#DiscoverWeekly"/>
    <m/>
    <s v="IndieWave"/>
    <n v="2960"/>
  </r>
  <r>
    <s v="SP237"/>
    <x v="2"/>
    <d v="2024-01-14T00:00:00"/>
    <s v="Text"/>
    <s v="Whatâ€™s your vibe today? #SpotifyHits"/>
    <n v="4502"/>
    <n v="238"/>
    <n v="386"/>
    <n v="39198"/>
    <n v="25050"/>
    <n v="297"/>
    <s v="#DiscoverWeekly"/>
    <s v="#SpotifyWrapped"/>
    <s v="IndieWave"/>
    <n v="5126"/>
  </r>
  <r>
    <s v="SP238"/>
    <x v="0"/>
    <d v="2025-06-15T00:00:00"/>
    <s v="Text"/>
    <s v="Explore the latest podcasts now."/>
    <n v="2478"/>
    <n v="427"/>
    <n v="242"/>
    <n v="59272"/>
    <n v="37833"/>
    <n v="214"/>
    <s v="#SoundtrackOfLife"/>
    <s v="#NowPlaying"/>
    <s v="ChillVibes"/>
    <n v="3147"/>
  </r>
  <r>
    <s v="SP239"/>
    <x v="1"/>
    <d v="2024-12-13T00:00:00"/>
    <s v="Story"/>
    <s v="New music just dropped. Hit play!"/>
    <n v="4984"/>
    <n v="300"/>
    <n v="338"/>
    <n v="32900"/>
    <n v="31691"/>
    <n v="160"/>
    <s v="#MusicForEveryone"/>
    <s v="#NowPlaying"/>
    <s v="ChillVibes"/>
    <n v="5622"/>
  </r>
  <r>
    <s v="SP240"/>
    <x v="2"/>
    <d v="2024-08-29T00:00:00"/>
    <s v="Text"/>
    <s v="Wrapped is here! Relive your top tracks ðŸŽ§"/>
    <n v="4774"/>
    <n v="389"/>
    <n v="358"/>
    <n v="52346"/>
    <n v="30518"/>
    <n v="277"/>
    <s v="#DiscoverWeekly"/>
    <s v="#SpotifyWrapped"/>
    <s v="IndieWave"/>
    <n v="5521"/>
  </r>
  <r>
    <s v="SP241"/>
    <x v="1"/>
    <d v="2024-09-15T00:00:00"/>
    <s v="Text"/>
    <s v="Get into the groove with our new drop!"/>
    <n v="2145"/>
    <n v="340"/>
    <n v="85"/>
    <n v="53323"/>
    <n v="49938"/>
    <n v="104"/>
    <s v="#NowPlaying"/>
    <m/>
    <s v="ChillVibes"/>
    <n v="2570"/>
  </r>
  <r>
    <s v="SP242"/>
    <x v="1"/>
    <d v="2025-04-12T00:00:00"/>
    <s v="Story"/>
    <s v="From pop to podcasts, itâ€™s all here."/>
    <n v="4315"/>
    <n v="208"/>
    <n v="273"/>
    <n v="35780"/>
    <n v="44349"/>
    <n v="133"/>
    <s v="#DiscoverWeekly"/>
    <s v="#MusicForEveryone"/>
    <s v="ChillVibes"/>
    <n v="4796"/>
  </r>
  <r>
    <s v="SP243"/>
    <x v="1"/>
    <d v="2024-12-10T00:00:00"/>
    <s v="Story"/>
    <s v="Wrapped is here! Relive your top tracks ðŸŽ§"/>
    <n v="2267"/>
    <n v="230"/>
    <n v="243"/>
    <n v="27904"/>
    <n v="69771"/>
    <n v="255"/>
    <s v="#DiscoverWeekly"/>
    <s v="#MusicForEveryone"/>
    <s v="ChillVibes"/>
    <n v="2740"/>
  </r>
  <r>
    <s v="SP244"/>
    <x v="2"/>
    <d v="2025-06-08T00:00:00"/>
    <s v="Text"/>
    <s v="Music that moves youâ€”only on Spotify."/>
    <n v="4375"/>
    <n v="303"/>
    <n v="294"/>
    <n v="57468"/>
    <n v="53397"/>
    <n v="159"/>
    <s v="#DiscoverWeekly"/>
    <s v="#SpotifyWrapped"/>
    <s v="IndieWave"/>
    <n v="4972"/>
  </r>
  <r>
    <s v="SP245"/>
    <x v="1"/>
    <d v="2025-01-09T00:00:00"/>
    <s v="Story"/>
    <s v="Your weekend playlist is waiting."/>
    <n v="3817"/>
    <n v="284"/>
    <n v="204"/>
    <n v="46434"/>
    <n v="53396"/>
    <n v="104"/>
    <s v="#MusicForEveryone"/>
    <s v="#NowPlaying"/>
    <s v="ChillVibes"/>
    <n v="4305"/>
  </r>
  <r>
    <s v="SP246"/>
    <x v="1"/>
    <d v="2024-07-08T00:00:00"/>
    <s v="Story"/>
    <s v="Top trending tracks updated daily!"/>
    <n v="2981"/>
    <n v="258"/>
    <n v="168"/>
    <n v="20677"/>
    <n v="68290"/>
    <n v="130"/>
    <s v="#SoundtrackOfLife"/>
    <s v="#NowPlaying"/>
    <s v="ChillVibes"/>
    <n v="3407"/>
  </r>
  <r>
    <s v="SP247"/>
    <x v="1"/>
    <d v="2024-09-16T00:00:00"/>
    <s v="Story"/>
    <s v="Your weekend playlist is waiting."/>
    <n v="3300"/>
    <n v="354"/>
    <n v="397"/>
    <n v="56773"/>
    <n v="72110"/>
    <n v="163"/>
    <s v="#DiscoverWeekly"/>
    <s v="#MusicForEveryone"/>
    <s v="ChillVibes"/>
    <n v="4051"/>
  </r>
  <r>
    <s v="SP248"/>
    <x v="2"/>
    <d v="2024-06-14T00:00:00"/>
    <s v="Reel"/>
    <s v="Wrapped is here! Relive your top tracks ðŸŽ§"/>
    <n v="4722"/>
    <n v="310"/>
    <n v="344"/>
    <n v="27911"/>
    <n v="19000"/>
    <n v="225"/>
    <s v="#DiscoverWeekly"/>
    <s v="#SoundtrackOfLife"/>
    <s v="SummerBeats"/>
    <n v="5376"/>
  </r>
  <r>
    <s v="SP249"/>
    <x v="0"/>
    <d v="2024-03-06T00:00:00"/>
    <s v="Text"/>
    <s v="Whatâ€™s your vibe today? #SpotifyHits"/>
    <n v="3529"/>
    <n v="263"/>
    <n v="107"/>
    <n v="26570"/>
    <n v="19367"/>
    <n v="96"/>
    <s v="#DiscoverWeekly"/>
    <m/>
    <s v="IndieWave"/>
    <n v="3899"/>
  </r>
  <r>
    <s v="SP250"/>
    <x v="1"/>
    <d v="2025-05-15T00:00:00"/>
    <s v="Text"/>
    <s v="Your weekend playlist is waiting."/>
    <n v="4782"/>
    <n v="210"/>
    <n v="311"/>
    <n v="29793"/>
    <n v="37543"/>
    <n v="145"/>
    <s v="#NowPlaying"/>
    <m/>
    <s v="ChillVibes"/>
    <n v="5303"/>
  </r>
  <r>
    <s v="SP251"/>
    <x v="1"/>
    <d v="2024-07-07T00:00:00"/>
    <s v="Text"/>
    <s v="Whatâ€™s your vibe today? #SpotifyHits"/>
    <n v="1848"/>
    <n v="417"/>
    <n v="294"/>
    <n v="57819"/>
    <n v="19798"/>
    <n v="262"/>
    <s v="#SoundtrackOfLife"/>
    <m/>
    <s v="IndieWave"/>
    <n v="2559"/>
  </r>
  <r>
    <s v="SP252"/>
    <x v="2"/>
    <d v="2024-10-26T00:00:00"/>
    <s v="Text"/>
    <s v="New music just dropped. Hit play!"/>
    <n v="4676"/>
    <n v="211"/>
    <n v="55"/>
    <n v="45917"/>
    <n v="73503"/>
    <n v="248"/>
    <s v="#DiscoverWeekly"/>
    <s v="#SpotifyWrapped"/>
    <s v="IndieWave"/>
    <n v="4942"/>
  </r>
  <r>
    <s v="SP253"/>
    <x v="2"/>
    <d v="2024-08-08T00:00:00"/>
    <s v="Text"/>
    <s v="From pop to podcasts, itâ€™s all here."/>
    <n v="1994"/>
    <n v="197"/>
    <n v="290"/>
    <n v="49500"/>
    <n v="23343"/>
    <n v="160"/>
    <s v="#DiscoverWeekly"/>
    <s v="#SpotifyWrapped"/>
    <s v="IndieWave"/>
    <n v="2481"/>
  </r>
  <r>
    <s v="SP254"/>
    <x v="1"/>
    <d v="2025-02-03T00:00:00"/>
    <s v="Text"/>
    <s v="Whatâ€™s your vibe today? #SpotifyHits"/>
    <n v="4995"/>
    <n v="231"/>
    <n v="94"/>
    <n v="34431"/>
    <n v="32560"/>
    <n v="262"/>
    <s v="#NowPlaying"/>
    <m/>
    <s v="ChillVibes"/>
    <n v="5320"/>
  </r>
  <r>
    <s v="SP255"/>
    <x v="1"/>
    <d v="2024-04-03T00:00:00"/>
    <s v="Story"/>
    <s v="Top trending tracks updated daily!"/>
    <n v="2291"/>
    <n v="146"/>
    <n v="399"/>
    <n v="49319"/>
    <n v="28056"/>
    <n v="90"/>
    <s v="#DiscoverWeekly"/>
    <s v="#MusicForEveryone"/>
    <s v="ChillVibes"/>
    <n v="2836"/>
  </r>
  <r>
    <s v="SP256"/>
    <x v="1"/>
    <d v="2024-07-08T00:00:00"/>
    <s v="Story"/>
    <s v="Wrapped is here! Relive your top tracks ðŸŽ§"/>
    <n v="2304"/>
    <n v="289"/>
    <n v="161"/>
    <n v="52645"/>
    <n v="66262"/>
    <n v="146"/>
    <s v="#MusicForEveryone"/>
    <s v="#NowPlaying"/>
    <s v="ChillVibes"/>
    <n v="2754"/>
  </r>
  <r>
    <s v="SP257"/>
    <x v="1"/>
    <d v="2024-06-08T00:00:00"/>
    <s v="Story"/>
    <s v="Top trending tracks updated daily!"/>
    <n v="3413"/>
    <n v="326"/>
    <n v="86"/>
    <n v="44680"/>
    <n v="52719"/>
    <n v="272"/>
    <s v="#DiscoverWeekly"/>
    <s v="#MusicForEveryone"/>
    <s v="ChillVibes"/>
    <n v="3825"/>
  </r>
  <r>
    <s v="SP258"/>
    <x v="2"/>
    <d v="2025-03-20T00:00:00"/>
    <s v="Reel"/>
    <s v="From pop to podcasts, itâ€™s all here."/>
    <n v="1453"/>
    <n v="156"/>
    <n v="178"/>
    <n v="52980"/>
    <n v="57180"/>
    <n v="286"/>
    <s v="#DiscoverWeekly"/>
    <s v="#SoundtrackOfLife"/>
    <s v="SummerBeats"/>
    <n v="1787"/>
  </r>
  <r>
    <s v="SP259"/>
    <x v="1"/>
    <d v="2025-01-19T00:00:00"/>
    <s v="Story"/>
    <s v="Music that moves youâ€”only on Spotify."/>
    <n v="1651"/>
    <n v="480"/>
    <n v="282"/>
    <n v="32140"/>
    <n v="70560"/>
    <n v="138"/>
    <s v="#SoundtrackOfLife"/>
    <s v="#NowPlaying"/>
    <s v="ChillVibes"/>
    <n v="2413"/>
  </r>
  <r>
    <s v="SP260"/>
    <x v="1"/>
    <d v="2025-01-05T00:00:00"/>
    <s v="Story"/>
    <s v="Explore the latest podcasts now."/>
    <n v="3341"/>
    <n v="154"/>
    <n v="123"/>
    <n v="43369"/>
    <n v="49035"/>
    <n v="128"/>
    <s v="#MusicForEveryone"/>
    <s v="#NowPlaying"/>
    <s v="ChillVibes"/>
    <n v="3618"/>
  </r>
  <r>
    <s v="SP261"/>
    <x v="1"/>
    <d v="2024-11-16T00:00:00"/>
    <s v="Text"/>
    <s v="From pop to podcasts, itâ€™s all here."/>
    <n v="2972"/>
    <n v="263"/>
    <n v="308"/>
    <n v="51740"/>
    <n v="28214"/>
    <n v="190"/>
    <s v="#SoundtrackOfLife"/>
    <m/>
    <s v="IndieWave"/>
    <n v="3543"/>
  </r>
  <r>
    <s v="SP262"/>
    <x v="1"/>
    <d v="2024-11-30T00:00:00"/>
    <s v="Story"/>
    <s v="Explore the latest podcasts now."/>
    <n v="4963"/>
    <n v="255"/>
    <n v="193"/>
    <n v="44386"/>
    <n v="28415"/>
    <n v="174"/>
    <s v="#MusicForEveryone"/>
    <s v="#NowPlaying"/>
    <s v="ChillVibes"/>
    <n v="5411"/>
  </r>
  <r>
    <s v="SP263"/>
    <x v="2"/>
    <d v="2024-03-27T00:00:00"/>
    <s v="Text"/>
    <s v="Music that moves youâ€”only on Spotify."/>
    <n v="2399"/>
    <n v="191"/>
    <n v="221"/>
    <n v="51603"/>
    <n v="40033"/>
    <n v="173"/>
    <s v="#DiscoverWeekly"/>
    <s v="#SpotifyWrapped"/>
    <s v="IndieWave"/>
    <n v="2811"/>
  </r>
  <r>
    <s v="SP264"/>
    <x v="2"/>
    <d v="2025-05-31T00:00:00"/>
    <s v="Reel"/>
    <s v="Get into the groove with our new drop!"/>
    <n v="2162"/>
    <n v="318"/>
    <n v="83"/>
    <n v="46719"/>
    <n v="20482"/>
    <n v="185"/>
    <s v="#DiscoverWeekly"/>
    <s v="#SoundtrackOfLife"/>
    <s v="SummerBeats"/>
    <n v="2563"/>
  </r>
  <r>
    <s v="SP265"/>
    <x v="1"/>
    <d v="2025-06-17T00:00:00"/>
    <s v="Story"/>
    <s v="Explore the latest podcasts now."/>
    <n v="4341"/>
    <n v="141"/>
    <n v="63"/>
    <n v="50081"/>
    <n v="27507"/>
    <n v="221"/>
    <s v="#DiscoverWeekly"/>
    <s v="#MusicForEveryone"/>
    <s v="ChillVibes"/>
    <n v="4545"/>
  </r>
  <r>
    <s v="SP266"/>
    <x v="0"/>
    <d v="2024-05-30T00:00:00"/>
    <s v="Story"/>
    <s v="Get into the groove with our new drop!"/>
    <n v="2448"/>
    <n v="464"/>
    <n v="98"/>
    <n v="25737"/>
    <n v="48545"/>
    <n v="246"/>
    <s v="#NowPlaying"/>
    <m/>
    <s v="Wrapped2024"/>
    <n v="3010"/>
  </r>
  <r>
    <s v="SP267"/>
    <x v="2"/>
    <d v="2024-11-08T00:00:00"/>
    <s v="Text"/>
    <s v="Top trending tracks updated daily!"/>
    <n v="2471"/>
    <n v="166"/>
    <n v="320"/>
    <n v="48254"/>
    <n v="46900"/>
    <n v="111"/>
    <s v="#DiscoverWeekly"/>
    <s v="#SpotifyWrapped"/>
    <s v="IndieWave"/>
    <n v="2957"/>
  </r>
  <r>
    <s v="SP268"/>
    <x v="2"/>
    <d v="2024-03-17T00:00:00"/>
    <s v="Reel"/>
    <s v="Explore the latest podcasts now."/>
    <n v="2692"/>
    <n v="446"/>
    <n v="216"/>
    <n v="45818"/>
    <n v="62723"/>
    <n v="85"/>
    <s v="#DiscoverWeekly"/>
    <s v="#SoundtrackOfLife"/>
    <s v="SummerBeats"/>
    <n v="3354"/>
  </r>
  <r>
    <s v="SP269"/>
    <x v="2"/>
    <d v="2024-06-21T00:00:00"/>
    <s v="Reel"/>
    <s v="Music that moves youâ€”only on Spotify."/>
    <n v="4621"/>
    <n v="374"/>
    <n v="298"/>
    <n v="56979"/>
    <n v="24098"/>
    <n v="205"/>
    <s v="#DiscoverWeekly"/>
    <s v="#SoundtrackOfLife"/>
    <s v="SummerBeats"/>
    <n v="5293"/>
  </r>
  <r>
    <s v="SP270"/>
    <x v="1"/>
    <d v="2024-11-13T00:00:00"/>
    <s v="Story"/>
    <s v="New music just dropped. Hit play!"/>
    <n v="1409"/>
    <n v="466"/>
    <n v="105"/>
    <n v="58923"/>
    <n v="38753"/>
    <n v="265"/>
    <s v="#DiscoverWeekly"/>
    <s v="#MusicForEveryone"/>
    <s v="ChillVibes"/>
    <n v="1980"/>
  </r>
  <r>
    <s v="SP271"/>
    <x v="1"/>
    <d v="2025-02-05T00:00:00"/>
    <s v="Story"/>
    <s v="Discover fresh beats on Spotify!"/>
    <n v="3029"/>
    <n v="440"/>
    <n v="66"/>
    <n v="23815"/>
    <n v="47895"/>
    <n v="210"/>
    <s v="#DiscoverWeekly"/>
    <s v="#MusicForEveryone"/>
    <s v="ChillVibes"/>
    <n v="3535"/>
  </r>
  <r>
    <s v="SP272"/>
    <x v="1"/>
    <d v="2024-11-07T00:00:00"/>
    <s v="Text"/>
    <s v="Explore the latest podcasts now."/>
    <n v="2229"/>
    <n v="395"/>
    <n v="328"/>
    <n v="56921"/>
    <n v="37176"/>
    <n v="126"/>
    <s v="#SoundtrackOfLife"/>
    <m/>
    <s v="IndieWave"/>
    <n v="2952"/>
  </r>
  <r>
    <s v="SP273"/>
    <x v="1"/>
    <d v="2024-02-12T00:00:00"/>
    <s v="Text"/>
    <s v="Explore the latest podcasts now."/>
    <n v="2691"/>
    <n v="486"/>
    <n v="206"/>
    <n v="51133"/>
    <n v="44583"/>
    <n v="276"/>
    <s v="#NowPlaying"/>
    <m/>
    <s v="ChillVibes"/>
    <n v="3383"/>
  </r>
  <r>
    <s v="SP274"/>
    <x v="0"/>
    <d v="2024-10-08T00:00:00"/>
    <s v="Text"/>
    <s v="Explore the latest podcasts now."/>
    <n v="2110"/>
    <n v="384"/>
    <n v="236"/>
    <n v="49965"/>
    <n v="61555"/>
    <n v="195"/>
    <s v="#DiscoverWeekly"/>
    <m/>
    <s v="IndieWave"/>
    <n v="2730"/>
  </r>
  <r>
    <s v="SP275"/>
    <x v="0"/>
    <d v="2024-02-19T00:00:00"/>
    <s v="Text"/>
    <s v="Wrapped is here! Relive your top tracks ðŸŽ§"/>
    <n v="4752"/>
    <n v="449"/>
    <n v="309"/>
    <n v="58530"/>
    <n v="26630"/>
    <n v="234"/>
    <s v="#DiscoverWeekly"/>
    <m/>
    <s v="IndieWave"/>
    <n v="5510"/>
  </r>
  <r>
    <s v="SP276"/>
    <x v="1"/>
    <d v="2025-03-04T00:00:00"/>
    <s v="Text"/>
    <s v="Discover fresh beats on Spotify!"/>
    <n v="2177"/>
    <n v="258"/>
    <n v="292"/>
    <n v="47276"/>
    <n v="51324"/>
    <n v="143"/>
    <s v="#NowPlaying"/>
    <m/>
    <s v="ChillVibes"/>
    <n v="2727"/>
  </r>
  <r>
    <s v="SP277"/>
    <x v="0"/>
    <d v="2025-02-03T00:00:00"/>
    <s v="Story"/>
    <s v="New music just dropped. Hit play!"/>
    <n v="1205"/>
    <n v="486"/>
    <n v="269"/>
    <n v="23341"/>
    <n v="42411"/>
    <n v="184"/>
    <s v="#NowPlaying"/>
    <m/>
    <s v="Wrapped2024"/>
    <n v="1960"/>
  </r>
  <r>
    <s v="SP278"/>
    <x v="0"/>
    <d v="2024-12-02T00:00:00"/>
    <s v="Text"/>
    <s v="Top trending tracks updated daily!"/>
    <n v="3194"/>
    <n v="292"/>
    <n v="245"/>
    <n v="56371"/>
    <n v="65597"/>
    <n v="163"/>
    <s v="#SoundtrackOfLife"/>
    <s v="#NowPlaying"/>
    <s v="ChillVibes"/>
    <n v="3731"/>
  </r>
  <r>
    <s v="SP279"/>
    <x v="1"/>
    <d v="2025-01-19T00:00:00"/>
    <s v="Story"/>
    <s v="New music just dropped. Hit play!"/>
    <n v="3507"/>
    <n v="295"/>
    <n v="371"/>
    <n v="20410"/>
    <n v="53965"/>
    <n v="212"/>
    <s v="#SoundtrackOfLife"/>
    <s v="#NowPlaying"/>
    <s v="ChillVibes"/>
    <n v="4173"/>
  </r>
  <r>
    <s v="SP280"/>
    <x v="1"/>
    <d v="2024-09-28T00:00:00"/>
    <s v="Story"/>
    <s v="Wrapped is here! Relive your top tracks ðŸŽ§"/>
    <n v="4471"/>
    <n v="317"/>
    <n v="249"/>
    <n v="44862"/>
    <n v="33365"/>
    <n v="184"/>
    <s v="#DiscoverWeekly"/>
    <s v="#MusicForEveryone"/>
    <s v="ChillVibes"/>
    <n v="5037"/>
  </r>
  <r>
    <s v="SP281"/>
    <x v="0"/>
    <d v="2024-01-07T00:00:00"/>
    <s v="Text"/>
    <s v="Top trending tracks updated daily!"/>
    <n v="4931"/>
    <n v="469"/>
    <n v="193"/>
    <n v="56701"/>
    <n v="69437"/>
    <n v="291"/>
    <s v="#SoundtrackOfLife"/>
    <s v="#NowPlaying"/>
    <s v="ChillVibes"/>
    <n v="5593"/>
  </r>
  <r>
    <s v="SP282"/>
    <x v="1"/>
    <d v="2024-02-21T00:00:00"/>
    <s v="Story"/>
    <s v="Get into the groove with our new drop!"/>
    <n v="2604"/>
    <n v="439"/>
    <n v="148"/>
    <n v="58468"/>
    <n v="39629"/>
    <n v="163"/>
    <s v="#MusicForEveryone"/>
    <s v="#NowPlaying"/>
    <s v="ChillVibes"/>
    <n v="3191"/>
  </r>
  <r>
    <s v="SP283"/>
    <x v="0"/>
    <d v="2024-08-27T00:00:00"/>
    <s v="Text"/>
    <s v="Music that moves youâ€”only on Spotify."/>
    <n v="4197"/>
    <n v="359"/>
    <n v="280"/>
    <n v="56048"/>
    <n v="70930"/>
    <n v="295"/>
    <s v="#DiscoverWeekly"/>
    <m/>
    <s v="IndieWave"/>
    <n v="4836"/>
  </r>
  <r>
    <s v="SP284"/>
    <x v="0"/>
    <d v="2024-10-24T00:00:00"/>
    <s v="Story"/>
    <s v="Top trending tracks updated daily!"/>
    <n v="1914"/>
    <n v="255"/>
    <n v="156"/>
    <n v="27660"/>
    <n v="47776"/>
    <n v="111"/>
    <s v="#NowPlaying"/>
    <m/>
    <s v="Wrapped2024"/>
    <n v="2325"/>
  </r>
  <r>
    <s v="SP285"/>
    <x v="2"/>
    <d v="2025-01-29T00:00:00"/>
    <s v="Text"/>
    <s v="New music just dropped. Hit play!"/>
    <n v="1334"/>
    <n v="357"/>
    <n v="257"/>
    <n v="56910"/>
    <n v="70606"/>
    <n v="228"/>
    <s v="#DiscoverWeekly"/>
    <s v="#SpotifyWrapped"/>
    <s v="IndieWave"/>
    <n v="1948"/>
  </r>
  <r>
    <s v="SP286"/>
    <x v="0"/>
    <d v="2024-05-01T00:00:00"/>
    <s v="Text"/>
    <s v="Get into the groove with our new drop!"/>
    <n v="3359"/>
    <n v="137"/>
    <n v="387"/>
    <n v="33861"/>
    <n v="47257"/>
    <n v="198"/>
    <s v="#DiscoverWeekly"/>
    <m/>
    <s v="IndieWave"/>
    <n v="3883"/>
  </r>
  <r>
    <s v="SP287"/>
    <x v="2"/>
    <d v="2024-06-25T00:00:00"/>
    <s v="Text"/>
    <s v="Your weekend playlist is waiting."/>
    <n v="2172"/>
    <n v="338"/>
    <n v="70"/>
    <n v="30515"/>
    <n v="57853"/>
    <n v="156"/>
    <s v="#DiscoverWeekly"/>
    <s v="#SpotifyWrapped"/>
    <s v="IndieWave"/>
    <n v="2580"/>
  </r>
  <r>
    <s v="SP288"/>
    <x v="1"/>
    <d v="2024-08-09T00:00:00"/>
    <s v="Story"/>
    <s v="From pop to podcasts, itâ€™s all here."/>
    <n v="4877"/>
    <n v="442"/>
    <n v="236"/>
    <n v="52673"/>
    <n v="48241"/>
    <n v="114"/>
    <s v="#DiscoverWeekly"/>
    <s v="#MusicForEveryone"/>
    <s v="ChillVibes"/>
    <n v="5555"/>
  </r>
  <r>
    <s v="SP289"/>
    <x v="0"/>
    <d v="2025-01-21T00:00:00"/>
    <s v="Story"/>
    <s v="New music just dropped. Hit play!"/>
    <n v="4918"/>
    <n v="440"/>
    <n v="149"/>
    <n v="53269"/>
    <n v="64370"/>
    <n v="269"/>
    <s v="#NowPlaying"/>
    <m/>
    <s v="Wrapped2024"/>
    <n v="5507"/>
  </r>
  <r>
    <s v="SP290"/>
    <x v="1"/>
    <d v="2024-08-13T00:00:00"/>
    <s v="Text"/>
    <s v="Explore the latest podcasts now."/>
    <n v="3418"/>
    <n v="107"/>
    <n v="221"/>
    <n v="23927"/>
    <n v="26182"/>
    <n v="155"/>
    <s v="#SoundtrackOfLife"/>
    <m/>
    <s v="IndieWave"/>
    <n v="3746"/>
  </r>
  <r>
    <s v="SP291"/>
    <x v="0"/>
    <d v="2024-06-29T00:00:00"/>
    <s v="Text"/>
    <s v="Your weekend playlist is waiting."/>
    <n v="2088"/>
    <n v="490"/>
    <n v="124"/>
    <n v="46544"/>
    <n v="69346"/>
    <n v="178"/>
    <s v="#SoundtrackOfLife"/>
    <s v="#NowPlaying"/>
    <s v="ChillVibes"/>
    <n v="2702"/>
  </r>
  <r>
    <s v="SP292"/>
    <x v="1"/>
    <d v="2024-11-03T00:00:00"/>
    <s v="Story"/>
    <s v="Explore the latest podcasts now."/>
    <n v="3061"/>
    <n v="320"/>
    <n v="76"/>
    <n v="26640"/>
    <n v="24306"/>
    <n v="112"/>
    <s v="#MusicForEveryone"/>
    <s v="#NowPlaying"/>
    <s v="ChillVibes"/>
    <n v="3457"/>
  </r>
  <r>
    <s v="SP293"/>
    <x v="2"/>
    <d v="2025-04-18T00:00:00"/>
    <s v="Reel"/>
    <s v="Your weekend playlist is waiting."/>
    <n v="1265"/>
    <n v="230"/>
    <n v="364"/>
    <n v="41312"/>
    <n v="50382"/>
    <n v="106"/>
    <s v="#DiscoverWeekly"/>
    <s v="#SoundtrackOfLife"/>
    <s v="SummerBeats"/>
    <n v="1859"/>
  </r>
  <r>
    <s v="SP294"/>
    <x v="0"/>
    <d v="2024-12-27T00:00:00"/>
    <s v="Text"/>
    <s v="From pop to podcasts, itâ€™s all here."/>
    <n v="1436"/>
    <n v="219"/>
    <n v="229"/>
    <n v="58488"/>
    <n v="24314"/>
    <n v="147"/>
    <s v="#DiscoverWeekly"/>
    <m/>
    <s v="IndieWave"/>
    <n v="1884"/>
  </r>
  <r>
    <s v="SP295"/>
    <x v="0"/>
    <d v="2025-03-08T00:00:00"/>
    <s v="Story"/>
    <s v="Top trending tracks updated daily!"/>
    <n v="2244"/>
    <n v="392"/>
    <n v="231"/>
    <n v="25834"/>
    <n v="50906"/>
    <n v="165"/>
    <s v="#NowPlaying"/>
    <m/>
    <s v="Wrapped2024"/>
    <n v="2867"/>
  </r>
  <r>
    <s v="SP296"/>
    <x v="1"/>
    <d v="2025-03-20T00:00:00"/>
    <s v="Story"/>
    <s v="Your weekend playlist is waiting."/>
    <n v="3393"/>
    <n v="104"/>
    <n v="79"/>
    <n v="30025"/>
    <n v="21593"/>
    <n v="165"/>
    <s v="#MusicForEveryone"/>
    <s v="#NowPlaying"/>
    <s v="ChillVibes"/>
    <n v="3576"/>
  </r>
  <r>
    <s v="SP297"/>
    <x v="1"/>
    <d v="2024-11-16T00:00:00"/>
    <s v="Text"/>
    <s v="Explore the latest podcasts now."/>
    <n v="2901"/>
    <n v="108"/>
    <n v="86"/>
    <n v="51777"/>
    <n v="23773"/>
    <n v="160"/>
    <s v="#SoundtrackOfLife"/>
    <m/>
    <s v="IndieWave"/>
    <n v="3095"/>
  </r>
  <r>
    <s v="SP298"/>
    <x v="1"/>
    <d v="2025-06-30T00:00:00"/>
    <s v="Text"/>
    <s v="Whatâ€™s your vibe today? #SpotifyHits"/>
    <n v="2275"/>
    <n v="285"/>
    <n v="125"/>
    <n v="43970"/>
    <n v="74761"/>
    <n v="83"/>
    <s v="#NowPlaying"/>
    <m/>
    <s v="ChillVibes"/>
    <n v="2685"/>
  </r>
  <r>
    <s v="SP299"/>
    <x v="1"/>
    <d v="2024-01-12T00:00:00"/>
    <s v="Story"/>
    <s v="Wrapped is here! Relive your top tracks ðŸŽ§"/>
    <n v="2227"/>
    <n v="494"/>
    <n v="161"/>
    <n v="51651"/>
    <n v="68074"/>
    <n v="240"/>
    <s v="#DiscoverWeekly"/>
    <s v="#MusicForEveryone"/>
    <s v="ChillVibes"/>
    <n v="2882"/>
  </r>
  <r>
    <s v="SP300"/>
    <x v="0"/>
    <d v="2024-02-07T00:00:00"/>
    <s v="Text"/>
    <s v="Music that moves youâ€”only on Spotify."/>
    <n v="1883"/>
    <n v="432"/>
    <n v="397"/>
    <n v="28759"/>
    <n v="18691"/>
    <n v="270"/>
    <s v="#SoundtrackOfLife"/>
    <s v="#NowPlaying"/>
    <s v="ChillVibes"/>
    <n v="27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DF605-3FCF-4471-9F33-7FBD2736601C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latform">
  <location ref="G7:H11" firstHeaderRow="1" firstDataRow="1" firstDataCol="1"/>
  <pivotFields count="15"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dataField="1" numFmtId="1" showAll="0"/>
  </pivotFields>
  <rowFields count="1">
    <field x="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Engagement" fld="14" baseField="1" baseItem="1" numFmtId="1"/>
  </dataFields>
  <formats count="30">
    <format dxfId="104">
      <pivotArea dataOnly="0" labelOnly="1" outline="0" axis="axisValues" fieldPosition="0"/>
    </format>
    <format dxfId="103">
      <pivotArea field="1" type="button" dataOnly="0" labelOnly="1" outline="0" axis="axisRow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field="1" type="button" dataOnly="0" labelOnly="1" outline="0" axis="axisRow" fieldPosition="0"/>
    </format>
    <format dxfId="94">
      <pivotArea dataOnly="0" labelOnly="1" outline="0" axis="axisValues" fieldPosition="0"/>
    </format>
    <format dxfId="93">
      <pivotArea collapsedLevelsAreSubtotals="1" fieldPosition="0">
        <references count="1">
          <reference field="1" count="1">
            <x v="1"/>
          </reference>
        </references>
      </pivotArea>
    </format>
    <format dxfId="92">
      <pivotArea collapsedLevelsAreSubtotals="1" fieldPosition="0">
        <references count="1">
          <reference field="1" count="1">
            <x v="1"/>
          </reference>
        </references>
      </pivotArea>
    </format>
    <format dxfId="91">
      <pivotArea dataOnly="0" labelOnly="1" fieldPosition="0">
        <references count="1">
          <reference field="1" count="1">
            <x v="1"/>
          </reference>
        </references>
      </pivotArea>
    </format>
    <format dxfId="90">
      <pivotArea collapsedLevelsAreSubtotals="1" fieldPosition="0">
        <references count="1">
          <reference field="1" count="1">
            <x v="1"/>
          </reference>
        </references>
      </pivotArea>
    </format>
    <format dxfId="89">
      <pivotArea collapsedLevelsAreSubtotals="1" fieldPosition="0">
        <references count="1">
          <reference field="1" count="0"/>
        </references>
      </pivotArea>
    </format>
    <format dxfId="88">
      <pivotArea dataOnly="0" labelOnly="1" fieldPosition="0">
        <references count="1">
          <reference field="1" count="0"/>
        </references>
      </pivotArea>
    </format>
    <format dxfId="87">
      <pivotArea collapsedLevelsAreSubtotals="1" fieldPosition="0">
        <references count="1">
          <reference field="1" count="0"/>
        </references>
      </pivotArea>
    </format>
    <format dxfId="86">
      <pivotArea dataOnly="0" labelOnly="1" fieldPosition="0">
        <references count="1">
          <reference field="1" count="0"/>
        </references>
      </pivotArea>
    </format>
    <format dxfId="85">
      <pivotArea grandRow="1" outline="0" collapsedLevelsAreSubtotals="1" fieldPosition="0"/>
    </format>
    <format dxfId="84">
      <pivotArea grandRow="1" outline="0" collapsedLevelsAreSubtotals="1" fieldPosition="0"/>
    </format>
    <format dxfId="83">
      <pivotArea collapsedLevelsAreSubtotals="1" fieldPosition="0">
        <references count="1">
          <reference field="1" count="1">
            <x v="1"/>
          </reference>
        </references>
      </pivotArea>
    </format>
    <format dxfId="82">
      <pivotArea dataOnly="0" labelOnly="1" fieldPosition="0">
        <references count="1">
          <reference field="1" count="1">
            <x v="1"/>
          </reference>
        </references>
      </pivotArea>
    </format>
    <format dxfId="81">
      <pivotArea collapsedLevelsAreSubtotals="1" fieldPosition="0">
        <references count="1">
          <reference field="1" count="1">
            <x v="2"/>
          </reference>
        </references>
      </pivotArea>
    </format>
    <format dxfId="80">
      <pivotArea dataOnly="0" labelOnly="1" fieldPosition="0">
        <references count="1">
          <reference field="1" count="1">
            <x v="2"/>
          </reference>
        </references>
      </pivotArea>
    </format>
    <format dxfId="79">
      <pivotArea collapsedLevelsAreSubtotals="1" fieldPosition="0">
        <references count="1">
          <reference field="1" count="1">
            <x v="2"/>
          </reference>
        </references>
      </pivotArea>
    </format>
    <format dxfId="78">
      <pivotArea collapsedLevelsAreSubtotals="1" fieldPosition="0">
        <references count="1">
          <reference field="1" count="1">
            <x v="1"/>
          </reference>
        </references>
      </pivotArea>
    </format>
    <format dxfId="77">
      <pivotArea dataOnly="0" labelOnly="1" fieldPosition="0">
        <references count="1">
          <reference field="1" count="1">
            <x v="1"/>
          </reference>
        </references>
      </pivotArea>
    </format>
    <format dxfId="76">
      <pivotArea collapsedLevelsAreSubtotals="1" fieldPosition="0">
        <references count="1">
          <reference field="1" count="1">
            <x v="2"/>
          </reference>
        </references>
      </pivotArea>
    </format>
    <format dxfId="75">
      <pivotArea dataOnly="0" labelOnly="1" fieldPosition="0">
        <references count="1"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1FDDC-C2CD-4E13-BDA1-3CFEB6984715}" name="PivotTable1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 chartFormat="7" rowHeaderCaption="Week_Start_Date" colHeaderCaption="Platform Labels">
  <location ref="B7:E76" firstHeaderRow="1" firstDataRow="2" firstDataCol="1"/>
  <pivotFields count="10">
    <pivotField axis="axisRow" numFmtId="167" showAll="0">
      <items count="68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Col" showAll="0">
      <items count="4">
        <item sd="0" x="0"/>
        <item sd="0" x="1"/>
        <item sd="0" x="2"/>
        <item t="default"/>
      </items>
    </pivotField>
    <pivotField showAll="0"/>
    <pivotField showAll="0"/>
    <pivotField showAll="0"/>
    <pivotField numFmtId="2" showAll="0"/>
    <pivotField numFmtId="166" showAll="0"/>
    <pivotField numFmtId="1" showAll="0"/>
    <pivotField dataField="1" numFmtId="10" showAll="0"/>
    <pivotField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1"/>
  </colFields>
  <colItems count="3">
    <i>
      <x/>
    </i>
    <i>
      <x v="1"/>
    </i>
    <i>
      <x v="2"/>
    </i>
  </colItems>
  <dataFields count="1">
    <dataField name="Average of Growth Rate (%)" fld="8" subtotal="average" baseField="0" baseItem="0" numFmtId="10"/>
  </dataFields>
  <formats count="32">
    <format dxfId="74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73">
      <pivotArea field="1" type="button" dataOnly="0" labelOnly="1" outline="0" axis="axisCol" fieldPosition="0"/>
    </format>
    <format dxfId="72">
      <pivotArea dataOnly="0" labelOnly="1" fieldPosition="0">
        <references count="1">
          <reference field="1" count="1">
            <x v="0"/>
          </reference>
        </references>
      </pivotArea>
    </format>
    <format dxfId="71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70">
      <pivotArea type="topRight" dataOnly="0" labelOnly="1" outline="0" fieldPosition="0"/>
    </format>
    <format dxfId="69">
      <pivotArea dataOnly="0" labelOnly="1" fieldPosition="0">
        <references count="1">
          <reference field="1" count="1">
            <x v="1"/>
          </reference>
        </references>
      </pivotArea>
    </format>
    <format dxfId="68">
      <pivotArea outline="0" collapsedLevelsAreSubtotals="1" fieldPosition="0">
        <references count="1">
          <reference field="1" count="1" selected="0">
            <x v="2"/>
          </reference>
        </references>
      </pivotArea>
    </format>
    <format dxfId="67">
      <pivotArea dataOnly="0" labelOnly="1" fieldPosition="0">
        <references count="1">
          <reference field="1" count="0"/>
        </references>
      </pivotArea>
    </format>
    <format dxfId="66">
      <pivotArea dataOnly="0" labelOnly="1" fieldPosition="0">
        <references count="1">
          <reference field="1" count="0"/>
        </references>
      </pivotArea>
    </format>
    <format dxfId="65">
      <pivotArea type="all" dataOnly="0" outline="0" fieldPosition="0"/>
    </format>
    <format dxfId="64">
      <pivotArea type="origin" dataOnly="0" labelOnly="1" outline="0" fieldPosition="0"/>
    </format>
    <format dxfId="63">
      <pivotArea field="0" type="button" dataOnly="0" labelOnly="1" outline="0" axis="axisRow" fieldPosition="0"/>
    </format>
    <format dxfId="62">
      <pivotArea type="origin" dataOnly="0" labelOnly="1" outline="0" fieldPosition="0"/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9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58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57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56">
      <pivotArea type="origin" dataOnly="0" labelOnly="1" outline="0" fieldPosition="0"/>
    </format>
    <format dxfId="55">
      <pivotArea field="1" type="button" dataOnly="0" labelOnly="1" outline="0" axis="axisCol" fieldPosition="0"/>
    </format>
    <format dxfId="54">
      <pivotArea type="topRight" dataOnly="0" labelOnly="1" outline="0" fieldPosition="0"/>
    </format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1" count="0"/>
        </references>
      </pivotArea>
    </format>
    <format dxfId="51">
      <pivotArea type="origin" dataOnly="0" labelOnly="1" outline="0" fieldPosition="0"/>
    </format>
    <format dxfId="50">
      <pivotArea field="1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0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field="1" grandRow="1" outline="0" collapsedLevelsAreSubtotals="1" axis="axisCol" fieldPosition="0">
        <references count="1">
          <reference field="1" count="1" selected="0">
            <x v="0"/>
          </reference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1" count="1">
            <x v="0"/>
          </reference>
        </references>
      </pivotArea>
    </format>
    <format dxfId="43">
      <pivotArea collapsedLevelsAreSubtotals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</formats>
  <chartFormats count="11">
    <chartFormat chart="0" format="6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2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</chartFormats>
  <pivotTableStyleInfo name="PivotStyleMedium9" showRowHeaders="1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471D2-0D9C-4C60-BC95-8809A0A8CF14}" name="PivotTable1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latform">
  <location ref="B5:C9" firstHeaderRow="1" firstDataRow="1" firstDataCol="1"/>
  <pivotFields count="15"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dataField="1" numFmtId="1" showAll="0"/>
  </pivotFields>
  <rowFields count="1">
    <field x="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Engagement" fld="14" baseField="1" baseItem="1" numFmtId="1"/>
  </dataFields>
  <formats count="23">
    <format dxfId="22">
      <pivotArea dataOnly="0" labelOnly="1" outline="0" axis="axisValues" fieldPosition="0"/>
    </format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1">
            <x v="1"/>
          </reference>
        </references>
      </pivotArea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fieldPosition="0">
        <references count="1">
          <reference field="1" count="1">
            <x v="2"/>
          </reference>
        </references>
      </pivotArea>
    </format>
    <format dxfId="6">
      <pivotArea collapsedLevelsAreSubtotals="1" fieldPosition="0">
        <references count="1">
          <reference field="1" count="1">
            <x v="2"/>
          </reference>
        </references>
      </pivotArea>
    </format>
    <format dxfId="5">
      <pivotArea dataOnly="0" labelOnly="1" fieldPosition="0">
        <references count="1">
          <reference field="1" count="1">
            <x v="2"/>
          </reference>
        </references>
      </pivotArea>
    </format>
    <format dxfId="4">
      <pivotArea dataOnly="0" labelOnly="1" fieldPosition="0">
        <references count="1">
          <reference field="1" count="1">
            <x v="2"/>
          </reference>
        </references>
      </pivotArea>
    </format>
    <format dxfId="3">
      <pivotArea collapsedLevelsAreSubtotals="1" fieldPosition="0">
        <references count="1">
          <reference field="1" count="1">
            <x v="1"/>
          </reference>
        </references>
      </pivotArea>
    </format>
    <format dxfId="2">
      <pivotArea dataOnly="0" labelOnly="1" fieldPosition="0">
        <references count="1">
          <reference field="1" count="1">
            <x v="1"/>
          </reference>
        </references>
      </pivotArea>
    </format>
    <format dxfId="1">
      <pivotArea collapsedLevelsAreSubtotals="1" fieldPosition="0">
        <references count="1">
          <reference field="1" count="1">
            <x v="2"/>
          </reference>
        </references>
      </pivotArea>
    </format>
    <format dxfId="0">
      <pivotArea dataOnly="0" labelOnly="1" fieldPosition="0">
        <references count="1"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1F1C5-AA74-40E2-AFC9-593F7007CC70}" name="PivotTable16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7" rowHeaderCaption="Week_Start_Date" colHeaderCaption="Platform Labels">
  <location ref="B14:C17" firstHeaderRow="1" firstDataRow="1" firstDataCol="1"/>
  <pivotFields count="10">
    <pivotField axis="axisRow" numFmtId="167" showAll="0" sortType="ascending">
      <items count="68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  <pivotField showAll="0"/>
    <pivotField showAll="0"/>
    <pivotField showAll="0"/>
    <pivotField numFmtId="2" showAll="0"/>
    <pivotField numFmtId="166" showAll="0"/>
    <pivotField numFmtId="1" showAll="0"/>
    <pivotField dataField="1" numFmtId="10" showAll="0"/>
    <pivotField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 count="2">
    <field x="1"/>
    <field x="0"/>
  </rowFields>
  <rowItems count="3">
    <i>
      <x/>
    </i>
    <i>
      <x v="1"/>
    </i>
    <i>
      <x v="2"/>
    </i>
  </rowItems>
  <colItems count="1">
    <i/>
  </colItems>
  <dataFields count="1">
    <dataField name="Average of Growth Rate (%)" fld="8" subtotal="average" baseField="1" baseItem="0" numFmtId="10"/>
  </dataFields>
  <formats count="20">
    <format dxfId="42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1">
            <x v="0"/>
          </reference>
        </references>
      </pivotArea>
    </format>
    <format dxfId="39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38">
      <pivotArea type="topRight" dataOnly="0" labelOnly="1" outline="0" fieldPosition="0"/>
    </format>
    <format dxfId="37">
      <pivotArea dataOnly="0" labelOnly="1" fieldPosition="0">
        <references count="1">
          <reference field="1" count="1">
            <x v="1"/>
          </reference>
        </references>
      </pivotArea>
    </format>
    <format dxfId="36">
      <pivotArea outline="0" collapsedLevelsAreSubtotals="1" fieldPosition="0">
        <references count="1">
          <reference field="1" count="1" selected="0">
            <x v="2"/>
          </reference>
        </references>
      </pivotArea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fieldPosition="0">
        <references count="1">
          <reference field="1" count="0"/>
        </references>
      </pivotArea>
    </format>
    <format dxfId="33">
      <pivotArea type="all" dataOnly="0" outline="0" fieldPosition="0"/>
    </format>
    <format dxfId="32">
      <pivotArea type="origin" dataOnly="0" labelOnly="1" outline="0" fieldPosition="0"/>
    </format>
    <format dxfId="31">
      <pivotArea field="0" type="button" dataOnly="0" labelOnly="1" outline="0" axis="axisRow" fieldPosition="1"/>
    </format>
    <format dxfId="30">
      <pivotArea type="origin" dataOnly="0" labelOnly="1" outline="0" fieldPosition="0"/>
    </format>
    <format dxfId="29">
      <pivotArea field="0" type="button" dataOnly="0" labelOnly="1" outline="0" axis="axisRow" fieldPosition="1"/>
    </format>
    <format dxfId="28">
      <pivotArea collapsedLevelsAreSubtotals="1" fieldPosition="0">
        <references count="1">
          <reference field="1" count="1">
            <x v="1"/>
          </reference>
        </references>
      </pivotArea>
    </format>
    <format dxfId="27">
      <pivotArea dataOnly="0" labelOnly="1" fieldPosition="0">
        <references count="1">
          <reference field="1" count="1">
            <x v="1"/>
          </reference>
        </references>
      </pivotArea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outline="0" axis="axisValues" fieldPosition="0"/>
    </format>
  </formats>
  <chartFormats count="7">
    <chartFormat chart="0" format="6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4BD2-CD55-48B9-88BD-FB2C22AFDEDF}">
  <dimension ref="A1:O999"/>
  <sheetViews>
    <sheetView tabSelected="1" zoomScale="110" zoomScaleNormal="110" workbookViewId="0">
      <selection activeCell="D20" sqref="D20"/>
    </sheetView>
  </sheetViews>
  <sheetFormatPr defaultColWidth="14.77734375" defaultRowHeight="15" customHeight="1"/>
  <cols>
    <col min="1" max="1" width="14.6640625" style="31" customWidth="1"/>
    <col min="2" max="2" width="14.77734375" style="32" customWidth="1"/>
    <col min="3" max="3" width="14.77734375" style="33" customWidth="1"/>
    <col min="4" max="4" width="14.77734375" style="32" customWidth="1"/>
    <col min="5" max="5" width="43.109375" style="32" customWidth="1"/>
    <col min="6" max="11" width="14.77734375" style="34" customWidth="1"/>
    <col min="12" max="12" width="22.88671875" style="31" customWidth="1"/>
    <col min="13" max="13" width="23.5546875" style="31" customWidth="1"/>
    <col min="14" max="14" width="17.77734375" style="32" bestFit="1" customWidth="1"/>
    <col min="15" max="15" width="14.6640625" customWidth="1"/>
    <col min="16" max="27" width="8.6640625" customWidth="1"/>
  </cols>
  <sheetData>
    <row r="1" spans="1:15" ht="19.95" customHeight="1">
      <c r="A1" s="23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4" t="s">
        <v>381</v>
      </c>
      <c r="M1" s="24" t="s">
        <v>382</v>
      </c>
      <c r="N1" s="24" t="s">
        <v>12</v>
      </c>
      <c r="O1" s="55" t="s">
        <v>360</v>
      </c>
    </row>
    <row r="2" spans="1:15" ht="14.4">
      <c r="A2" s="27" t="s">
        <v>13</v>
      </c>
      <c r="B2" s="28" t="s">
        <v>14</v>
      </c>
      <c r="C2" s="29">
        <v>45781</v>
      </c>
      <c r="D2" s="28" t="s">
        <v>15</v>
      </c>
      <c r="E2" s="28" t="s">
        <v>16</v>
      </c>
      <c r="F2" s="30">
        <v>2414</v>
      </c>
      <c r="G2" s="30">
        <v>245</v>
      </c>
      <c r="H2" s="30">
        <v>137</v>
      </c>
      <c r="I2" s="30">
        <v>21181</v>
      </c>
      <c r="J2" s="30">
        <v>45292</v>
      </c>
      <c r="K2" s="30">
        <v>133</v>
      </c>
      <c r="L2" s="27" t="s">
        <v>45</v>
      </c>
      <c r="M2" s="27" t="s">
        <v>42</v>
      </c>
      <c r="N2" s="28" t="s">
        <v>18</v>
      </c>
      <c r="O2" s="43">
        <f>F2+G2+H2</f>
        <v>2796</v>
      </c>
    </row>
    <row r="3" spans="1:15" ht="14.4">
      <c r="A3" s="27" t="s">
        <v>19</v>
      </c>
      <c r="B3" s="28" t="s">
        <v>14</v>
      </c>
      <c r="C3" s="29">
        <v>45689</v>
      </c>
      <c r="D3" s="28" t="s">
        <v>15</v>
      </c>
      <c r="E3" s="28" t="s">
        <v>20</v>
      </c>
      <c r="F3" s="30">
        <v>1934</v>
      </c>
      <c r="G3" s="30">
        <v>210</v>
      </c>
      <c r="H3" s="30">
        <v>393</v>
      </c>
      <c r="I3" s="30">
        <v>29129</v>
      </c>
      <c r="J3" s="30">
        <v>73287</v>
      </c>
      <c r="K3" s="30">
        <v>273</v>
      </c>
      <c r="L3" s="27" t="s">
        <v>21</v>
      </c>
      <c r="M3" s="27"/>
      <c r="N3" s="28" t="s">
        <v>22</v>
      </c>
      <c r="O3" s="43">
        <f t="shared" ref="O3:O66" si="0">F3+G3+H3</f>
        <v>2537</v>
      </c>
    </row>
    <row r="4" spans="1:15" ht="14.4">
      <c r="A4" s="27" t="s">
        <v>23</v>
      </c>
      <c r="B4" s="28" t="s">
        <v>24</v>
      </c>
      <c r="C4" s="29">
        <v>45629</v>
      </c>
      <c r="D4" s="28" t="s">
        <v>25</v>
      </c>
      <c r="E4" s="28" t="s">
        <v>26</v>
      </c>
      <c r="F4" s="30">
        <v>3092</v>
      </c>
      <c r="G4" s="30">
        <v>177</v>
      </c>
      <c r="H4" s="30">
        <v>81</v>
      </c>
      <c r="I4" s="30">
        <v>47533</v>
      </c>
      <c r="J4" s="30">
        <v>29220</v>
      </c>
      <c r="K4" s="30">
        <v>121</v>
      </c>
      <c r="L4" s="27" t="s">
        <v>379</v>
      </c>
      <c r="M4" s="27" t="s">
        <v>42</v>
      </c>
      <c r="N4" s="28" t="s">
        <v>18</v>
      </c>
      <c r="O4" s="43">
        <f t="shared" si="0"/>
        <v>3350</v>
      </c>
    </row>
    <row r="5" spans="1:15" ht="14.4">
      <c r="A5" s="27" t="s">
        <v>28</v>
      </c>
      <c r="B5" s="28" t="s">
        <v>14</v>
      </c>
      <c r="C5" s="29">
        <v>45629</v>
      </c>
      <c r="D5" s="28" t="s">
        <v>15</v>
      </c>
      <c r="E5" s="28" t="s">
        <v>29</v>
      </c>
      <c r="F5" s="30">
        <v>3173</v>
      </c>
      <c r="G5" s="30">
        <v>229</v>
      </c>
      <c r="H5" s="30">
        <v>197</v>
      </c>
      <c r="I5" s="30">
        <v>29604</v>
      </c>
      <c r="J5" s="30">
        <v>21809</v>
      </c>
      <c r="K5" s="30">
        <v>272</v>
      </c>
      <c r="L5" s="27" t="s">
        <v>45</v>
      </c>
      <c r="M5" s="27" t="s">
        <v>42</v>
      </c>
      <c r="N5" s="28" t="s">
        <v>18</v>
      </c>
      <c r="O5" s="43">
        <f t="shared" si="0"/>
        <v>3599</v>
      </c>
    </row>
    <row r="6" spans="1:15" ht="14.4">
      <c r="A6" s="27" t="s">
        <v>30</v>
      </c>
      <c r="B6" s="28" t="s">
        <v>31</v>
      </c>
      <c r="C6" s="29">
        <v>45388</v>
      </c>
      <c r="D6" s="28" t="s">
        <v>15</v>
      </c>
      <c r="E6" s="28" t="s">
        <v>32</v>
      </c>
      <c r="F6" s="30">
        <v>2748</v>
      </c>
      <c r="G6" s="30">
        <v>145</v>
      </c>
      <c r="H6" s="30">
        <v>315</v>
      </c>
      <c r="I6" s="30">
        <v>24401</v>
      </c>
      <c r="J6" s="30">
        <v>61182</v>
      </c>
      <c r="K6" s="30">
        <v>200</v>
      </c>
      <c r="L6" s="27" t="s">
        <v>21</v>
      </c>
      <c r="M6" s="27" t="s">
        <v>380</v>
      </c>
      <c r="N6" s="28" t="s">
        <v>22</v>
      </c>
      <c r="O6" s="43">
        <f t="shared" si="0"/>
        <v>3208</v>
      </c>
    </row>
    <row r="7" spans="1:15" ht="14.4">
      <c r="A7" s="27" t="s">
        <v>34</v>
      </c>
      <c r="B7" s="28" t="s">
        <v>31</v>
      </c>
      <c r="C7" s="29">
        <v>45456</v>
      </c>
      <c r="D7" s="28" t="s">
        <v>15</v>
      </c>
      <c r="E7" s="28" t="s">
        <v>35</v>
      </c>
      <c r="F7" s="30">
        <v>3882</v>
      </c>
      <c r="G7" s="30">
        <v>239</v>
      </c>
      <c r="H7" s="30">
        <v>275</v>
      </c>
      <c r="I7" s="30">
        <v>58748</v>
      </c>
      <c r="J7" s="30">
        <v>44646</v>
      </c>
      <c r="K7" s="30">
        <v>149</v>
      </c>
      <c r="L7" s="27" t="s">
        <v>21</v>
      </c>
      <c r="M7" s="27" t="s">
        <v>380</v>
      </c>
      <c r="N7" s="28" t="s">
        <v>22</v>
      </c>
      <c r="O7" s="43">
        <f t="shared" si="0"/>
        <v>4396</v>
      </c>
    </row>
    <row r="8" spans="1:15" ht="14.4">
      <c r="A8" s="27" t="s">
        <v>36</v>
      </c>
      <c r="B8" s="28" t="s">
        <v>24</v>
      </c>
      <c r="C8" s="29">
        <v>45645</v>
      </c>
      <c r="D8" s="28" t="s">
        <v>25</v>
      </c>
      <c r="E8" s="28" t="s">
        <v>37</v>
      </c>
      <c r="F8" s="30">
        <v>4674</v>
      </c>
      <c r="G8" s="30">
        <v>409</v>
      </c>
      <c r="H8" s="30">
        <v>327</v>
      </c>
      <c r="I8" s="30">
        <v>20756</v>
      </c>
      <c r="J8" s="30">
        <v>63599</v>
      </c>
      <c r="K8" s="30">
        <v>212</v>
      </c>
      <c r="L8" s="27" t="s">
        <v>45</v>
      </c>
      <c r="M8" s="27" t="s">
        <v>42</v>
      </c>
      <c r="N8" s="28" t="s">
        <v>18</v>
      </c>
      <c r="O8" s="43">
        <f t="shared" si="0"/>
        <v>5410</v>
      </c>
    </row>
    <row r="9" spans="1:15" ht="14.4">
      <c r="A9" s="27" t="s">
        <v>38</v>
      </c>
      <c r="B9" s="28" t="s">
        <v>24</v>
      </c>
      <c r="C9" s="29">
        <v>45421</v>
      </c>
      <c r="D9" s="28" t="s">
        <v>25</v>
      </c>
      <c r="E9" s="28" t="s">
        <v>29</v>
      </c>
      <c r="F9" s="30">
        <v>1428</v>
      </c>
      <c r="G9" s="30">
        <v>347</v>
      </c>
      <c r="H9" s="30">
        <v>67</v>
      </c>
      <c r="I9" s="30">
        <v>21148</v>
      </c>
      <c r="J9" s="30">
        <v>19712</v>
      </c>
      <c r="K9" s="30">
        <v>120</v>
      </c>
      <c r="L9" s="27" t="s">
        <v>21</v>
      </c>
      <c r="M9" s="27" t="s">
        <v>379</v>
      </c>
      <c r="N9" s="28" t="s">
        <v>18</v>
      </c>
      <c r="O9" s="43">
        <f t="shared" si="0"/>
        <v>1842</v>
      </c>
    </row>
    <row r="10" spans="1:15" ht="14.4">
      <c r="A10" s="27" t="s">
        <v>40</v>
      </c>
      <c r="B10" s="28" t="s">
        <v>24</v>
      </c>
      <c r="C10" s="29">
        <v>45823</v>
      </c>
      <c r="D10" s="28" t="s">
        <v>15</v>
      </c>
      <c r="E10" s="28" t="s">
        <v>41</v>
      </c>
      <c r="F10" s="30">
        <v>4432</v>
      </c>
      <c r="G10" s="30">
        <v>223</v>
      </c>
      <c r="H10" s="30">
        <v>299</v>
      </c>
      <c r="I10" s="30">
        <v>59016</v>
      </c>
      <c r="J10" s="30">
        <v>21742</v>
      </c>
      <c r="K10" s="30">
        <v>171</v>
      </c>
      <c r="L10" s="27" t="s">
        <v>42</v>
      </c>
      <c r="M10" s="27"/>
      <c r="N10" s="28" t="s">
        <v>18</v>
      </c>
      <c r="O10" s="43">
        <f t="shared" si="0"/>
        <v>4954</v>
      </c>
    </row>
    <row r="11" spans="1:15" ht="14.4">
      <c r="A11" s="27" t="s">
        <v>43</v>
      </c>
      <c r="B11" s="28" t="s">
        <v>24</v>
      </c>
      <c r="C11" s="29">
        <v>45630</v>
      </c>
      <c r="D11" s="28" t="s">
        <v>15</v>
      </c>
      <c r="E11" s="28" t="s">
        <v>29</v>
      </c>
      <c r="F11" s="30">
        <v>2357</v>
      </c>
      <c r="G11" s="30">
        <v>274</v>
      </c>
      <c r="H11" s="30">
        <v>172</v>
      </c>
      <c r="I11" s="30">
        <v>21566</v>
      </c>
      <c r="J11" s="30">
        <v>66829</v>
      </c>
      <c r="K11" s="30">
        <v>284</v>
      </c>
      <c r="L11" s="27" t="s">
        <v>42</v>
      </c>
      <c r="M11" s="27"/>
      <c r="N11" s="28" t="s">
        <v>18</v>
      </c>
      <c r="O11" s="43">
        <f t="shared" si="0"/>
        <v>2803</v>
      </c>
    </row>
    <row r="12" spans="1:15" ht="14.4">
      <c r="A12" s="27" t="s">
        <v>44</v>
      </c>
      <c r="B12" s="28" t="s">
        <v>24</v>
      </c>
      <c r="C12" s="29">
        <v>45357</v>
      </c>
      <c r="D12" s="28" t="s">
        <v>15</v>
      </c>
      <c r="E12" s="28" t="s">
        <v>16</v>
      </c>
      <c r="F12" s="30">
        <v>1971</v>
      </c>
      <c r="G12" s="30">
        <v>370</v>
      </c>
      <c r="H12" s="30">
        <v>306</v>
      </c>
      <c r="I12" s="30">
        <v>31316</v>
      </c>
      <c r="J12" s="30">
        <v>27897</v>
      </c>
      <c r="K12" s="30">
        <v>88</v>
      </c>
      <c r="L12" s="27" t="s">
        <v>45</v>
      </c>
      <c r="M12" s="27"/>
      <c r="N12" s="28" t="s">
        <v>22</v>
      </c>
      <c r="O12" s="43">
        <f t="shared" si="0"/>
        <v>2647</v>
      </c>
    </row>
    <row r="13" spans="1:15" ht="14.4">
      <c r="A13" s="27" t="s">
        <v>46</v>
      </c>
      <c r="B13" s="28" t="s">
        <v>14</v>
      </c>
      <c r="C13" s="29">
        <v>45426</v>
      </c>
      <c r="D13" s="28" t="s">
        <v>15</v>
      </c>
      <c r="E13" s="28" t="s">
        <v>16</v>
      </c>
      <c r="F13" s="30">
        <v>1485</v>
      </c>
      <c r="G13" s="30">
        <v>353</v>
      </c>
      <c r="H13" s="30">
        <v>244</v>
      </c>
      <c r="I13" s="30">
        <v>38419</v>
      </c>
      <c r="J13" s="30">
        <v>38556</v>
      </c>
      <c r="K13" s="30">
        <v>86</v>
      </c>
      <c r="L13" s="27" t="s">
        <v>45</v>
      </c>
      <c r="M13" s="27" t="s">
        <v>42</v>
      </c>
      <c r="N13" s="28" t="s">
        <v>18</v>
      </c>
      <c r="O13" s="43">
        <f t="shared" si="0"/>
        <v>2082</v>
      </c>
    </row>
    <row r="14" spans="1:15" ht="14.4">
      <c r="A14" s="27" t="s">
        <v>47</v>
      </c>
      <c r="B14" s="28" t="s">
        <v>24</v>
      </c>
      <c r="C14" s="29">
        <v>45826</v>
      </c>
      <c r="D14" s="28" t="s">
        <v>25</v>
      </c>
      <c r="E14" s="28" t="s">
        <v>16</v>
      </c>
      <c r="F14" s="30">
        <v>3956</v>
      </c>
      <c r="G14" s="30">
        <v>319</v>
      </c>
      <c r="H14" s="30">
        <v>61</v>
      </c>
      <c r="I14" s="30">
        <v>58162</v>
      </c>
      <c r="J14" s="30">
        <v>28720</v>
      </c>
      <c r="K14" s="30">
        <v>213</v>
      </c>
      <c r="L14" s="27" t="s">
        <v>379</v>
      </c>
      <c r="M14" s="27" t="s">
        <v>42</v>
      </c>
      <c r="N14" s="28" t="s">
        <v>18</v>
      </c>
      <c r="O14" s="43">
        <f t="shared" si="0"/>
        <v>4336</v>
      </c>
    </row>
    <row r="15" spans="1:15" ht="14.4">
      <c r="A15" s="27" t="s">
        <v>48</v>
      </c>
      <c r="B15" s="28" t="s">
        <v>24</v>
      </c>
      <c r="C15" s="29">
        <v>45573</v>
      </c>
      <c r="D15" s="28" t="s">
        <v>15</v>
      </c>
      <c r="E15" s="28" t="s">
        <v>49</v>
      </c>
      <c r="F15" s="30">
        <v>2460</v>
      </c>
      <c r="G15" s="30">
        <v>409</v>
      </c>
      <c r="H15" s="30">
        <v>253</v>
      </c>
      <c r="I15" s="30">
        <v>36702</v>
      </c>
      <c r="J15" s="30">
        <v>46122</v>
      </c>
      <c r="K15" s="30">
        <v>264</v>
      </c>
      <c r="L15" s="27" t="s">
        <v>42</v>
      </c>
      <c r="M15" s="27"/>
      <c r="N15" s="28" t="s">
        <v>18</v>
      </c>
      <c r="O15" s="43">
        <f t="shared" si="0"/>
        <v>3122</v>
      </c>
    </row>
    <row r="16" spans="1:15" ht="14.4">
      <c r="A16" s="27" t="s">
        <v>50</v>
      </c>
      <c r="B16" s="28" t="s">
        <v>24</v>
      </c>
      <c r="C16" s="29">
        <v>45418</v>
      </c>
      <c r="D16" s="28" t="s">
        <v>15</v>
      </c>
      <c r="E16" s="28" t="s">
        <v>51</v>
      </c>
      <c r="F16" s="30">
        <v>3476</v>
      </c>
      <c r="G16" s="30">
        <v>355</v>
      </c>
      <c r="H16" s="30">
        <v>396</v>
      </c>
      <c r="I16" s="30">
        <v>37492</v>
      </c>
      <c r="J16" s="30">
        <v>27285</v>
      </c>
      <c r="K16" s="30">
        <v>179</v>
      </c>
      <c r="L16" s="27" t="s">
        <v>42</v>
      </c>
      <c r="M16" s="27"/>
      <c r="N16" s="28" t="s">
        <v>18</v>
      </c>
      <c r="O16" s="43">
        <f t="shared" si="0"/>
        <v>4227</v>
      </c>
    </row>
    <row r="17" spans="1:15" ht="14.4">
      <c r="A17" s="27" t="s">
        <v>52</v>
      </c>
      <c r="B17" s="28" t="s">
        <v>24</v>
      </c>
      <c r="C17" s="29">
        <v>45655</v>
      </c>
      <c r="D17" s="28" t="s">
        <v>25</v>
      </c>
      <c r="E17" s="28" t="s">
        <v>26</v>
      </c>
      <c r="F17" s="30">
        <v>4049</v>
      </c>
      <c r="G17" s="30">
        <v>377</v>
      </c>
      <c r="H17" s="30">
        <v>94</v>
      </c>
      <c r="I17" s="30">
        <v>48182</v>
      </c>
      <c r="J17" s="30">
        <v>42875</v>
      </c>
      <c r="K17" s="30">
        <v>172</v>
      </c>
      <c r="L17" s="27" t="s">
        <v>379</v>
      </c>
      <c r="M17" s="27" t="s">
        <v>42</v>
      </c>
      <c r="N17" s="28" t="s">
        <v>18</v>
      </c>
      <c r="O17" s="43">
        <f t="shared" si="0"/>
        <v>4520</v>
      </c>
    </row>
    <row r="18" spans="1:15" ht="14.4">
      <c r="A18" s="27" t="s">
        <v>53</v>
      </c>
      <c r="B18" s="28" t="s">
        <v>24</v>
      </c>
      <c r="C18" s="29">
        <v>45453</v>
      </c>
      <c r="D18" s="28" t="s">
        <v>15</v>
      </c>
      <c r="E18" s="28" t="s">
        <v>35</v>
      </c>
      <c r="F18" s="30">
        <v>1514</v>
      </c>
      <c r="G18" s="30">
        <v>164</v>
      </c>
      <c r="H18" s="30">
        <v>275</v>
      </c>
      <c r="I18" s="30">
        <v>41364</v>
      </c>
      <c r="J18" s="30">
        <v>44389</v>
      </c>
      <c r="K18" s="30">
        <v>83</v>
      </c>
      <c r="L18" s="27" t="s">
        <v>42</v>
      </c>
      <c r="M18" s="27"/>
      <c r="N18" s="28" t="s">
        <v>18</v>
      </c>
      <c r="O18" s="43">
        <f t="shared" si="0"/>
        <v>1953</v>
      </c>
    </row>
    <row r="19" spans="1:15" ht="14.4">
      <c r="A19" s="27" t="s">
        <v>54</v>
      </c>
      <c r="B19" s="28" t="s">
        <v>14</v>
      </c>
      <c r="C19" s="29">
        <v>45325</v>
      </c>
      <c r="D19" s="28" t="s">
        <v>25</v>
      </c>
      <c r="E19" s="28" t="s">
        <v>32</v>
      </c>
      <c r="F19" s="30">
        <v>4281</v>
      </c>
      <c r="G19" s="30">
        <v>101</v>
      </c>
      <c r="H19" s="30">
        <v>163</v>
      </c>
      <c r="I19" s="30">
        <v>32278</v>
      </c>
      <c r="J19" s="30">
        <v>53382</v>
      </c>
      <c r="K19" s="30">
        <v>235</v>
      </c>
      <c r="L19" s="27" t="s">
        <v>42</v>
      </c>
      <c r="M19" s="27"/>
      <c r="N19" s="28" t="s">
        <v>55</v>
      </c>
      <c r="O19" s="43">
        <f t="shared" si="0"/>
        <v>4545</v>
      </c>
    </row>
    <row r="20" spans="1:15" ht="14.4">
      <c r="A20" s="27" t="s">
        <v>56</v>
      </c>
      <c r="B20" s="28" t="s">
        <v>31</v>
      </c>
      <c r="C20" s="29">
        <v>45458</v>
      </c>
      <c r="D20" s="28" t="s">
        <v>57</v>
      </c>
      <c r="E20" s="28" t="s">
        <v>37</v>
      </c>
      <c r="F20" s="30">
        <v>1751</v>
      </c>
      <c r="G20" s="30">
        <v>143</v>
      </c>
      <c r="H20" s="30">
        <v>151</v>
      </c>
      <c r="I20" s="30">
        <v>31826</v>
      </c>
      <c r="J20" s="30">
        <v>47729</v>
      </c>
      <c r="K20" s="30">
        <v>95</v>
      </c>
      <c r="L20" s="27" t="s">
        <v>21</v>
      </c>
      <c r="M20" s="27" t="s">
        <v>45</v>
      </c>
      <c r="N20" s="28" t="s">
        <v>59</v>
      </c>
      <c r="O20" s="43">
        <f t="shared" si="0"/>
        <v>2045</v>
      </c>
    </row>
    <row r="21" spans="1:15" ht="15.75" customHeight="1">
      <c r="A21" s="27" t="s">
        <v>60</v>
      </c>
      <c r="B21" s="28" t="s">
        <v>14</v>
      </c>
      <c r="C21" s="29">
        <v>45478</v>
      </c>
      <c r="D21" s="28" t="s">
        <v>15</v>
      </c>
      <c r="E21" s="28" t="s">
        <v>51</v>
      </c>
      <c r="F21" s="30">
        <v>3753</v>
      </c>
      <c r="G21" s="30">
        <v>411</v>
      </c>
      <c r="H21" s="30">
        <v>308</v>
      </c>
      <c r="I21" s="30">
        <v>29138</v>
      </c>
      <c r="J21" s="30">
        <v>27678</v>
      </c>
      <c r="K21" s="30">
        <v>90</v>
      </c>
      <c r="L21" s="27" t="s">
        <v>21</v>
      </c>
      <c r="M21" s="27"/>
      <c r="N21" s="28" t="s">
        <v>22</v>
      </c>
      <c r="O21" s="43">
        <f t="shared" si="0"/>
        <v>4472</v>
      </c>
    </row>
    <row r="22" spans="1:15" ht="15.75" customHeight="1">
      <c r="A22" s="27" t="s">
        <v>61</v>
      </c>
      <c r="B22" s="28" t="s">
        <v>14</v>
      </c>
      <c r="C22" s="29">
        <v>45603</v>
      </c>
      <c r="D22" s="28" t="s">
        <v>25</v>
      </c>
      <c r="E22" s="28" t="s">
        <v>29</v>
      </c>
      <c r="F22" s="30">
        <v>1678</v>
      </c>
      <c r="G22" s="30">
        <v>423</v>
      </c>
      <c r="H22" s="30">
        <v>323</v>
      </c>
      <c r="I22" s="30">
        <v>55668</v>
      </c>
      <c r="J22" s="30">
        <v>37945</v>
      </c>
      <c r="K22" s="30">
        <v>230</v>
      </c>
      <c r="L22" s="27" t="s">
        <v>42</v>
      </c>
      <c r="M22" s="27"/>
      <c r="N22" s="28" t="s">
        <v>55</v>
      </c>
      <c r="O22" s="43">
        <f t="shared" si="0"/>
        <v>2424</v>
      </c>
    </row>
    <row r="23" spans="1:15" ht="15.75" customHeight="1">
      <c r="A23" s="27" t="s">
        <v>62</v>
      </c>
      <c r="B23" s="28" t="s">
        <v>14</v>
      </c>
      <c r="C23" s="29">
        <v>45823</v>
      </c>
      <c r="D23" s="28" t="s">
        <v>15</v>
      </c>
      <c r="E23" s="28" t="s">
        <v>35</v>
      </c>
      <c r="F23" s="30">
        <v>4896</v>
      </c>
      <c r="G23" s="30">
        <v>466</v>
      </c>
      <c r="H23" s="30">
        <v>233</v>
      </c>
      <c r="I23" s="30">
        <v>28621</v>
      </c>
      <c r="J23" s="30">
        <v>34270</v>
      </c>
      <c r="K23" s="30">
        <v>84</v>
      </c>
      <c r="L23" s="27" t="s">
        <v>45</v>
      </c>
      <c r="M23" s="27" t="s">
        <v>42</v>
      </c>
      <c r="N23" s="28" t="s">
        <v>18</v>
      </c>
      <c r="O23" s="43">
        <f t="shared" si="0"/>
        <v>5595</v>
      </c>
    </row>
    <row r="24" spans="1:15" ht="15.75" customHeight="1">
      <c r="A24" s="27" t="s">
        <v>63</v>
      </c>
      <c r="B24" s="28" t="s">
        <v>31</v>
      </c>
      <c r="C24" s="29">
        <v>45452</v>
      </c>
      <c r="D24" s="28" t="s">
        <v>57</v>
      </c>
      <c r="E24" s="28" t="s">
        <v>49</v>
      </c>
      <c r="F24" s="30">
        <v>2786</v>
      </c>
      <c r="G24" s="30">
        <v>368</v>
      </c>
      <c r="H24" s="30">
        <v>208</v>
      </c>
      <c r="I24" s="30">
        <v>42000</v>
      </c>
      <c r="J24" s="30">
        <v>39967</v>
      </c>
      <c r="K24" s="30">
        <v>103</v>
      </c>
      <c r="L24" s="27" t="s">
        <v>21</v>
      </c>
      <c r="M24" s="27" t="s">
        <v>45</v>
      </c>
      <c r="N24" s="28" t="s">
        <v>59</v>
      </c>
      <c r="O24" s="43">
        <f t="shared" si="0"/>
        <v>3362</v>
      </c>
    </row>
    <row r="25" spans="1:15" ht="15.75" customHeight="1">
      <c r="A25" s="27" t="s">
        <v>64</v>
      </c>
      <c r="B25" s="28" t="s">
        <v>24</v>
      </c>
      <c r="C25" s="29">
        <v>45583</v>
      </c>
      <c r="D25" s="28" t="s">
        <v>15</v>
      </c>
      <c r="E25" s="28" t="s">
        <v>26</v>
      </c>
      <c r="F25" s="30">
        <v>2607</v>
      </c>
      <c r="G25" s="30">
        <v>379</v>
      </c>
      <c r="H25" s="30">
        <v>180</v>
      </c>
      <c r="I25" s="30">
        <v>28712</v>
      </c>
      <c r="J25" s="30">
        <v>61620</v>
      </c>
      <c r="K25" s="30">
        <v>174</v>
      </c>
      <c r="L25" s="27" t="s">
        <v>45</v>
      </c>
      <c r="M25" s="27"/>
      <c r="N25" s="28" t="s">
        <v>22</v>
      </c>
      <c r="O25" s="43">
        <f t="shared" si="0"/>
        <v>3166</v>
      </c>
    </row>
    <row r="26" spans="1:15" ht="15.75" customHeight="1">
      <c r="A26" s="27" t="s">
        <v>65</v>
      </c>
      <c r="B26" s="28" t="s">
        <v>31</v>
      </c>
      <c r="C26" s="29">
        <v>45575</v>
      </c>
      <c r="D26" s="28" t="s">
        <v>57</v>
      </c>
      <c r="E26" s="28" t="s">
        <v>49</v>
      </c>
      <c r="F26" s="30">
        <v>4013</v>
      </c>
      <c r="G26" s="30">
        <v>320</v>
      </c>
      <c r="H26" s="30">
        <v>92</v>
      </c>
      <c r="I26" s="30">
        <v>54605</v>
      </c>
      <c r="J26" s="30">
        <v>60169</v>
      </c>
      <c r="K26" s="30">
        <v>232</v>
      </c>
      <c r="L26" s="27" t="s">
        <v>21</v>
      </c>
      <c r="M26" s="27" t="s">
        <v>45</v>
      </c>
      <c r="N26" s="28" t="s">
        <v>59</v>
      </c>
      <c r="O26" s="43">
        <f t="shared" si="0"/>
        <v>4425</v>
      </c>
    </row>
    <row r="27" spans="1:15" ht="15.75" customHeight="1">
      <c r="A27" s="27" t="s">
        <v>66</v>
      </c>
      <c r="B27" s="28" t="s">
        <v>24</v>
      </c>
      <c r="C27" s="29">
        <v>45791</v>
      </c>
      <c r="D27" s="28" t="s">
        <v>25</v>
      </c>
      <c r="E27" s="28" t="s">
        <v>49</v>
      </c>
      <c r="F27" s="30">
        <v>2707</v>
      </c>
      <c r="G27" s="30">
        <v>103</v>
      </c>
      <c r="H27" s="30">
        <v>51</v>
      </c>
      <c r="I27" s="30">
        <v>55302</v>
      </c>
      <c r="J27" s="30">
        <v>18801</v>
      </c>
      <c r="K27" s="30">
        <v>147</v>
      </c>
      <c r="L27" s="27" t="s">
        <v>21</v>
      </c>
      <c r="M27" s="27" t="s">
        <v>379</v>
      </c>
      <c r="N27" s="28" t="s">
        <v>18</v>
      </c>
      <c r="O27" s="43">
        <f t="shared" si="0"/>
        <v>2861</v>
      </c>
    </row>
    <row r="28" spans="1:15" ht="15.75" customHeight="1">
      <c r="A28" s="27" t="s">
        <v>67</v>
      </c>
      <c r="B28" s="28" t="s">
        <v>14</v>
      </c>
      <c r="C28" s="29">
        <v>45625</v>
      </c>
      <c r="D28" s="28" t="s">
        <v>15</v>
      </c>
      <c r="E28" s="28" t="s">
        <v>35</v>
      </c>
      <c r="F28" s="30">
        <v>2824</v>
      </c>
      <c r="G28" s="30">
        <v>425</v>
      </c>
      <c r="H28" s="30">
        <v>274</v>
      </c>
      <c r="I28" s="30">
        <v>31004</v>
      </c>
      <c r="J28" s="30">
        <v>53488</v>
      </c>
      <c r="K28" s="30">
        <v>268</v>
      </c>
      <c r="L28" s="27" t="s">
        <v>45</v>
      </c>
      <c r="M28" s="27" t="s">
        <v>42</v>
      </c>
      <c r="N28" s="28" t="s">
        <v>18</v>
      </c>
      <c r="O28" s="43">
        <f t="shared" si="0"/>
        <v>3523</v>
      </c>
    </row>
    <row r="29" spans="1:15" ht="15.75" customHeight="1">
      <c r="A29" s="27" t="s">
        <v>68</v>
      </c>
      <c r="B29" s="28" t="s">
        <v>31</v>
      </c>
      <c r="C29" s="29">
        <v>45356</v>
      </c>
      <c r="D29" s="28" t="s">
        <v>57</v>
      </c>
      <c r="E29" s="28" t="s">
        <v>20</v>
      </c>
      <c r="F29" s="30">
        <v>3558</v>
      </c>
      <c r="G29" s="30">
        <v>314</v>
      </c>
      <c r="H29" s="30">
        <v>199</v>
      </c>
      <c r="I29" s="30">
        <v>49612</v>
      </c>
      <c r="J29" s="30">
        <v>53929</v>
      </c>
      <c r="K29" s="30">
        <v>206</v>
      </c>
      <c r="L29" s="27" t="s">
        <v>21</v>
      </c>
      <c r="M29" s="27" t="s">
        <v>45</v>
      </c>
      <c r="N29" s="28" t="s">
        <v>59</v>
      </c>
      <c r="O29" s="43">
        <f t="shared" si="0"/>
        <v>4071</v>
      </c>
    </row>
    <row r="30" spans="1:15" ht="15.75" customHeight="1">
      <c r="A30" s="27" t="s">
        <v>69</v>
      </c>
      <c r="B30" s="28" t="s">
        <v>24</v>
      </c>
      <c r="C30" s="29">
        <v>45734</v>
      </c>
      <c r="D30" s="28" t="s">
        <v>25</v>
      </c>
      <c r="E30" s="28" t="s">
        <v>20</v>
      </c>
      <c r="F30" s="30">
        <v>3418</v>
      </c>
      <c r="G30" s="30">
        <v>188</v>
      </c>
      <c r="H30" s="30">
        <v>387</v>
      </c>
      <c r="I30" s="30">
        <v>57431</v>
      </c>
      <c r="J30" s="30">
        <v>36933</v>
      </c>
      <c r="K30" s="30">
        <v>202</v>
      </c>
      <c r="L30" s="27" t="s">
        <v>379</v>
      </c>
      <c r="M30" s="27" t="s">
        <v>42</v>
      </c>
      <c r="N30" s="28" t="s">
        <v>18</v>
      </c>
      <c r="O30" s="43">
        <f t="shared" si="0"/>
        <v>3993</v>
      </c>
    </row>
    <row r="31" spans="1:15" ht="15.75" customHeight="1">
      <c r="A31" s="27" t="s">
        <v>70</v>
      </c>
      <c r="B31" s="28" t="s">
        <v>24</v>
      </c>
      <c r="C31" s="29">
        <v>45773</v>
      </c>
      <c r="D31" s="28" t="s">
        <v>15</v>
      </c>
      <c r="E31" s="28" t="s">
        <v>16</v>
      </c>
      <c r="F31" s="30">
        <v>2411</v>
      </c>
      <c r="G31" s="30">
        <v>194</v>
      </c>
      <c r="H31" s="30">
        <v>168</v>
      </c>
      <c r="I31" s="30">
        <v>26665</v>
      </c>
      <c r="J31" s="30">
        <v>71699</v>
      </c>
      <c r="K31" s="30">
        <v>197</v>
      </c>
      <c r="L31" s="27" t="s">
        <v>42</v>
      </c>
      <c r="M31" s="27"/>
      <c r="N31" s="28" t="s">
        <v>18</v>
      </c>
      <c r="O31" s="43">
        <f t="shared" si="0"/>
        <v>2773</v>
      </c>
    </row>
    <row r="32" spans="1:15" ht="15.75" customHeight="1">
      <c r="A32" s="27" t="s">
        <v>71</v>
      </c>
      <c r="B32" s="28" t="s">
        <v>14</v>
      </c>
      <c r="C32" s="29">
        <v>45658</v>
      </c>
      <c r="D32" s="28" t="s">
        <v>15</v>
      </c>
      <c r="E32" s="28" t="s">
        <v>26</v>
      </c>
      <c r="F32" s="30">
        <v>4036</v>
      </c>
      <c r="G32" s="30">
        <v>112</v>
      </c>
      <c r="H32" s="30">
        <v>382</v>
      </c>
      <c r="I32" s="30">
        <v>56284</v>
      </c>
      <c r="J32" s="30">
        <v>29440</v>
      </c>
      <c r="K32" s="30">
        <v>279</v>
      </c>
      <c r="L32" s="27" t="s">
        <v>45</v>
      </c>
      <c r="M32" s="27" t="s">
        <v>42</v>
      </c>
      <c r="N32" s="28" t="s">
        <v>18</v>
      </c>
      <c r="O32" s="43">
        <f t="shared" si="0"/>
        <v>4530</v>
      </c>
    </row>
    <row r="33" spans="1:15" ht="15.75" customHeight="1">
      <c r="A33" s="27" t="s">
        <v>72</v>
      </c>
      <c r="B33" s="28" t="s">
        <v>24</v>
      </c>
      <c r="C33" s="29">
        <v>45419</v>
      </c>
      <c r="D33" s="28" t="s">
        <v>25</v>
      </c>
      <c r="E33" s="28" t="s">
        <v>20</v>
      </c>
      <c r="F33" s="30">
        <v>2776</v>
      </c>
      <c r="G33" s="30">
        <v>307</v>
      </c>
      <c r="H33" s="30">
        <v>178</v>
      </c>
      <c r="I33" s="30">
        <v>43365</v>
      </c>
      <c r="J33" s="30">
        <v>48408</v>
      </c>
      <c r="K33" s="30">
        <v>138</v>
      </c>
      <c r="L33" s="27" t="s">
        <v>45</v>
      </c>
      <c r="M33" s="27" t="s">
        <v>42</v>
      </c>
      <c r="N33" s="28" t="s">
        <v>18</v>
      </c>
      <c r="O33" s="43">
        <f t="shared" si="0"/>
        <v>3261</v>
      </c>
    </row>
    <row r="34" spans="1:15" ht="15.75" customHeight="1">
      <c r="A34" s="27" t="s">
        <v>73</v>
      </c>
      <c r="B34" s="28" t="s">
        <v>24</v>
      </c>
      <c r="C34" s="29">
        <v>45574</v>
      </c>
      <c r="D34" s="28" t="s">
        <v>25</v>
      </c>
      <c r="E34" s="28" t="s">
        <v>16</v>
      </c>
      <c r="F34" s="30">
        <v>4929</v>
      </c>
      <c r="G34" s="30">
        <v>182</v>
      </c>
      <c r="H34" s="30">
        <v>95</v>
      </c>
      <c r="I34" s="30">
        <v>32181</v>
      </c>
      <c r="J34" s="30">
        <v>31084</v>
      </c>
      <c r="K34" s="30">
        <v>289</v>
      </c>
      <c r="L34" s="27" t="s">
        <v>21</v>
      </c>
      <c r="M34" s="27" t="s">
        <v>379</v>
      </c>
      <c r="N34" s="28" t="s">
        <v>18</v>
      </c>
      <c r="O34" s="43">
        <f t="shared" si="0"/>
        <v>5206</v>
      </c>
    </row>
    <row r="35" spans="1:15" ht="15.75" customHeight="1">
      <c r="A35" s="27" t="s">
        <v>74</v>
      </c>
      <c r="B35" s="28" t="s">
        <v>14</v>
      </c>
      <c r="C35" s="29">
        <v>45666</v>
      </c>
      <c r="D35" s="28" t="s">
        <v>15</v>
      </c>
      <c r="E35" s="28" t="s">
        <v>26</v>
      </c>
      <c r="F35" s="30">
        <v>1015</v>
      </c>
      <c r="G35" s="30">
        <v>366</v>
      </c>
      <c r="H35" s="30">
        <v>308</v>
      </c>
      <c r="I35" s="30">
        <v>38127</v>
      </c>
      <c r="J35" s="30">
        <v>63790</v>
      </c>
      <c r="K35" s="30">
        <v>287</v>
      </c>
      <c r="L35" s="27" t="s">
        <v>45</v>
      </c>
      <c r="M35" s="27" t="s">
        <v>42</v>
      </c>
      <c r="N35" s="28" t="s">
        <v>18</v>
      </c>
      <c r="O35" s="43">
        <f t="shared" si="0"/>
        <v>1689</v>
      </c>
    </row>
    <row r="36" spans="1:15" ht="15.75" customHeight="1">
      <c r="A36" s="27" t="s">
        <v>75</v>
      </c>
      <c r="B36" s="28" t="s">
        <v>24</v>
      </c>
      <c r="C36" s="29">
        <v>45785</v>
      </c>
      <c r="D36" s="28" t="s">
        <v>25</v>
      </c>
      <c r="E36" s="28" t="s">
        <v>51</v>
      </c>
      <c r="F36" s="30">
        <v>3316</v>
      </c>
      <c r="G36" s="30">
        <v>332</v>
      </c>
      <c r="H36" s="30">
        <v>268</v>
      </c>
      <c r="I36" s="30">
        <v>40095</v>
      </c>
      <c r="J36" s="30">
        <v>36913</v>
      </c>
      <c r="K36" s="30">
        <v>265</v>
      </c>
      <c r="L36" s="27" t="s">
        <v>379</v>
      </c>
      <c r="M36" s="27" t="s">
        <v>42</v>
      </c>
      <c r="N36" s="28" t="s">
        <v>18</v>
      </c>
      <c r="O36" s="43">
        <f t="shared" si="0"/>
        <v>3916</v>
      </c>
    </row>
    <row r="37" spans="1:15" ht="15.75" customHeight="1">
      <c r="A37" s="27" t="s">
        <v>76</v>
      </c>
      <c r="B37" s="28" t="s">
        <v>14</v>
      </c>
      <c r="C37" s="29">
        <v>45416</v>
      </c>
      <c r="D37" s="28" t="s">
        <v>15</v>
      </c>
      <c r="E37" s="28" t="s">
        <v>29</v>
      </c>
      <c r="F37" s="30">
        <v>2274</v>
      </c>
      <c r="G37" s="30">
        <v>243</v>
      </c>
      <c r="H37" s="30">
        <v>222</v>
      </c>
      <c r="I37" s="30">
        <v>43066</v>
      </c>
      <c r="J37" s="30">
        <v>59174</v>
      </c>
      <c r="K37" s="30">
        <v>80</v>
      </c>
      <c r="L37" s="27" t="s">
        <v>21</v>
      </c>
      <c r="M37" s="27"/>
      <c r="N37" s="28" t="s">
        <v>22</v>
      </c>
      <c r="O37" s="43">
        <f t="shared" si="0"/>
        <v>2739</v>
      </c>
    </row>
    <row r="38" spans="1:15" ht="15.75" customHeight="1">
      <c r="A38" s="27" t="s">
        <v>77</v>
      </c>
      <c r="B38" s="28" t="s">
        <v>24</v>
      </c>
      <c r="C38" s="29">
        <v>45804</v>
      </c>
      <c r="D38" s="28" t="s">
        <v>25</v>
      </c>
      <c r="E38" s="28" t="s">
        <v>20</v>
      </c>
      <c r="F38" s="30">
        <v>4095</v>
      </c>
      <c r="G38" s="30">
        <v>385</v>
      </c>
      <c r="H38" s="30">
        <v>400</v>
      </c>
      <c r="I38" s="30">
        <v>45300</v>
      </c>
      <c r="J38" s="30">
        <v>31795</v>
      </c>
      <c r="K38" s="30">
        <v>80</v>
      </c>
      <c r="L38" s="27" t="s">
        <v>379</v>
      </c>
      <c r="M38" s="27" t="s">
        <v>42</v>
      </c>
      <c r="N38" s="28" t="s">
        <v>18</v>
      </c>
      <c r="O38" s="43">
        <f t="shared" si="0"/>
        <v>4880</v>
      </c>
    </row>
    <row r="39" spans="1:15" ht="15.75" customHeight="1">
      <c r="A39" s="27" t="s">
        <v>78</v>
      </c>
      <c r="B39" s="28" t="s">
        <v>14</v>
      </c>
      <c r="C39" s="29">
        <v>45545</v>
      </c>
      <c r="D39" s="28" t="s">
        <v>25</v>
      </c>
      <c r="E39" s="28" t="s">
        <v>26</v>
      </c>
      <c r="F39" s="30">
        <v>1230</v>
      </c>
      <c r="G39" s="30">
        <v>309</v>
      </c>
      <c r="H39" s="30">
        <v>207</v>
      </c>
      <c r="I39" s="30">
        <v>44629</v>
      </c>
      <c r="J39" s="30">
        <v>40699</v>
      </c>
      <c r="K39" s="30">
        <v>195</v>
      </c>
      <c r="L39" s="27" t="s">
        <v>42</v>
      </c>
      <c r="M39" s="27"/>
      <c r="N39" s="28" t="s">
        <v>55</v>
      </c>
      <c r="O39" s="43">
        <f t="shared" si="0"/>
        <v>1746</v>
      </c>
    </row>
    <row r="40" spans="1:15" ht="15.75" customHeight="1">
      <c r="A40" s="27" t="s">
        <v>79</v>
      </c>
      <c r="B40" s="28" t="s">
        <v>14</v>
      </c>
      <c r="C40" s="29">
        <v>45621</v>
      </c>
      <c r="D40" s="28" t="s">
        <v>15</v>
      </c>
      <c r="E40" s="28" t="s">
        <v>49</v>
      </c>
      <c r="F40" s="30">
        <v>1341</v>
      </c>
      <c r="G40" s="30">
        <v>472</v>
      </c>
      <c r="H40" s="30">
        <v>238</v>
      </c>
      <c r="I40" s="30">
        <v>51386</v>
      </c>
      <c r="J40" s="30">
        <v>51706</v>
      </c>
      <c r="K40" s="30">
        <v>133</v>
      </c>
      <c r="L40" s="27" t="s">
        <v>21</v>
      </c>
      <c r="M40" s="27"/>
      <c r="N40" s="28" t="s">
        <v>22</v>
      </c>
      <c r="O40" s="43">
        <f t="shared" si="0"/>
        <v>2051</v>
      </c>
    </row>
    <row r="41" spans="1:15" ht="15.75" customHeight="1">
      <c r="A41" s="27" t="s">
        <v>80</v>
      </c>
      <c r="B41" s="28" t="s">
        <v>24</v>
      </c>
      <c r="C41" s="29">
        <v>45818</v>
      </c>
      <c r="D41" s="28" t="s">
        <v>15</v>
      </c>
      <c r="E41" s="28" t="s">
        <v>20</v>
      </c>
      <c r="F41" s="30">
        <v>3615</v>
      </c>
      <c r="G41" s="30">
        <v>192</v>
      </c>
      <c r="H41" s="30">
        <v>162</v>
      </c>
      <c r="I41" s="30">
        <v>27492</v>
      </c>
      <c r="J41" s="30">
        <v>35341</v>
      </c>
      <c r="K41" s="30">
        <v>125</v>
      </c>
      <c r="L41" s="27" t="s">
        <v>42</v>
      </c>
      <c r="M41" s="27"/>
      <c r="N41" s="28" t="s">
        <v>18</v>
      </c>
      <c r="O41" s="43">
        <f t="shared" si="0"/>
        <v>3969</v>
      </c>
    </row>
    <row r="42" spans="1:15" ht="15.75" customHeight="1">
      <c r="A42" s="27" t="s">
        <v>81</v>
      </c>
      <c r="B42" s="28" t="s">
        <v>14</v>
      </c>
      <c r="C42" s="29">
        <v>45401</v>
      </c>
      <c r="D42" s="28" t="s">
        <v>15</v>
      </c>
      <c r="E42" s="28" t="s">
        <v>26</v>
      </c>
      <c r="F42" s="30">
        <v>4001</v>
      </c>
      <c r="G42" s="30">
        <v>353</v>
      </c>
      <c r="H42" s="30">
        <v>129</v>
      </c>
      <c r="I42" s="30">
        <v>41265</v>
      </c>
      <c r="J42" s="30">
        <v>37279</v>
      </c>
      <c r="K42" s="30">
        <v>275</v>
      </c>
      <c r="L42" s="27" t="s">
        <v>45</v>
      </c>
      <c r="M42" s="27" t="s">
        <v>42</v>
      </c>
      <c r="N42" s="28" t="s">
        <v>18</v>
      </c>
      <c r="O42" s="43">
        <f t="shared" si="0"/>
        <v>4483</v>
      </c>
    </row>
    <row r="43" spans="1:15" ht="15.75" customHeight="1">
      <c r="A43" s="27" t="s">
        <v>82</v>
      </c>
      <c r="B43" s="28" t="s">
        <v>14</v>
      </c>
      <c r="C43" s="29">
        <v>45683</v>
      </c>
      <c r="D43" s="28" t="s">
        <v>25</v>
      </c>
      <c r="E43" s="28" t="s">
        <v>35</v>
      </c>
      <c r="F43" s="30">
        <v>3451</v>
      </c>
      <c r="G43" s="30">
        <v>363</v>
      </c>
      <c r="H43" s="30">
        <v>393</v>
      </c>
      <c r="I43" s="30">
        <v>44853</v>
      </c>
      <c r="J43" s="30">
        <v>69032</v>
      </c>
      <c r="K43" s="30">
        <v>211</v>
      </c>
      <c r="L43" s="27" t="s">
        <v>42</v>
      </c>
      <c r="M43" s="27"/>
      <c r="N43" s="28" t="s">
        <v>55</v>
      </c>
      <c r="O43" s="43">
        <f t="shared" si="0"/>
        <v>4207</v>
      </c>
    </row>
    <row r="44" spans="1:15" ht="15.75" customHeight="1">
      <c r="A44" s="27" t="s">
        <v>83</v>
      </c>
      <c r="B44" s="28" t="s">
        <v>14</v>
      </c>
      <c r="C44" s="29">
        <v>45702</v>
      </c>
      <c r="D44" s="28" t="s">
        <v>15</v>
      </c>
      <c r="E44" s="28" t="s">
        <v>41</v>
      </c>
      <c r="F44" s="30">
        <v>4891</v>
      </c>
      <c r="G44" s="30">
        <v>450</v>
      </c>
      <c r="H44" s="30">
        <v>387</v>
      </c>
      <c r="I44" s="30">
        <v>48746</v>
      </c>
      <c r="J44" s="30">
        <v>37312</v>
      </c>
      <c r="K44" s="30">
        <v>154</v>
      </c>
      <c r="L44" s="27" t="s">
        <v>45</v>
      </c>
      <c r="M44" s="27" t="s">
        <v>42</v>
      </c>
      <c r="N44" s="28" t="s">
        <v>18</v>
      </c>
      <c r="O44" s="43">
        <f t="shared" si="0"/>
        <v>5728</v>
      </c>
    </row>
    <row r="45" spans="1:15" ht="15.75" customHeight="1">
      <c r="A45" s="27" t="s">
        <v>84</v>
      </c>
      <c r="B45" s="28" t="s">
        <v>14</v>
      </c>
      <c r="C45" s="29">
        <v>45541</v>
      </c>
      <c r="D45" s="28" t="s">
        <v>15</v>
      </c>
      <c r="E45" s="28" t="s">
        <v>26</v>
      </c>
      <c r="F45" s="30">
        <v>1452</v>
      </c>
      <c r="G45" s="30">
        <v>281</v>
      </c>
      <c r="H45" s="30">
        <v>326</v>
      </c>
      <c r="I45" s="30">
        <v>51556</v>
      </c>
      <c r="J45" s="30">
        <v>62599</v>
      </c>
      <c r="K45" s="30">
        <v>290</v>
      </c>
      <c r="L45" s="27" t="s">
        <v>21</v>
      </c>
      <c r="M45" s="27"/>
      <c r="N45" s="28" t="s">
        <v>22</v>
      </c>
      <c r="O45" s="43">
        <f t="shared" si="0"/>
        <v>2059</v>
      </c>
    </row>
    <row r="46" spans="1:15" ht="15.75" customHeight="1">
      <c r="A46" s="27" t="s">
        <v>85</v>
      </c>
      <c r="B46" s="28" t="s">
        <v>31</v>
      </c>
      <c r="C46" s="29">
        <v>45487</v>
      </c>
      <c r="D46" s="28" t="s">
        <v>15</v>
      </c>
      <c r="E46" s="28" t="s">
        <v>51</v>
      </c>
      <c r="F46" s="30">
        <v>3806</v>
      </c>
      <c r="G46" s="30">
        <v>114</v>
      </c>
      <c r="H46" s="30">
        <v>278</v>
      </c>
      <c r="I46" s="30">
        <v>36148</v>
      </c>
      <c r="J46" s="30">
        <v>24209</v>
      </c>
      <c r="K46" s="30">
        <v>201</v>
      </c>
      <c r="L46" s="27" t="s">
        <v>21</v>
      </c>
      <c r="M46" s="27" t="s">
        <v>380</v>
      </c>
      <c r="N46" s="28" t="s">
        <v>22</v>
      </c>
      <c r="O46" s="43">
        <f t="shared" si="0"/>
        <v>4198</v>
      </c>
    </row>
    <row r="47" spans="1:15" ht="15.75" customHeight="1">
      <c r="A47" s="27" t="s">
        <v>86</v>
      </c>
      <c r="B47" s="28" t="s">
        <v>14</v>
      </c>
      <c r="C47" s="29">
        <v>45334</v>
      </c>
      <c r="D47" s="28" t="s">
        <v>15</v>
      </c>
      <c r="E47" s="28" t="s">
        <v>20</v>
      </c>
      <c r="F47" s="30">
        <v>2923</v>
      </c>
      <c r="G47" s="30">
        <v>330</v>
      </c>
      <c r="H47" s="30">
        <v>250</v>
      </c>
      <c r="I47" s="30">
        <v>23993</v>
      </c>
      <c r="J47" s="30">
        <v>74590</v>
      </c>
      <c r="K47" s="30">
        <v>92</v>
      </c>
      <c r="L47" s="27" t="s">
        <v>21</v>
      </c>
      <c r="M47" s="27"/>
      <c r="N47" s="28" t="s">
        <v>22</v>
      </c>
      <c r="O47" s="43">
        <f t="shared" si="0"/>
        <v>3503</v>
      </c>
    </row>
    <row r="48" spans="1:15" ht="15.75" customHeight="1">
      <c r="A48" s="27" t="s">
        <v>87</v>
      </c>
      <c r="B48" s="28" t="s">
        <v>31</v>
      </c>
      <c r="C48" s="29">
        <v>45365</v>
      </c>
      <c r="D48" s="28" t="s">
        <v>57</v>
      </c>
      <c r="E48" s="28" t="s">
        <v>49</v>
      </c>
      <c r="F48" s="30">
        <v>3361</v>
      </c>
      <c r="G48" s="30">
        <v>188</v>
      </c>
      <c r="H48" s="30">
        <v>358</v>
      </c>
      <c r="I48" s="30">
        <v>39838</v>
      </c>
      <c r="J48" s="30">
        <v>24536</v>
      </c>
      <c r="K48" s="30">
        <v>120</v>
      </c>
      <c r="L48" s="27" t="s">
        <v>21</v>
      </c>
      <c r="M48" s="27" t="s">
        <v>45</v>
      </c>
      <c r="N48" s="28" t="s">
        <v>59</v>
      </c>
      <c r="O48" s="43">
        <f t="shared" si="0"/>
        <v>3907</v>
      </c>
    </row>
    <row r="49" spans="1:15" ht="15.75" customHeight="1">
      <c r="A49" s="27" t="s">
        <v>88</v>
      </c>
      <c r="B49" s="28" t="s">
        <v>14</v>
      </c>
      <c r="C49" s="29">
        <v>45693</v>
      </c>
      <c r="D49" s="28" t="s">
        <v>25</v>
      </c>
      <c r="E49" s="28" t="s">
        <v>32</v>
      </c>
      <c r="F49" s="30">
        <v>3074</v>
      </c>
      <c r="G49" s="30">
        <v>371</v>
      </c>
      <c r="H49" s="30">
        <v>348</v>
      </c>
      <c r="I49" s="30">
        <v>24104</v>
      </c>
      <c r="J49" s="30">
        <v>57803</v>
      </c>
      <c r="K49" s="30">
        <v>213</v>
      </c>
      <c r="L49" s="27" t="s">
        <v>42</v>
      </c>
      <c r="M49" s="27"/>
      <c r="N49" s="28" t="s">
        <v>55</v>
      </c>
      <c r="O49" s="43">
        <f t="shared" si="0"/>
        <v>3793</v>
      </c>
    </row>
    <row r="50" spans="1:15" ht="15.75" customHeight="1">
      <c r="A50" s="27" t="s">
        <v>89</v>
      </c>
      <c r="B50" s="28" t="s">
        <v>24</v>
      </c>
      <c r="C50" s="29">
        <v>45533</v>
      </c>
      <c r="D50" s="28" t="s">
        <v>25</v>
      </c>
      <c r="E50" s="28" t="s">
        <v>37</v>
      </c>
      <c r="F50" s="30">
        <v>4276</v>
      </c>
      <c r="G50" s="30">
        <v>227</v>
      </c>
      <c r="H50" s="30">
        <v>223</v>
      </c>
      <c r="I50" s="30">
        <v>43443</v>
      </c>
      <c r="J50" s="30">
        <v>41005</v>
      </c>
      <c r="K50" s="30">
        <v>191</v>
      </c>
      <c r="L50" s="27" t="s">
        <v>21</v>
      </c>
      <c r="M50" s="27" t="s">
        <v>379</v>
      </c>
      <c r="N50" s="28" t="s">
        <v>18</v>
      </c>
      <c r="O50" s="43">
        <f t="shared" si="0"/>
        <v>4726</v>
      </c>
    </row>
    <row r="51" spans="1:15" ht="15.75" customHeight="1">
      <c r="A51" s="27" t="s">
        <v>90</v>
      </c>
      <c r="B51" s="28" t="s">
        <v>24</v>
      </c>
      <c r="C51" s="29">
        <v>45769</v>
      </c>
      <c r="D51" s="28" t="s">
        <v>15</v>
      </c>
      <c r="E51" s="28" t="s">
        <v>16</v>
      </c>
      <c r="F51" s="30">
        <v>4401</v>
      </c>
      <c r="G51" s="30">
        <v>421</v>
      </c>
      <c r="H51" s="30">
        <v>216</v>
      </c>
      <c r="I51" s="30">
        <v>24890</v>
      </c>
      <c r="J51" s="30">
        <v>54361</v>
      </c>
      <c r="K51" s="30">
        <v>148</v>
      </c>
      <c r="L51" s="27" t="s">
        <v>42</v>
      </c>
      <c r="M51" s="27"/>
      <c r="N51" s="28" t="s">
        <v>18</v>
      </c>
      <c r="O51" s="43">
        <f t="shared" si="0"/>
        <v>5038</v>
      </c>
    </row>
    <row r="52" spans="1:15" ht="15.75" customHeight="1">
      <c r="A52" s="27" t="s">
        <v>91</v>
      </c>
      <c r="B52" s="28" t="s">
        <v>31</v>
      </c>
      <c r="C52" s="29">
        <v>45425</v>
      </c>
      <c r="D52" s="28" t="s">
        <v>57</v>
      </c>
      <c r="E52" s="28" t="s">
        <v>20</v>
      </c>
      <c r="F52" s="30">
        <v>4161</v>
      </c>
      <c r="G52" s="30">
        <v>481</v>
      </c>
      <c r="H52" s="30">
        <v>61</v>
      </c>
      <c r="I52" s="30">
        <v>45884</v>
      </c>
      <c r="J52" s="30">
        <v>48955</v>
      </c>
      <c r="K52" s="30">
        <v>215</v>
      </c>
      <c r="L52" s="27" t="s">
        <v>21</v>
      </c>
      <c r="M52" s="27" t="s">
        <v>45</v>
      </c>
      <c r="N52" s="28" t="s">
        <v>59</v>
      </c>
      <c r="O52" s="43">
        <f t="shared" si="0"/>
        <v>4703</v>
      </c>
    </row>
    <row r="53" spans="1:15" ht="15.75" customHeight="1">
      <c r="A53" s="27" t="s">
        <v>92</v>
      </c>
      <c r="B53" s="28" t="s">
        <v>24</v>
      </c>
      <c r="C53" s="29">
        <v>45539</v>
      </c>
      <c r="D53" s="28" t="s">
        <v>25</v>
      </c>
      <c r="E53" s="28" t="s">
        <v>26</v>
      </c>
      <c r="F53" s="30">
        <v>2613</v>
      </c>
      <c r="G53" s="30">
        <v>455</v>
      </c>
      <c r="H53" s="30">
        <v>228</v>
      </c>
      <c r="I53" s="30">
        <v>21645</v>
      </c>
      <c r="J53" s="30">
        <v>61334</v>
      </c>
      <c r="K53" s="30">
        <v>261</v>
      </c>
      <c r="L53" s="27" t="s">
        <v>21</v>
      </c>
      <c r="M53" s="27" t="s">
        <v>379</v>
      </c>
      <c r="N53" s="28" t="s">
        <v>18</v>
      </c>
      <c r="O53" s="43">
        <f t="shared" si="0"/>
        <v>3296</v>
      </c>
    </row>
    <row r="54" spans="1:15" ht="15.75" customHeight="1">
      <c r="A54" s="27" t="s">
        <v>93</v>
      </c>
      <c r="B54" s="28" t="s">
        <v>24</v>
      </c>
      <c r="C54" s="29">
        <v>45516</v>
      </c>
      <c r="D54" s="28" t="s">
        <v>25</v>
      </c>
      <c r="E54" s="28" t="s">
        <v>35</v>
      </c>
      <c r="F54" s="30">
        <v>2842</v>
      </c>
      <c r="G54" s="30">
        <v>213</v>
      </c>
      <c r="H54" s="30">
        <v>331</v>
      </c>
      <c r="I54" s="30">
        <v>57660</v>
      </c>
      <c r="J54" s="30">
        <v>68606</v>
      </c>
      <c r="K54" s="30">
        <v>87</v>
      </c>
      <c r="L54" s="27" t="s">
        <v>379</v>
      </c>
      <c r="M54" s="27" t="s">
        <v>42</v>
      </c>
      <c r="N54" s="28" t="s">
        <v>18</v>
      </c>
      <c r="O54" s="43">
        <f t="shared" si="0"/>
        <v>3386</v>
      </c>
    </row>
    <row r="55" spans="1:15" ht="15.75" customHeight="1">
      <c r="A55" s="27" t="s">
        <v>94</v>
      </c>
      <c r="B55" s="28" t="s">
        <v>14</v>
      </c>
      <c r="C55" s="29">
        <v>45722</v>
      </c>
      <c r="D55" s="28" t="s">
        <v>15</v>
      </c>
      <c r="E55" s="28" t="s">
        <v>37</v>
      </c>
      <c r="F55" s="30">
        <v>4851</v>
      </c>
      <c r="G55" s="30">
        <v>460</v>
      </c>
      <c r="H55" s="30">
        <v>212</v>
      </c>
      <c r="I55" s="30">
        <v>58075</v>
      </c>
      <c r="J55" s="30">
        <v>59574</v>
      </c>
      <c r="K55" s="30">
        <v>239</v>
      </c>
      <c r="L55" s="27" t="s">
        <v>21</v>
      </c>
      <c r="M55" s="27"/>
      <c r="N55" s="28" t="s">
        <v>22</v>
      </c>
      <c r="O55" s="43">
        <f t="shared" si="0"/>
        <v>5523</v>
      </c>
    </row>
    <row r="56" spans="1:15" ht="15.75" customHeight="1">
      <c r="A56" s="27" t="s">
        <v>95</v>
      </c>
      <c r="B56" s="28" t="s">
        <v>24</v>
      </c>
      <c r="C56" s="29">
        <v>45420</v>
      </c>
      <c r="D56" s="28" t="s">
        <v>15</v>
      </c>
      <c r="E56" s="28" t="s">
        <v>20</v>
      </c>
      <c r="F56" s="30">
        <v>1828</v>
      </c>
      <c r="G56" s="30">
        <v>450</v>
      </c>
      <c r="H56" s="30">
        <v>214</v>
      </c>
      <c r="I56" s="30">
        <v>52115</v>
      </c>
      <c r="J56" s="30">
        <v>19166</v>
      </c>
      <c r="K56" s="30">
        <v>190</v>
      </c>
      <c r="L56" s="27" t="s">
        <v>42</v>
      </c>
      <c r="M56" s="27"/>
      <c r="N56" s="28" t="s">
        <v>18</v>
      </c>
      <c r="O56" s="43">
        <f t="shared" si="0"/>
        <v>2492</v>
      </c>
    </row>
    <row r="57" spans="1:15" ht="15.75" customHeight="1">
      <c r="A57" s="27" t="s">
        <v>96</v>
      </c>
      <c r="B57" s="28" t="s">
        <v>14</v>
      </c>
      <c r="C57" s="29">
        <v>45707</v>
      </c>
      <c r="D57" s="28" t="s">
        <v>25</v>
      </c>
      <c r="E57" s="28" t="s">
        <v>49</v>
      </c>
      <c r="F57" s="30">
        <v>2422</v>
      </c>
      <c r="G57" s="30">
        <v>455</v>
      </c>
      <c r="H57" s="30">
        <v>376</v>
      </c>
      <c r="I57" s="30">
        <v>23428</v>
      </c>
      <c r="J57" s="30">
        <v>46775</v>
      </c>
      <c r="K57" s="30">
        <v>259</v>
      </c>
      <c r="L57" s="27" t="s">
        <v>42</v>
      </c>
      <c r="M57" s="27"/>
      <c r="N57" s="28" t="s">
        <v>55</v>
      </c>
      <c r="O57" s="43">
        <f t="shared" si="0"/>
        <v>3253</v>
      </c>
    </row>
    <row r="58" spans="1:15" ht="15.75" customHeight="1">
      <c r="A58" s="27" t="s">
        <v>97</v>
      </c>
      <c r="B58" s="28" t="s">
        <v>14</v>
      </c>
      <c r="C58" s="29">
        <v>45299</v>
      </c>
      <c r="D58" s="28" t="s">
        <v>15</v>
      </c>
      <c r="E58" s="28" t="s">
        <v>41</v>
      </c>
      <c r="F58" s="30">
        <v>2683</v>
      </c>
      <c r="G58" s="30">
        <v>405</v>
      </c>
      <c r="H58" s="30">
        <v>223</v>
      </c>
      <c r="I58" s="30">
        <v>31233</v>
      </c>
      <c r="J58" s="30">
        <v>58106</v>
      </c>
      <c r="K58" s="30">
        <v>291</v>
      </c>
      <c r="L58" s="27" t="s">
        <v>21</v>
      </c>
      <c r="M58" s="27"/>
      <c r="N58" s="28" t="s">
        <v>22</v>
      </c>
      <c r="O58" s="43">
        <f t="shared" si="0"/>
        <v>3311</v>
      </c>
    </row>
    <row r="59" spans="1:15" ht="15.75" customHeight="1">
      <c r="A59" s="27" t="s">
        <v>98</v>
      </c>
      <c r="B59" s="28" t="s">
        <v>31</v>
      </c>
      <c r="C59" s="29">
        <v>45490</v>
      </c>
      <c r="D59" s="28" t="s">
        <v>15</v>
      </c>
      <c r="E59" s="28" t="s">
        <v>41</v>
      </c>
      <c r="F59" s="30">
        <v>3135</v>
      </c>
      <c r="G59" s="30">
        <v>110</v>
      </c>
      <c r="H59" s="30">
        <v>215</v>
      </c>
      <c r="I59" s="30">
        <v>39192</v>
      </c>
      <c r="J59" s="30">
        <v>24744</v>
      </c>
      <c r="K59" s="30">
        <v>177</v>
      </c>
      <c r="L59" s="27" t="s">
        <v>21</v>
      </c>
      <c r="M59" s="27" t="s">
        <v>380</v>
      </c>
      <c r="N59" s="28" t="s">
        <v>22</v>
      </c>
      <c r="O59" s="43">
        <f t="shared" si="0"/>
        <v>3460</v>
      </c>
    </row>
    <row r="60" spans="1:15" ht="15.75" customHeight="1">
      <c r="A60" s="27" t="s">
        <v>99</v>
      </c>
      <c r="B60" s="28" t="s">
        <v>31</v>
      </c>
      <c r="C60" s="29">
        <v>45514</v>
      </c>
      <c r="D60" s="28" t="s">
        <v>15</v>
      </c>
      <c r="E60" s="28" t="s">
        <v>49</v>
      </c>
      <c r="F60" s="30">
        <v>1105</v>
      </c>
      <c r="G60" s="30">
        <v>181</v>
      </c>
      <c r="H60" s="30">
        <v>55</v>
      </c>
      <c r="I60" s="30">
        <v>53581</v>
      </c>
      <c r="J60" s="30">
        <v>74048</v>
      </c>
      <c r="K60" s="30">
        <v>220</v>
      </c>
      <c r="L60" s="27" t="s">
        <v>21</v>
      </c>
      <c r="M60" s="27" t="s">
        <v>380</v>
      </c>
      <c r="N60" s="28" t="s">
        <v>22</v>
      </c>
      <c r="O60" s="43">
        <f t="shared" si="0"/>
        <v>1341</v>
      </c>
    </row>
    <row r="61" spans="1:15" ht="15.75" customHeight="1">
      <c r="A61" s="27" t="s">
        <v>100</v>
      </c>
      <c r="B61" s="28" t="s">
        <v>31</v>
      </c>
      <c r="C61" s="29">
        <v>45398</v>
      </c>
      <c r="D61" s="28" t="s">
        <v>15</v>
      </c>
      <c r="E61" s="28" t="s">
        <v>16</v>
      </c>
      <c r="F61" s="30">
        <v>4674</v>
      </c>
      <c r="G61" s="30">
        <v>326</v>
      </c>
      <c r="H61" s="30">
        <v>62</v>
      </c>
      <c r="I61" s="30">
        <v>45503</v>
      </c>
      <c r="J61" s="30">
        <v>46814</v>
      </c>
      <c r="K61" s="30">
        <v>116</v>
      </c>
      <c r="L61" s="27" t="s">
        <v>21</v>
      </c>
      <c r="M61" s="27" t="s">
        <v>380</v>
      </c>
      <c r="N61" s="28" t="s">
        <v>22</v>
      </c>
      <c r="O61" s="43">
        <f t="shared" si="0"/>
        <v>5062</v>
      </c>
    </row>
    <row r="62" spans="1:15" ht="15.75" customHeight="1">
      <c r="A62" s="27" t="s">
        <v>101</v>
      </c>
      <c r="B62" s="28" t="s">
        <v>31</v>
      </c>
      <c r="C62" s="29">
        <v>45292</v>
      </c>
      <c r="D62" s="28" t="s">
        <v>57</v>
      </c>
      <c r="E62" s="28" t="s">
        <v>20</v>
      </c>
      <c r="F62" s="30">
        <v>3437</v>
      </c>
      <c r="G62" s="30">
        <v>129</v>
      </c>
      <c r="H62" s="30">
        <v>359</v>
      </c>
      <c r="I62" s="30">
        <v>44558</v>
      </c>
      <c r="J62" s="30">
        <v>30854</v>
      </c>
      <c r="K62" s="30">
        <v>171</v>
      </c>
      <c r="L62" s="27" t="s">
        <v>21</v>
      </c>
      <c r="M62" s="27" t="s">
        <v>45</v>
      </c>
      <c r="N62" s="28" t="s">
        <v>59</v>
      </c>
      <c r="O62" s="43">
        <f t="shared" si="0"/>
        <v>3925</v>
      </c>
    </row>
    <row r="63" spans="1:15" ht="15.75" customHeight="1">
      <c r="A63" s="27" t="s">
        <v>102</v>
      </c>
      <c r="B63" s="28" t="s">
        <v>24</v>
      </c>
      <c r="C63" s="29">
        <v>45599</v>
      </c>
      <c r="D63" s="28" t="s">
        <v>25</v>
      </c>
      <c r="E63" s="28" t="s">
        <v>29</v>
      </c>
      <c r="F63" s="30">
        <v>1959</v>
      </c>
      <c r="G63" s="30">
        <v>316</v>
      </c>
      <c r="H63" s="30">
        <v>82</v>
      </c>
      <c r="I63" s="30">
        <v>54036</v>
      </c>
      <c r="J63" s="30">
        <v>69015</v>
      </c>
      <c r="K63" s="30">
        <v>182</v>
      </c>
      <c r="L63" s="27" t="s">
        <v>379</v>
      </c>
      <c r="M63" s="27" t="s">
        <v>42</v>
      </c>
      <c r="N63" s="28" t="s">
        <v>18</v>
      </c>
      <c r="O63" s="43">
        <f t="shared" si="0"/>
        <v>2357</v>
      </c>
    </row>
    <row r="64" spans="1:15" ht="15.75" customHeight="1">
      <c r="A64" s="27" t="s">
        <v>103</v>
      </c>
      <c r="B64" s="28" t="s">
        <v>24</v>
      </c>
      <c r="C64" s="29">
        <v>45480</v>
      </c>
      <c r="D64" s="28" t="s">
        <v>15</v>
      </c>
      <c r="E64" s="28" t="s">
        <v>26</v>
      </c>
      <c r="F64" s="30">
        <v>1035</v>
      </c>
      <c r="G64" s="30">
        <v>137</v>
      </c>
      <c r="H64" s="30">
        <v>184</v>
      </c>
      <c r="I64" s="30">
        <v>37302</v>
      </c>
      <c r="J64" s="30">
        <v>68953</v>
      </c>
      <c r="K64" s="30">
        <v>237</v>
      </c>
      <c r="L64" s="27" t="s">
        <v>45</v>
      </c>
      <c r="M64" s="27"/>
      <c r="N64" s="28" t="s">
        <v>22</v>
      </c>
      <c r="O64" s="43">
        <f t="shared" si="0"/>
        <v>1356</v>
      </c>
    </row>
    <row r="65" spans="1:15" ht="15.75" customHeight="1">
      <c r="A65" s="27" t="s">
        <v>104</v>
      </c>
      <c r="B65" s="28" t="s">
        <v>24</v>
      </c>
      <c r="C65" s="29">
        <v>45679</v>
      </c>
      <c r="D65" s="28" t="s">
        <v>25</v>
      </c>
      <c r="E65" s="28" t="s">
        <v>26</v>
      </c>
      <c r="F65" s="30">
        <v>4478</v>
      </c>
      <c r="G65" s="30">
        <v>101</v>
      </c>
      <c r="H65" s="30">
        <v>121</v>
      </c>
      <c r="I65" s="30">
        <v>51035</v>
      </c>
      <c r="J65" s="30">
        <v>58207</v>
      </c>
      <c r="K65" s="30">
        <v>205</v>
      </c>
      <c r="L65" s="27" t="s">
        <v>379</v>
      </c>
      <c r="M65" s="27" t="s">
        <v>42</v>
      </c>
      <c r="N65" s="28" t="s">
        <v>18</v>
      </c>
      <c r="O65" s="43">
        <f t="shared" si="0"/>
        <v>4700</v>
      </c>
    </row>
    <row r="66" spans="1:15" ht="15.75" customHeight="1">
      <c r="A66" s="27" t="s">
        <v>105</v>
      </c>
      <c r="B66" s="28" t="s">
        <v>31</v>
      </c>
      <c r="C66" s="29">
        <v>45438</v>
      </c>
      <c r="D66" s="28" t="s">
        <v>15</v>
      </c>
      <c r="E66" s="28" t="s">
        <v>49</v>
      </c>
      <c r="F66" s="30">
        <v>1488</v>
      </c>
      <c r="G66" s="30">
        <v>327</v>
      </c>
      <c r="H66" s="30">
        <v>110</v>
      </c>
      <c r="I66" s="30">
        <v>53805</v>
      </c>
      <c r="J66" s="30">
        <v>30239</v>
      </c>
      <c r="K66" s="30">
        <v>109</v>
      </c>
      <c r="L66" s="27" t="s">
        <v>21</v>
      </c>
      <c r="M66" s="27" t="s">
        <v>380</v>
      </c>
      <c r="N66" s="28" t="s">
        <v>22</v>
      </c>
      <c r="O66" s="43">
        <f t="shared" si="0"/>
        <v>1925</v>
      </c>
    </row>
    <row r="67" spans="1:15" ht="15.75" customHeight="1">
      <c r="A67" s="27" t="s">
        <v>106</v>
      </c>
      <c r="B67" s="28" t="s">
        <v>14</v>
      </c>
      <c r="C67" s="29">
        <v>45763</v>
      </c>
      <c r="D67" s="28" t="s">
        <v>15</v>
      </c>
      <c r="E67" s="28" t="s">
        <v>29</v>
      </c>
      <c r="F67" s="30">
        <v>4836</v>
      </c>
      <c r="G67" s="30">
        <v>331</v>
      </c>
      <c r="H67" s="30">
        <v>140</v>
      </c>
      <c r="I67" s="30">
        <v>58792</v>
      </c>
      <c r="J67" s="30">
        <v>47711</v>
      </c>
      <c r="K67" s="30">
        <v>227</v>
      </c>
      <c r="L67" s="27" t="s">
        <v>45</v>
      </c>
      <c r="M67" s="27" t="s">
        <v>42</v>
      </c>
      <c r="N67" s="28" t="s">
        <v>18</v>
      </c>
      <c r="O67" s="43">
        <f t="shared" ref="O67:O130" si="1">F67+G67+H67</f>
        <v>5307</v>
      </c>
    </row>
    <row r="68" spans="1:15" ht="15.75" customHeight="1">
      <c r="A68" s="27" t="s">
        <v>107</v>
      </c>
      <c r="B68" s="28" t="s">
        <v>31</v>
      </c>
      <c r="C68" s="29">
        <v>45384</v>
      </c>
      <c r="D68" s="28" t="s">
        <v>57</v>
      </c>
      <c r="E68" s="28" t="s">
        <v>51</v>
      </c>
      <c r="F68" s="30">
        <v>4563</v>
      </c>
      <c r="G68" s="30">
        <v>488</v>
      </c>
      <c r="H68" s="30">
        <v>356</v>
      </c>
      <c r="I68" s="30">
        <v>30619</v>
      </c>
      <c r="J68" s="30">
        <v>23328</v>
      </c>
      <c r="K68" s="30">
        <v>267</v>
      </c>
      <c r="L68" s="27" t="s">
        <v>21</v>
      </c>
      <c r="M68" s="27" t="s">
        <v>45</v>
      </c>
      <c r="N68" s="28" t="s">
        <v>59</v>
      </c>
      <c r="O68" s="43">
        <f t="shared" si="1"/>
        <v>5407</v>
      </c>
    </row>
    <row r="69" spans="1:15" ht="15.75" customHeight="1">
      <c r="A69" s="27" t="s">
        <v>108</v>
      </c>
      <c r="B69" s="28" t="s">
        <v>24</v>
      </c>
      <c r="C69" s="29">
        <v>45379</v>
      </c>
      <c r="D69" s="28" t="s">
        <v>15</v>
      </c>
      <c r="E69" s="28" t="s">
        <v>32</v>
      </c>
      <c r="F69" s="30">
        <v>3276</v>
      </c>
      <c r="G69" s="30">
        <v>421</v>
      </c>
      <c r="H69" s="30">
        <v>114</v>
      </c>
      <c r="I69" s="30">
        <v>20580</v>
      </c>
      <c r="J69" s="30">
        <v>30324</v>
      </c>
      <c r="K69" s="30">
        <v>221</v>
      </c>
      <c r="L69" s="27" t="s">
        <v>45</v>
      </c>
      <c r="M69" s="27"/>
      <c r="N69" s="28" t="s">
        <v>22</v>
      </c>
      <c r="O69" s="43">
        <f t="shared" si="1"/>
        <v>3811</v>
      </c>
    </row>
    <row r="70" spans="1:15" ht="15.75" customHeight="1">
      <c r="A70" s="27" t="s">
        <v>109</v>
      </c>
      <c r="B70" s="28" t="s">
        <v>24</v>
      </c>
      <c r="C70" s="29">
        <v>45643</v>
      </c>
      <c r="D70" s="28" t="s">
        <v>25</v>
      </c>
      <c r="E70" s="28" t="s">
        <v>32</v>
      </c>
      <c r="F70" s="30">
        <v>1316</v>
      </c>
      <c r="G70" s="30">
        <v>472</v>
      </c>
      <c r="H70" s="30">
        <v>286</v>
      </c>
      <c r="I70" s="30">
        <v>44692</v>
      </c>
      <c r="J70" s="30">
        <v>53343</v>
      </c>
      <c r="K70" s="30">
        <v>227</v>
      </c>
      <c r="L70" s="27" t="s">
        <v>21</v>
      </c>
      <c r="M70" s="27" t="s">
        <v>379</v>
      </c>
      <c r="N70" s="28" t="s">
        <v>18</v>
      </c>
      <c r="O70" s="43">
        <f t="shared" si="1"/>
        <v>2074</v>
      </c>
    </row>
    <row r="71" spans="1:15" ht="15.75" customHeight="1">
      <c r="A71" s="27" t="s">
        <v>110</v>
      </c>
      <c r="B71" s="28" t="s">
        <v>24</v>
      </c>
      <c r="C71" s="29">
        <v>45662</v>
      </c>
      <c r="D71" s="28" t="s">
        <v>15</v>
      </c>
      <c r="E71" s="28" t="s">
        <v>29</v>
      </c>
      <c r="F71" s="30">
        <v>4811</v>
      </c>
      <c r="G71" s="30">
        <v>473</v>
      </c>
      <c r="H71" s="30">
        <v>254</v>
      </c>
      <c r="I71" s="30">
        <v>51964</v>
      </c>
      <c r="J71" s="30">
        <v>68795</v>
      </c>
      <c r="K71" s="30">
        <v>107</v>
      </c>
      <c r="L71" s="27" t="s">
        <v>42</v>
      </c>
      <c r="M71" s="27"/>
      <c r="N71" s="28" t="s">
        <v>18</v>
      </c>
      <c r="O71" s="43">
        <f t="shared" si="1"/>
        <v>5538</v>
      </c>
    </row>
    <row r="72" spans="1:15" ht="15.75" customHeight="1">
      <c r="A72" s="27" t="s">
        <v>111</v>
      </c>
      <c r="B72" s="28" t="s">
        <v>24</v>
      </c>
      <c r="C72" s="29">
        <v>45302</v>
      </c>
      <c r="D72" s="28" t="s">
        <v>15</v>
      </c>
      <c r="E72" s="28" t="s">
        <v>35</v>
      </c>
      <c r="F72" s="30">
        <v>4218</v>
      </c>
      <c r="G72" s="30">
        <v>247</v>
      </c>
      <c r="H72" s="30">
        <v>183</v>
      </c>
      <c r="I72" s="30">
        <v>28914</v>
      </c>
      <c r="J72" s="30">
        <v>18310</v>
      </c>
      <c r="K72" s="30">
        <v>135</v>
      </c>
      <c r="L72" s="27" t="s">
        <v>45</v>
      </c>
      <c r="M72" s="27"/>
      <c r="N72" s="28" t="s">
        <v>22</v>
      </c>
      <c r="O72" s="43">
        <f t="shared" si="1"/>
        <v>4648</v>
      </c>
    </row>
    <row r="73" spans="1:15" ht="15.75" customHeight="1">
      <c r="A73" s="27" t="s">
        <v>112</v>
      </c>
      <c r="B73" s="28" t="s">
        <v>14</v>
      </c>
      <c r="C73" s="29">
        <v>45576</v>
      </c>
      <c r="D73" s="28" t="s">
        <v>15</v>
      </c>
      <c r="E73" s="28" t="s">
        <v>49</v>
      </c>
      <c r="F73" s="30">
        <v>1360</v>
      </c>
      <c r="G73" s="30">
        <v>249</v>
      </c>
      <c r="H73" s="30">
        <v>52</v>
      </c>
      <c r="I73" s="30">
        <v>20368</v>
      </c>
      <c r="J73" s="30">
        <v>42152</v>
      </c>
      <c r="K73" s="30">
        <v>193</v>
      </c>
      <c r="L73" s="27" t="s">
        <v>21</v>
      </c>
      <c r="M73" s="27"/>
      <c r="N73" s="28" t="s">
        <v>22</v>
      </c>
      <c r="O73" s="43">
        <f t="shared" si="1"/>
        <v>1661</v>
      </c>
    </row>
    <row r="74" spans="1:15" ht="15.75" customHeight="1">
      <c r="A74" s="27" t="s">
        <v>113</v>
      </c>
      <c r="B74" s="28" t="s">
        <v>31</v>
      </c>
      <c r="C74" s="29">
        <v>45783</v>
      </c>
      <c r="D74" s="28" t="s">
        <v>57</v>
      </c>
      <c r="E74" s="28" t="s">
        <v>16</v>
      </c>
      <c r="F74" s="30">
        <v>1085</v>
      </c>
      <c r="G74" s="30">
        <v>496</v>
      </c>
      <c r="H74" s="30">
        <v>320</v>
      </c>
      <c r="I74" s="30">
        <v>36528</v>
      </c>
      <c r="J74" s="30">
        <v>38599</v>
      </c>
      <c r="K74" s="30">
        <v>270</v>
      </c>
      <c r="L74" s="27" t="s">
        <v>21</v>
      </c>
      <c r="M74" s="27" t="s">
        <v>45</v>
      </c>
      <c r="N74" s="28" t="s">
        <v>59</v>
      </c>
      <c r="O74" s="43">
        <f t="shared" si="1"/>
        <v>1901</v>
      </c>
    </row>
    <row r="75" spans="1:15" ht="15.75" customHeight="1">
      <c r="A75" s="27" t="s">
        <v>114</v>
      </c>
      <c r="B75" s="28" t="s">
        <v>24</v>
      </c>
      <c r="C75" s="29">
        <v>45431</v>
      </c>
      <c r="D75" s="28" t="s">
        <v>25</v>
      </c>
      <c r="E75" s="28" t="s">
        <v>37</v>
      </c>
      <c r="F75" s="30">
        <v>1763</v>
      </c>
      <c r="G75" s="30">
        <v>206</v>
      </c>
      <c r="H75" s="30">
        <v>187</v>
      </c>
      <c r="I75" s="30">
        <v>53342</v>
      </c>
      <c r="J75" s="30">
        <v>25095</v>
      </c>
      <c r="K75" s="30">
        <v>88</v>
      </c>
      <c r="L75" s="27" t="s">
        <v>21</v>
      </c>
      <c r="M75" s="27" t="s">
        <v>379</v>
      </c>
      <c r="N75" s="28" t="s">
        <v>18</v>
      </c>
      <c r="O75" s="43">
        <f t="shared" si="1"/>
        <v>2156</v>
      </c>
    </row>
    <row r="76" spans="1:15" ht="15.75" customHeight="1">
      <c r="A76" s="27" t="s">
        <v>115</v>
      </c>
      <c r="B76" s="28" t="s">
        <v>24</v>
      </c>
      <c r="C76" s="29">
        <v>45313</v>
      </c>
      <c r="D76" s="28" t="s">
        <v>25</v>
      </c>
      <c r="E76" s="28" t="s">
        <v>49</v>
      </c>
      <c r="F76" s="30">
        <v>1554</v>
      </c>
      <c r="G76" s="30">
        <v>455</v>
      </c>
      <c r="H76" s="30">
        <v>158</v>
      </c>
      <c r="I76" s="30">
        <v>41947</v>
      </c>
      <c r="J76" s="30">
        <v>48578</v>
      </c>
      <c r="K76" s="30">
        <v>101</v>
      </c>
      <c r="L76" s="27" t="s">
        <v>45</v>
      </c>
      <c r="M76" s="27" t="s">
        <v>42</v>
      </c>
      <c r="N76" s="28" t="s">
        <v>18</v>
      </c>
      <c r="O76" s="43">
        <f t="shared" si="1"/>
        <v>2167</v>
      </c>
    </row>
    <row r="77" spans="1:15" ht="15.75" customHeight="1">
      <c r="A77" s="27" t="s">
        <v>116</v>
      </c>
      <c r="B77" s="28" t="s">
        <v>14</v>
      </c>
      <c r="C77" s="29">
        <v>45487</v>
      </c>
      <c r="D77" s="28" t="s">
        <v>15</v>
      </c>
      <c r="E77" s="28" t="s">
        <v>29</v>
      </c>
      <c r="F77" s="30">
        <v>2464</v>
      </c>
      <c r="G77" s="30">
        <v>401</v>
      </c>
      <c r="H77" s="30">
        <v>78</v>
      </c>
      <c r="I77" s="30">
        <v>38665</v>
      </c>
      <c r="J77" s="30">
        <v>73593</v>
      </c>
      <c r="K77" s="30">
        <v>207</v>
      </c>
      <c r="L77" s="27" t="s">
        <v>21</v>
      </c>
      <c r="M77" s="27"/>
      <c r="N77" s="28" t="s">
        <v>22</v>
      </c>
      <c r="O77" s="43">
        <f t="shared" si="1"/>
        <v>2943</v>
      </c>
    </row>
    <row r="78" spans="1:15" ht="15.75" customHeight="1">
      <c r="A78" s="27" t="s">
        <v>117</v>
      </c>
      <c r="B78" s="28" t="s">
        <v>24</v>
      </c>
      <c r="C78" s="29">
        <v>45805</v>
      </c>
      <c r="D78" s="28" t="s">
        <v>15</v>
      </c>
      <c r="E78" s="28" t="s">
        <v>49</v>
      </c>
      <c r="F78" s="30">
        <v>2418</v>
      </c>
      <c r="G78" s="30">
        <v>161</v>
      </c>
      <c r="H78" s="30">
        <v>360</v>
      </c>
      <c r="I78" s="30">
        <v>30589</v>
      </c>
      <c r="J78" s="30">
        <v>41383</v>
      </c>
      <c r="K78" s="30">
        <v>88</v>
      </c>
      <c r="L78" s="27" t="s">
        <v>42</v>
      </c>
      <c r="M78" s="27"/>
      <c r="N78" s="28" t="s">
        <v>18</v>
      </c>
      <c r="O78" s="43">
        <f t="shared" si="1"/>
        <v>2939</v>
      </c>
    </row>
    <row r="79" spans="1:15" ht="15.75" customHeight="1">
      <c r="A79" s="27" t="s">
        <v>118</v>
      </c>
      <c r="B79" s="28" t="s">
        <v>24</v>
      </c>
      <c r="C79" s="29">
        <v>45678</v>
      </c>
      <c r="D79" s="28" t="s">
        <v>25</v>
      </c>
      <c r="E79" s="28" t="s">
        <v>16</v>
      </c>
      <c r="F79" s="30">
        <v>2494</v>
      </c>
      <c r="G79" s="30">
        <v>494</v>
      </c>
      <c r="H79" s="30">
        <v>55</v>
      </c>
      <c r="I79" s="30">
        <v>22580</v>
      </c>
      <c r="J79" s="30">
        <v>22214</v>
      </c>
      <c r="K79" s="30">
        <v>109</v>
      </c>
      <c r="L79" s="27" t="s">
        <v>379</v>
      </c>
      <c r="M79" s="27" t="s">
        <v>42</v>
      </c>
      <c r="N79" s="28" t="s">
        <v>18</v>
      </c>
      <c r="O79" s="43">
        <f t="shared" si="1"/>
        <v>3043</v>
      </c>
    </row>
    <row r="80" spans="1:15" ht="15.75" customHeight="1">
      <c r="A80" s="27" t="s">
        <v>119</v>
      </c>
      <c r="B80" s="28" t="s">
        <v>31</v>
      </c>
      <c r="C80" s="29">
        <v>45304</v>
      </c>
      <c r="D80" s="28" t="s">
        <v>57</v>
      </c>
      <c r="E80" s="28" t="s">
        <v>26</v>
      </c>
      <c r="F80" s="30">
        <v>4781</v>
      </c>
      <c r="G80" s="30">
        <v>191</v>
      </c>
      <c r="H80" s="30">
        <v>122</v>
      </c>
      <c r="I80" s="30">
        <v>35535</v>
      </c>
      <c r="J80" s="30">
        <v>50777</v>
      </c>
      <c r="K80" s="30">
        <v>128</v>
      </c>
      <c r="L80" s="27" t="s">
        <v>21</v>
      </c>
      <c r="M80" s="27" t="s">
        <v>45</v>
      </c>
      <c r="N80" s="28" t="s">
        <v>59</v>
      </c>
      <c r="O80" s="43">
        <f t="shared" si="1"/>
        <v>5094</v>
      </c>
    </row>
    <row r="81" spans="1:15" ht="15.75" customHeight="1">
      <c r="A81" s="27" t="s">
        <v>120</v>
      </c>
      <c r="B81" s="28" t="s">
        <v>14</v>
      </c>
      <c r="C81" s="29">
        <v>45825</v>
      </c>
      <c r="D81" s="28" t="s">
        <v>15</v>
      </c>
      <c r="E81" s="28" t="s">
        <v>32</v>
      </c>
      <c r="F81" s="30">
        <v>2284</v>
      </c>
      <c r="G81" s="30">
        <v>187</v>
      </c>
      <c r="H81" s="30">
        <v>260</v>
      </c>
      <c r="I81" s="30">
        <v>37400</v>
      </c>
      <c r="J81" s="30">
        <v>65014</v>
      </c>
      <c r="K81" s="30">
        <v>157</v>
      </c>
      <c r="L81" s="27" t="s">
        <v>45</v>
      </c>
      <c r="M81" s="27" t="s">
        <v>42</v>
      </c>
      <c r="N81" s="28" t="s">
        <v>18</v>
      </c>
      <c r="O81" s="43">
        <f t="shared" si="1"/>
        <v>2731</v>
      </c>
    </row>
    <row r="82" spans="1:15" ht="15.75" customHeight="1">
      <c r="A82" s="27" t="s">
        <v>121</v>
      </c>
      <c r="B82" s="28" t="s">
        <v>24</v>
      </c>
      <c r="C82" s="29">
        <v>45723</v>
      </c>
      <c r="D82" s="28" t="s">
        <v>15</v>
      </c>
      <c r="E82" s="28" t="s">
        <v>37</v>
      </c>
      <c r="F82" s="30">
        <v>4234</v>
      </c>
      <c r="G82" s="30">
        <v>486</v>
      </c>
      <c r="H82" s="30">
        <v>276</v>
      </c>
      <c r="I82" s="30">
        <v>56623</v>
      </c>
      <c r="J82" s="30">
        <v>41343</v>
      </c>
      <c r="K82" s="30">
        <v>184</v>
      </c>
      <c r="L82" s="27" t="s">
        <v>45</v>
      </c>
      <c r="M82" s="27"/>
      <c r="N82" s="28" t="s">
        <v>22</v>
      </c>
      <c r="O82" s="43">
        <f t="shared" si="1"/>
        <v>4996</v>
      </c>
    </row>
    <row r="83" spans="1:15" ht="15.75" customHeight="1">
      <c r="A83" s="27" t="s">
        <v>122</v>
      </c>
      <c r="B83" s="28" t="s">
        <v>14</v>
      </c>
      <c r="C83" s="29">
        <v>45530</v>
      </c>
      <c r="D83" s="28" t="s">
        <v>15</v>
      </c>
      <c r="E83" s="28" t="s">
        <v>51</v>
      </c>
      <c r="F83" s="30">
        <v>2102</v>
      </c>
      <c r="G83" s="30">
        <v>181</v>
      </c>
      <c r="H83" s="30">
        <v>306</v>
      </c>
      <c r="I83" s="30">
        <v>43650</v>
      </c>
      <c r="J83" s="30">
        <v>50079</v>
      </c>
      <c r="K83" s="30">
        <v>182</v>
      </c>
      <c r="L83" s="27" t="s">
        <v>21</v>
      </c>
      <c r="M83" s="27"/>
      <c r="N83" s="28" t="s">
        <v>22</v>
      </c>
      <c r="O83" s="43">
        <f t="shared" si="1"/>
        <v>2589</v>
      </c>
    </row>
    <row r="84" spans="1:15" ht="15.75" customHeight="1">
      <c r="A84" s="27" t="s">
        <v>123</v>
      </c>
      <c r="B84" s="28" t="s">
        <v>24</v>
      </c>
      <c r="C84" s="29">
        <v>45660</v>
      </c>
      <c r="D84" s="28" t="s">
        <v>25</v>
      </c>
      <c r="E84" s="28" t="s">
        <v>37</v>
      </c>
      <c r="F84" s="30">
        <v>4845</v>
      </c>
      <c r="G84" s="30">
        <v>158</v>
      </c>
      <c r="H84" s="30">
        <v>84</v>
      </c>
      <c r="I84" s="30">
        <v>34578</v>
      </c>
      <c r="J84" s="30">
        <v>51480</v>
      </c>
      <c r="K84" s="30">
        <v>180</v>
      </c>
      <c r="L84" s="27" t="s">
        <v>45</v>
      </c>
      <c r="M84" s="27" t="s">
        <v>42</v>
      </c>
      <c r="N84" s="28" t="s">
        <v>18</v>
      </c>
      <c r="O84" s="43">
        <f t="shared" si="1"/>
        <v>5087</v>
      </c>
    </row>
    <row r="85" spans="1:15" ht="15.75" customHeight="1">
      <c r="A85" s="27" t="s">
        <v>124</v>
      </c>
      <c r="B85" s="28" t="s">
        <v>24</v>
      </c>
      <c r="C85" s="29">
        <v>45507</v>
      </c>
      <c r="D85" s="28" t="s">
        <v>15</v>
      </c>
      <c r="E85" s="28" t="s">
        <v>51</v>
      </c>
      <c r="F85" s="30">
        <v>4247</v>
      </c>
      <c r="G85" s="30">
        <v>390</v>
      </c>
      <c r="H85" s="30">
        <v>213</v>
      </c>
      <c r="I85" s="30">
        <v>29785</v>
      </c>
      <c r="J85" s="30">
        <v>57768</v>
      </c>
      <c r="K85" s="30">
        <v>122</v>
      </c>
      <c r="L85" s="27" t="s">
        <v>42</v>
      </c>
      <c r="M85" s="27"/>
      <c r="N85" s="28" t="s">
        <v>18</v>
      </c>
      <c r="O85" s="43">
        <f t="shared" si="1"/>
        <v>4850</v>
      </c>
    </row>
    <row r="86" spans="1:15" ht="15.75" customHeight="1">
      <c r="A86" s="27" t="s">
        <v>125</v>
      </c>
      <c r="B86" s="28" t="s">
        <v>14</v>
      </c>
      <c r="C86" s="29">
        <v>45522</v>
      </c>
      <c r="D86" s="28" t="s">
        <v>15</v>
      </c>
      <c r="E86" s="28" t="s">
        <v>20</v>
      </c>
      <c r="F86" s="30">
        <v>2965</v>
      </c>
      <c r="G86" s="30">
        <v>328</v>
      </c>
      <c r="H86" s="30">
        <v>171</v>
      </c>
      <c r="I86" s="30">
        <v>57685</v>
      </c>
      <c r="J86" s="30">
        <v>67536</v>
      </c>
      <c r="K86" s="30">
        <v>264</v>
      </c>
      <c r="L86" s="27" t="s">
        <v>45</v>
      </c>
      <c r="M86" s="27" t="s">
        <v>42</v>
      </c>
      <c r="N86" s="28" t="s">
        <v>18</v>
      </c>
      <c r="O86" s="43">
        <f t="shared" si="1"/>
        <v>3464</v>
      </c>
    </row>
    <row r="87" spans="1:15" ht="15.75" customHeight="1">
      <c r="A87" s="27" t="s">
        <v>126</v>
      </c>
      <c r="B87" s="28" t="s">
        <v>24</v>
      </c>
      <c r="C87" s="29">
        <v>45791</v>
      </c>
      <c r="D87" s="28" t="s">
        <v>25</v>
      </c>
      <c r="E87" s="28" t="s">
        <v>29</v>
      </c>
      <c r="F87" s="30">
        <v>1371</v>
      </c>
      <c r="G87" s="30">
        <v>139</v>
      </c>
      <c r="H87" s="30">
        <v>96</v>
      </c>
      <c r="I87" s="30">
        <v>36140</v>
      </c>
      <c r="J87" s="30">
        <v>39395</v>
      </c>
      <c r="K87" s="30">
        <v>169</v>
      </c>
      <c r="L87" s="27" t="s">
        <v>45</v>
      </c>
      <c r="M87" s="27" t="s">
        <v>42</v>
      </c>
      <c r="N87" s="28" t="s">
        <v>18</v>
      </c>
      <c r="O87" s="43">
        <f t="shared" si="1"/>
        <v>1606</v>
      </c>
    </row>
    <row r="88" spans="1:15" ht="15.75" customHeight="1">
      <c r="A88" s="27" t="s">
        <v>127</v>
      </c>
      <c r="B88" s="28" t="s">
        <v>24</v>
      </c>
      <c r="C88" s="29">
        <v>45405</v>
      </c>
      <c r="D88" s="28" t="s">
        <v>25</v>
      </c>
      <c r="E88" s="28" t="s">
        <v>16</v>
      </c>
      <c r="F88" s="30">
        <v>2683</v>
      </c>
      <c r="G88" s="30">
        <v>496</v>
      </c>
      <c r="H88" s="30">
        <v>89</v>
      </c>
      <c r="I88" s="30">
        <v>53435</v>
      </c>
      <c r="J88" s="30">
        <v>30334</v>
      </c>
      <c r="K88" s="30">
        <v>160</v>
      </c>
      <c r="L88" s="27" t="s">
        <v>45</v>
      </c>
      <c r="M88" s="27" t="s">
        <v>42</v>
      </c>
      <c r="N88" s="28" t="s">
        <v>18</v>
      </c>
      <c r="O88" s="43">
        <f t="shared" si="1"/>
        <v>3268</v>
      </c>
    </row>
    <row r="89" spans="1:15" ht="15.75" customHeight="1">
      <c r="A89" s="27" t="s">
        <v>128</v>
      </c>
      <c r="B89" s="28" t="s">
        <v>24</v>
      </c>
      <c r="C89" s="29">
        <v>45705</v>
      </c>
      <c r="D89" s="28" t="s">
        <v>25</v>
      </c>
      <c r="E89" s="28" t="s">
        <v>35</v>
      </c>
      <c r="F89" s="30">
        <v>4796</v>
      </c>
      <c r="G89" s="30">
        <v>427</v>
      </c>
      <c r="H89" s="30">
        <v>339</v>
      </c>
      <c r="I89" s="30">
        <v>30752</v>
      </c>
      <c r="J89" s="30">
        <v>33870</v>
      </c>
      <c r="K89" s="30">
        <v>298</v>
      </c>
      <c r="L89" s="27" t="s">
        <v>45</v>
      </c>
      <c r="M89" s="27" t="s">
        <v>42</v>
      </c>
      <c r="N89" s="28" t="s">
        <v>18</v>
      </c>
      <c r="O89" s="43">
        <f t="shared" si="1"/>
        <v>5562</v>
      </c>
    </row>
    <row r="90" spans="1:15" ht="15.75" customHeight="1">
      <c r="A90" s="27" t="s">
        <v>129</v>
      </c>
      <c r="B90" s="28" t="s">
        <v>14</v>
      </c>
      <c r="C90" s="29">
        <v>45630</v>
      </c>
      <c r="D90" s="28" t="s">
        <v>15</v>
      </c>
      <c r="E90" s="28" t="s">
        <v>29</v>
      </c>
      <c r="F90" s="30">
        <v>2601</v>
      </c>
      <c r="G90" s="30">
        <v>336</v>
      </c>
      <c r="H90" s="30">
        <v>260</v>
      </c>
      <c r="I90" s="30">
        <v>32368</v>
      </c>
      <c r="J90" s="30">
        <v>49028</v>
      </c>
      <c r="K90" s="30">
        <v>120</v>
      </c>
      <c r="L90" s="27" t="s">
        <v>45</v>
      </c>
      <c r="M90" s="27" t="s">
        <v>42</v>
      </c>
      <c r="N90" s="28" t="s">
        <v>18</v>
      </c>
      <c r="O90" s="43">
        <f t="shared" si="1"/>
        <v>3197</v>
      </c>
    </row>
    <row r="91" spans="1:15" ht="15.75" customHeight="1">
      <c r="A91" s="27" t="s">
        <v>130</v>
      </c>
      <c r="B91" s="28" t="s">
        <v>24</v>
      </c>
      <c r="C91" s="29">
        <v>45495</v>
      </c>
      <c r="D91" s="28" t="s">
        <v>25</v>
      </c>
      <c r="E91" s="28" t="s">
        <v>29</v>
      </c>
      <c r="F91" s="30">
        <v>3336</v>
      </c>
      <c r="G91" s="30">
        <v>229</v>
      </c>
      <c r="H91" s="30">
        <v>337</v>
      </c>
      <c r="I91" s="30">
        <v>22117</v>
      </c>
      <c r="J91" s="30">
        <v>26205</v>
      </c>
      <c r="K91" s="30">
        <v>160</v>
      </c>
      <c r="L91" s="27" t="s">
        <v>379</v>
      </c>
      <c r="M91" s="27" t="s">
        <v>42</v>
      </c>
      <c r="N91" s="28" t="s">
        <v>18</v>
      </c>
      <c r="O91" s="43">
        <f t="shared" si="1"/>
        <v>3902</v>
      </c>
    </row>
    <row r="92" spans="1:15" ht="15.75" customHeight="1">
      <c r="A92" s="27" t="s">
        <v>131</v>
      </c>
      <c r="B92" s="28" t="s">
        <v>24</v>
      </c>
      <c r="C92" s="29">
        <v>45774</v>
      </c>
      <c r="D92" s="28" t="s">
        <v>15</v>
      </c>
      <c r="E92" s="28" t="s">
        <v>20</v>
      </c>
      <c r="F92" s="30">
        <v>1165</v>
      </c>
      <c r="G92" s="30">
        <v>294</v>
      </c>
      <c r="H92" s="30">
        <v>163</v>
      </c>
      <c r="I92" s="30">
        <v>20659</v>
      </c>
      <c r="J92" s="30">
        <v>45926</v>
      </c>
      <c r="K92" s="30">
        <v>111</v>
      </c>
      <c r="L92" s="27" t="s">
        <v>45</v>
      </c>
      <c r="M92" s="27"/>
      <c r="N92" s="28" t="s">
        <v>22</v>
      </c>
      <c r="O92" s="43">
        <f t="shared" si="1"/>
        <v>1622</v>
      </c>
    </row>
    <row r="93" spans="1:15" ht="15.75" customHeight="1">
      <c r="A93" s="27" t="s">
        <v>132</v>
      </c>
      <c r="B93" s="28" t="s">
        <v>31</v>
      </c>
      <c r="C93" s="29">
        <v>45376</v>
      </c>
      <c r="D93" s="28" t="s">
        <v>57</v>
      </c>
      <c r="E93" s="28" t="s">
        <v>20</v>
      </c>
      <c r="F93" s="30">
        <v>1948</v>
      </c>
      <c r="G93" s="30">
        <v>155</v>
      </c>
      <c r="H93" s="30">
        <v>315</v>
      </c>
      <c r="I93" s="30">
        <v>30321</v>
      </c>
      <c r="J93" s="30">
        <v>57121</v>
      </c>
      <c r="K93" s="30">
        <v>82</v>
      </c>
      <c r="L93" s="27" t="s">
        <v>21</v>
      </c>
      <c r="M93" s="27" t="s">
        <v>45</v>
      </c>
      <c r="N93" s="28" t="s">
        <v>59</v>
      </c>
      <c r="O93" s="43">
        <f t="shared" si="1"/>
        <v>2418</v>
      </c>
    </row>
    <row r="94" spans="1:15" ht="15.75" customHeight="1">
      <c r="A94" s="27" t="s">
        <v>133</v>
      </c>
      <c r="B94" s="28" t="s">
        <v>14</v>
      </c>
      <c r="C94" s="29">
        <v>45351</v>
      </c>
      <c r="D94" s="28" t="s">
        <v>15</v>
      </c>
      <c r="E94" s="28" t="s">
        <v>49</v>
      </c>
      <c r="F94" s="30">
        <v>1100</v>
      </c>
      <c r="G94" s="30">
        <v>229</v>
      </c>
      <c r="H94" s="30">
        <v>312</v>
      </c>
      <c r="I94" s="30">
        <v>25641</v>
      </c>
      <c r="J94" s="30">
        <v>34601</v>
      </c>
      <c r="K94" s="30">
        <v>169</v>
      </c>
      <c r="L94" s="27" t="s">
        <v>21</v>
      </c>
      <c r="M94" s="27"/>
      <c r="N94" s="28" t="s">
        <v>22</v>
      </c>
      <c r="O94" s="43">
        <f t="shared" si="1"/>
        <v>1641</v>
      </c>
    </row>
    <row r="95" spans="1:15" ht="15.75" customHeight="1">
      <c r="A95" s="27" t="s">
        <v>134</v>
      </c>
      <c r="B95" s="28" t="s">
        <v>24</v>
      </c>
      <c r="C95" s="29">
        <v>45609</v>
      </c>
      <c r="D95" s="28" t="s">
        <v>25</v>
      </c>
      <c r="E95" s="28" t="s">
        <v>41</v>
      </c>
      <c r="F95" s="30">
        <v>4628</v>
      </c>
      <c r="G95" s="30">
        <v>257</v>
      </c>
      <c r="H95" s="30">
        <v>397</v>
      </c>
      <c r="I95" s="30">
        <v>36686</v>
      </c>
      <c r="J95" s="30">
        <v>54683</v>
      </c>
      <c r="K95" s="30">
        <v>98</v>
      </c>
      <c r="L95" s="27" t="s">
        <v>45</v>
      </c>
      <c r="M95" s="27" t="s">
        <v>42</v>
      </c>
      <c r="N95" s="28" t="s">
        <v>18</v>
      </c>
      <c r="O95" s="43">
        <f t="shared" si="1"/>
        <v>5282</v>
      </c>
    </row>
    <row r="96" spans="1:15" ht="15.75" customHeight="1">
      <c r="A96" s="27" t="s">
        <v>135</v>
      </c>
      <c r="B96" s="28" t="s">
        <v>14</v>
      </c>
      <c r="C96" s="29">
        <v>45373</v>
      </c>
      <c r="D96" s="28" t="s">
        <v>25</v>
      </c>
      <c r="E96" s="28" t="s">
        <v>16</v>
      </c>
      <c r="F96" s="30">
        <v>2319</v>
      </c>
      <c r="G96" s="30">
        <v>484</v>
      </c>
      <c r="H96" s="30">
        <v>193</v>
      </c>
      <c r="I96" s="30">
        <v>21202</v>
      </c>
      <c r="J96" s="30">
        <v>18091</v>
      </c>
      <c r="K96" s="30">
        <v>241</v>
      </c>
      <c r="L96" s="27" t="s">
        <v>42</v>
      </c>
      <c r="M96" s="27"/>
      <c r="N96" s="28" t="s">
        <v>55</v>
      </c>
      <c r="O96" s="43">
        <f t="shared" si="1"/>
        <v>2996</v>
      </c>
    </row>
    <row r="97" spans="1:15" ht="15.75" customHeight="1">
      <c r="A97" s="27" t="s">
        <v>136</v>
      </c>
      <c r="B97" s="28" t="s">
        <v>24</v>
      </c>
      <c r="C97" s="29">
        <v>45367</v>
      </c>
      <c r="D97" s="28" t="s">
        <v>25</v>
      </c>
      <c r="E97" s="28" t="s">
        <v>29</v>
      </c>
      <c r="F97" s="30">
        <v>2895</v>
      </c>
      <c r="G97" s="30">
        <v>292</v>
      </c>
      <c r="H97" s="30">
        <v>90</v>
      </c>
      <c r="I97" s="30">
        <v>24223</v>
      </c>
      <c r="J97" s="30">
        <v>54626</v>
      </c>
      <c r="K97" s="30">
        <v>114</v>
      </c>
      <c r="L97" s="27" t="s">
        <v>45</v>
      </c>
      <c r="M97" s="27" t="s">
        <v>42</v>
      </c>
      <c r="N97" s="28" t="s">
        <v>18</v>
      </c>
      <c r="O97" s="43">
        <f t="shared" si="1"/>
        <v>3277</v>
      </c>
    </row>
    <row r="98" spans="1:15" ht="15.75" customHeight="1">
      <c r="A98" s="27" t="s">
        <v>137</v>
      </c>
      <c r="B98" s="28" t="s">
        <v>14</v>
      </c>
      <c r="C98" s="29">
        <v>45317</v>
      </c>
      <c r="D98" s="28" t="s">
        <v>15</v>
      </c>
      <c r="E98" s="28" t="s">
        <v>35</v>
      </c>
      <c r="F98" s="30">
        <v>3878</v>
      </c>
      <c r="G98" s="30">
        <v>431</v>
      </c>
      <c r="H98" s="30">
        <v>97</v>
      </c>
      <c r="I98" s="30">
        <v>41763</v>
      </c>
      <c r="J98" s="30">
        <v>29729</v>
      </c>
      <c r="K98" s="30">
        <v>191</v>
      </c>
      <c r="L98" s="27" t="s">
        <v>21</v>
      </c>
      <c r="M98" s="27"/>
      <c r="N98" s="28" t="s">
        <v>22</v>
      </c>
      <c r="O98" s="43">
        <f t="shared" si="1"/>
        <v>4406</v>
      </c>
    </row>
    <row r="99" spans="1:15" ht="15.75" customHeight="1">
      <c r="A99" s="27" t="s">
        <v>138</v>
      </c>
      <c r="B99" s="28" t="s">
        <v>24</v>
      </c>
      <c r="C99" s="29">
        <v>45366</v>
      </c>
      <c r="D99" s="28" t="s">
        <v>25</v>
      </c>
      <c r="E99" s="28" t="s">
        <v>37</v>
      </c>
      <c r="F99" s="30">
        <v>4969</v>
      </c>
      <c r="G99" s="30">
        <v>433</v>
      </c>
      <c r="H99" s="30">
        <v>237</v>
      </c>
      <c r="I99" s="30">
        <v>59552</v>
      </c>
      <c r="J99" s="30">
        <v>23885</v>
      </c>
      <c r="K99" s="30">
        <v>157</v>
      </c>
      <c r="L99" s="27" t="s">
        <v>21</v>
      </c>
      <c r="M99" s="27" t="s">
        <v>379</v>
      </c>
      <c r="N99" s="28" t="s">
        <v>18</v>
      </c>
      <c r="O99" s="43">
        <f t="shared" si="1"/>
        <v>5639</v>
      </c>
    </row>
    <row r="100" spans="1:15" ht="15.75" customHeight="1">
      <c r="A100" s="27" t="s">
        <v>139</v>
      </c>
      <c r="B100" s="28" t="s">
        <v>24</v>
      </c>
      <c r="C100" s="29">
        <v>45580</v>
      </c>
      <c r="D100" s="28" t="s">
        <v>15</v>
      </c>
      <c r="E100" s="28" t="s">
        <v>29</v>
      </c>
      <c r="F100" s="30">
        <v>1984</v>
      </c>
      <c r="G100" s="30">
        <v>481</v>
      </c>
      <c r="H100" s="30">
        <v>356</v>
      </c>
      <c r="I100" s="30">
        <v>40681</v>
      </c>
      <c r="J100" s="30">
        <v>63111</v>
      </c>
      <c r="K100" s="30">
        <v>258</v>
      </c>
      <c r="L100" s="27" t="s">
        <v>42</v>
      </c>
      <c r="M100" s="27"/>
      <c r="N100" s="28" t="s">
        <v>18</v>
      </c>
      <c r="O100" s="43">
        <f t="shared" si="1"/>
        <v>2821</v>
      </c>
    </row>
    <row r="101" spans="1:15" ht="15.75" customHeight="1">
      <c r="A101" s="27" t="s">
        <v>140</v>
      </c>
      <c r="B101" s="28" t="s">
        <v>14</v>
      </c>
      <c r="C101" s="29">
        <v>45494</v>
      </c>
      <c r="D101" s="28" t="s">
        <v>15</v>
      </c>
      <c r="E101" s="28" t="s">
        <v>16</v>
      </c>
      <c r="F101" s="30">
        <v>3004</v>
      </c>
      <c r="G101" s="30">
        <v>415</v>
      </c>
      <c r="H101" s="30">
        <v>218</v>
      </c>
      <c r="I101" s="30">
        <v>36090</v>
      </c>
      <c r="J101" s="30">
        <v>37073</v>
      </c>
      <c r="K101" s="30">
        <v>181</v>
      </c>
      <c r="L101" s="27" t="s">
        <v>21</v>
      </c>
      <c r="M101" s="27"/>
      <c r="N101" s="28" t="s">
        <v>22</v>
      </c>
      <c r="O101" s="43">
        <f t="shared" si="1"/>
        <v>3637</v>
      </c>
    </row>
    <row r="102" spans="1:15" ht="15.75" customHeight="1">
      <c r="A102" s="27" t="s">
        <v>141</v>
      </c>
      <c r="B102" s="28" t="s">
        <v>24</v>
      </c>
      <c r="C102" s="29">
        <v>45577</v>
      </c>
      <c r="D102" s="28" t="s">
        <v>15</v>
      </c>
      <c r="E102" s="28" t="s">
        <v>37</v>
      </c>
      <c r="F102" s="30">
        <v>3169</v>
      </c>
      <c r="G102" s="30">
        <v>386</v>
      </c>
      <c r="H102" s="30">
        <v>175</v>
      </c>
      <c r="I102" s="30">
        <v>45012</v>
      </c>
      <c r="J102" s="30">
        <v>38508</v>
      </c>
      <c r="K102" s="30">
        <v>218</v>
      </c>
      <c r="L102" s="27" t="s">
        <v>42</v>
      </c>
      <c r="M102" s="27"/>
      <c r="N102" s="28" t="s">
        <v>18</v>
      </c>
      <c r="O102" s="43">
        <f t="shared" si="1"/>
        <v>3730</v>
      </c>
    </row>
    <row r="103" spans="1:15" ht="15.75" customHeight="1">
      <c r="A103" s="27" t="s">
        <v>142</v>
      </c>
      <c r="B103" s="28" t="s">
        <v>24</v>
      </c>
      <c r="C103" s="29">
        <v>45591</v>
      </c>
      <c r="D103" s="28" t="s">
        <v>15</v>
      </c>
      <c r="E103" s="28" t="s">
        <v>16</v>
      </c>
      <c r="F103" s="30">
        <v>3036</v>
      </c>
      <c r="G103" s="30">
        <v>293</v>
      </c>
      <c r="H103" s="30">
        <v>115</v>
      </c>
      <c r="I103" s="30">
        <v>23776</v>
      </c>
      <c r="J103" s="30">
        <v>46386</v>
      </c>
      <c r="K103" s="30">
        <v>282</v>
      </c>
      <c r="L103" s="27" t="s">
        <v>42</v>
      </c>
      <c r="M103" s="27"/>
      <c r="N103" s="28" t="s">
        <v>18</v>
      </c>
      <c r="O103" s="43">
        <f t="shared" si="1"/>
        <v>3444</v>
      </c>
    </row>
    <row r="104" spans="1:15" ht="15.75" customHeight="1">
      <c r="A104" s="27" t="s">
        <v>143</v>
      </c>
      <c r="B104" s="28" t="s">
        <v>14</v>
      </c>
      <c r="C104" s="29">
        <v>45336</v>
      </c>
      <c r="D104" s="28" t="s">
        <v>15</v>
      </c>
      <c r="E104" s="28" t="s">
        <v>32</v>
      </c>
      <c r="F104" s="30">
        <v>1830</v>
      </c>
      <c r="G104" s="30">
        <v>112</v>
      </c>
      <c r="H104" s="30">
        <v>181</v>
      </c>
      <c r="I104" s="30">
        <v>31870</v>
      </c>
      <c r="J104" s="30">
        <v>55742</v>
      </c>
      <c r="K104" s="30">
        <v>263</v>
      </c>
      <c r="L104" s="27" t="s">
        <v>45</v>
      </c>
      <c r="M104" s="27" t="s">
        <v>42</v>
      </c>
      <c r="N104" s="28" t="s">
        <v>18</v>
      </c>
      <c r="O104" s="43">
        <f t="shared" si="1"/>
        <v>2123</v>
      </c>
    </row>
    <row r="105" spans="1:15" ht="15.75" customHeight="1">
      <c r="A105" s="27" t="s">
        <v>144</v>
      </c>
      <c r="B105" s="28" t="s">
        <v>24</v>
      </c>
      <c r="C105" s="29">
        <v>45413</v>
      </c>
      <c r="D105" s="28" t="s">
        <v>25</v>
      </c>
      <c r="E105" s="28" t="s">
        <v>35</v>
      </c>
      <c r="F105" s="30">
        <v>2587</v>
      </c>
      <c r="G105" s="30">
        <v>447</v>
      </c>
      <c r="H105" s="30">
        <v>183</v>
      </c>
      <c r="I105" s="30">
        <v>36266</v>
      </c>
      <c r="J105" s="30">
        <v>32877</v>
      </c>
      <c r="K105" s="30">
        <v>132</v>
      </c>
      <c r="L105" s="27" t="s">
        <v>21</v>
      </c>
      <c r="M105" s="27" t="s">
        <v>379</v>
      </c>
      <c r="N105" s="28" t="s">
        <v>18</v>
      </c>
      <c r="O105" s="43">
        <f t="shared" si="1"/>
        <v>3217</v>
      </c>
    </row>
    <row r="106" spans="1:15" ht="15.75" customHeight="1">
      <c r="A106" s="27" t="s">
        <v>145</v>
      </c>
      <c r="B106" s="28" t="s">
        <v>24</v>
      </c>
      <c r="C106" s="29">
        <v>45553</v>
      </c>
      <c r="D106" s="28" t="s">
        <v>15</v>
      </c>
      <c r="E106" s="28" t="s">
        <v>16</v>
      </c>
      <c r="F106" s="30">
        <v>2878</v>
      </c>
      <c r="G106" s="30">
        <v>265</v>
      </c>
      <c r="H106" s="30">
        <v>91</v>
      </c>
      <c r="I106" s="30">
        <v>52090</v>
      </c>
      <c r="J106" s="30">
        <v>28924</v>
      </c>
      <c r="K106" s="30">
        <v>133</v>
      </c>
      <c r="L106" s="27" t="s">
        <v>42</v>
      </c>
      <c r="M106" s="27"/>
      <c r="N106" s="28" t="s">
        <v>18</v>
      </c>
      <c r="O106" s="43">
        <f t="shared" si="1"/>
        <v>3234</v>
      </c>
    </row>
    <row r="107" spans="1:15" ht="15.75" customHeight="1">
      <c r="A107" s="27" t="s">
        <v>146</v>
      </c>
      <c r="B107" s="28" t="s">
        <v>24</v>
      </c>
      <c r="C107" s="29">
        <v>45677</v>
      </c>
      <c r="D107" s="28" t="s">
        <v>25</v>
      </c>
      <c r="E107" s="28" t="s">
        <v>26</v>
      </c>
      <c r="F107" s="30">
        <v>4619</v>
      </c>
      <c r="G107" s="30">
        <v>272</v>
      </c>
      <c r="H107" s="30">
        <v>57</v>
      </c>
      <c r="I107" s="30">
        <v>21334</v>
      </c>
      <c r="J107" s="30">
        <v>46292</v>
      </c>
      <c r="K107" s="30">
        <v>91</v>
      </c>
      <c r="L107" s="27" t="s">
        <v>45</v>
      </c>
      <c r="M107" s="27" t="s">
        <v>42</v>
      </c>
      <c r="N107" s="28" t="s">
        <v>18</v>
      </c>
      <c r="O107" s="43">
        <f t="shared" si="1"/>
        <v>4948</v>
      </c>
    </row>
    <row r="108" spans="1:15" ht="15.75" customHeight="1">
      <c r="A108" s="27" t="s">
        <v>147</v>
      </c>
      <c r="B108" s="28" t="s">
        <v>24</v>
      </c>
      <c r="C108" s="29">
        <v>45670</v>
      </c>
      <c r="D108" s="28" t="s">
        <v>15</v>
      </c>
      <c r="E108" s="28" t="s">
        <v>32</v>
      </c>
      <c r="F108" s="30">
        <v>4090</v>
      </c>
      <c r="G108" s="30">
        <v>209</v>
      </c>
      <c r="H108" s="30">
        <v>278</v>
      </c>
      <c r="I108" s="30">
        <v>52853</v>
      </c>
      <c r="J108" s="30">
        <v>57084</v>
      </c>
      <c r="K108" s="30">
        <v>102</v>
      </c>
      <c r="L108" s="27" t="s">
        <v>45</v>
      </c>
      <c r="M108" s="27"/>
      <c r="N108" s="28" t="s">
        <v>22</v>
      </c>
      <c r="O108" s="43">
        <f t="shared" si="1"/>
        <v>4577</v>
      </c>
    </row>
    <row r="109" spans="1:15" ht="15.75" customHeight="1">
      <c r="A109" s="27" t="s">
        <v>148</v>
      </c>
      <c r="B109" s="28" t="s">
        <v>31</v>
      </c>
      <c r="C109" s="29">
        <v>45542</v>
      </c>
      <c r="D109" s="28" t="s">
        <v>57</v>
      </c>
      <c r="E109" s="28" t="s">
        <v>32</v>
      </c>
      <c r="F109" s="30">
        <v>3882</v>
      </c>
      <c r="G109" s="30">
        <v>342</v>
      </c>
      <c r="H109" s="30">
        <v>374</v>
      </c>
      <c r="I109" s="30">
        <v>41991</v>
      </c>
      <c r="J109" s="30">
        <v>48554</v>
      </c>
      <c r="K109" s="30">
        <v>118</v>
      </c>
      <c r="L109" s="27" t="s">
        <v>21</v>
      </c>
      <c r="M109" s="27" t="s">
        <v>45</v>
      </c>
      <c r="N109" s="28" t="s">
        <v>59</v>
      </c>
      <c r="O109" s="43">
        <f t="shared" si="1"/>
        <v>4598</v>
      </c>
    </row>
    <row r="110" spans="1:15" ht="15.75" customHeight="1">
      <c r="A110" s="27" t="s">
        <v>149</v>
      </c>
      <c r="B110" s="28" t="s">
        <v>14</v>
      </c>
      <c r="C110" s="29">
        <v>45617</v>
      </c>
      <c r="D110" s="28" t="s">
        <v>15</v>
      </c>
      <c r="E110" s="28" t="s">
        <v>32</v>
      </c>
      <c r="F110" s="30">
        <v>4581</v>
      </c>
      <c r="G110" s="30">
        <v>181</v>
      </c>
      <c r="H110" s="30">
        <v>112</v>
      </c>
      <c r="I110" s="30">
        <v>35221</v>
      </c>
      <c r="J110" s="30">
        <v>28797</v>
      </c>
      <c r="K110" s="30">
        <v>164</v>
      </c>
      <c r="L110" s="27" t="s">
        <v>45</v>
      </c>
      <c r="M110" s="27" t="s">
        <v>42</v>
      </c>
      <c r="N110" s="28" t="s">
        <v>18</v>
      </c>
      <c r="O110" s="43">
        <f t="shared" si="1"/>
        <v>4874</v>
      </c>
    </row>
    <row r="111" spans="1:15" ht="15.75" customHeight="1">
      <c r="A111" s="27" t="s">
        <v>150</v>
      </c>
      <c r="B111" s="28" t="s">
        <v>14</v>
      </c>
      <c r="C111" s="29">
        <v>45469</v>
      </c>
      <c r="D111" s="28" t="s">
        <v>15</v>
      </c>
      <c r="E111" s="28" t="s">
        <v>26</v>
      </c>
      <c r="F111" s="30">
        <v>3253</v>
      </c>
      <c r="G111" s="30">
        <v>483</v>
      </c>
      <c r="H111" s="30">
        <v>336</v>
      </c>
      <c r="I111" s="30">
        <v>25397</v>
      </c>
      <c r="J111" s="30">
        <v>51485</v>
      </c>
      <c r="K111" s="30">
        <v>131</v>
      </c>
      <c r="L111" s="27" t="s">
        <v>21</v>
      </c>
      <c r="M111" s="27"/>
      <c r="N111" s="28" t="s">
        <v>22</v>
      </c>
      <c r="O111" s="43">
        <f t="shared" si="1"/>
        <v>4072</v>
      </c>
    </row>
    <row r="112" spans="1:15" ht="15.75" customHeight="1">
      <c r="A112" s="27" t="s">
        <v>151</v>
      </c>
      <c r="B112" s="28" t="s">
        <v>31</v>
      </c>
      <c r="C112" s="29">
        <v>45493</v>
      </c>
      <c r="D112" s="28" t="s">
        <v>57</v>
      </c>
      <c r="E112" s="28" t="s">
        <v>32</v>
      </c>
      <c r="F112" s="30">
        <v>4955</v>
      </c>
      <c r="G112" s="30">
        <v>299</v>
      </c>
      <c r="H112" s="30">
        <v>345</v>
      </c>
      <c r="I112" s="30">
        <v>33644</v>
      </c>
      <c r="J112" s="30">
        <v>43547</v>
      </c>
      <c r="K112" s="30">
        <v>194</v>
      </c>
      <c r="L112" s="27" t="s">
        <v>21</v>
      </c>
      <c r="M112" s="27" t="s">
        <v>45</v>
      </c>
      <c r="N112" s="28" t="s">
        <v>59</v>
      </c>
      <c r="O112" s="43">
        <f t="shared" si="1"/>
        <v>5599</v>
      </c>
    </row>
    <row r="113" spans="1:15" ht="15.75" customHeight="1">
      <c r="A113" s="27" t="s">
        <v>152</v>
      </c>
      <c r="B113" s="28" t="s">
        <v>14</v>
      </c>
      <c r="C113" s="29">
        <v>45704</v>
      </c>
      <c r="D113" s="28" t="s">
        <v>15</v>
      </c>
      <c r="E113" s="28" t="s">
        <v>51</v>
      </c>
      <c r="F113" s="30">
        <v>1333</v>
      </c>
      <c r="G113" s="30">
        <v>286</v>
      </c>
      <c r="H113" s="30">
        <v>298</v>
      </c>
      <c r="I113" s="30">
        <v>36174</v>
      </c>
      <c r="J113" s="30">
        <v>34517</v>
      </c>
      <c r="K113" s="30">
        <v>170</v>
      </c>
      <c r="L113" s="27" t="s">
        <v>45</v>
      </c>
      <c r="M113" s="27" t="s">
        <v>42</v>
      </c>
      <c r="N113" s="28" t="s">
        <v>18</v>
      </c>
      <c r="O113" s="43">
        <f t="shared" si="1"/>
        <v>1917</v>
      </c>
    </row>
    <row r="114" spans="1:15" ht="15.75" customHeight="1">
      <c r="A114" s="27" t="s">
        <v>153</v>
      </c>
      <c r="B114" s="28" t="s">
        <v>14</v>
      </c>
      <c r="C114" s="29">
        <v>45544</v>
      </c>
      <c r="D114" s="28" t="s">
        <v>15</v>
      </c>
      <c r="E114" s="28" t="s">
        <v>26</v>
      </c>
      <c r="F114" s="30">
        <v>1616</v>
      </c>
      <c r="G114" s="30">
        <v>360</v>
      </c>
      <c r="H114" s="30">
        <v>180</v>
      </c>
      <c r="I114" s="30">
        <v>54342</v>
      </c>
      <c r="J114" s="30">
        <v>18796</v>
      </c>
      <c r="K114" s="30">
        <v>282</v>
      </c>
      <c r="L114" s="27" t="s">
        <v>45</v>
      </c>
      <c r="M114" s="27" t="s">
        <v>42</v>
      </c>
      <c r="N114" s="28" t="s">
        <v>18</v>
      </c>
      <c r="O114" s="43">
        <f t="shared" si="1"/>
        <v>2156</v>
      </c>
    </row>
    <row r="115" spans="1:15" ht="15.75" customHeight="1">
      <c r="A115" s="27" t="s">
        <v>154</v>
      </c>
      <c r="B115" s="28" t="s">
        <v>24</v>
      </c>
      <c r="C115" s="29">
        <v>45489</v>
      </c>
      <c r="D115" s="28" t="s">
        <v>15</v>
      </c>
      <c r="E115" s="28" t="s">
        <v>41</v>
      </c>
      <c r="F115" s="30">
        <v>1803</v>
      </c>
      <c r="G115" s="30">
        <v>273</v>
      </c>
      <c r="H115" s="30">
        <v>287</v>
      </c>
      <c r="I115" s="30">
        <v>46176</v>
      </c>
      <c r="J115" s="30">
        <v>25488</v>
      </c>
      <c r="K115" s="30">
        <v>141</v>
      </c>
      <c r="L115" s="27" t="s">
        <v>42</v>
      </c>
      <c r="M115" s="27"/>
      <c r="N115" s="28" t="s">
        <v>18</v>
      </c>
      <c r="O115" s="43">
        <f t="shared" si="1"/>
        <v>2363</v>
      </c>
    </row>
    <row r="116" spans="1:15" ht="15.75" customHeight="1">
      <c r="A116" s="27" t="s">
        <v>155</v>
      </c>
      <c r="B116" s="28" t="s">
        <v>14</v>
      </c>
      <c r="C116" s="29">
        <v>45762</v>
      </c>
      <c r="D116" s="28" t="s">
        <v>15</v>
      </c>
      <c r="E116" s="28" t="s">
        <v>20</v>
      </c>
      <c r="F116" s="30">
        <v>4177</v>
      </c>
      <c r="G116" s="30">
        <v>489</v>
      </c>
      <c r="H116" s="30">
        <v>331</v>
      </c>
      <c r="I116" s="30">
        <v>57451</v>
      </c>
      <c r="J116" s="30">
        <v>73793</v>
      </c>
      <c r="K116" s="30">
        <v>251</v>
      </c>
      <c r="L116" s="27" t="s">
        <v>21</v>
      </c>
      <c r="M116" s="27"/>
      <c r="N116" s="28" t="s">
        <v>22</v>
      </c>
      <c r="O116" s="43">
        <f t="shared" si="1"/>
        <v>4997</v>
      </c>
    </row>
    <row r="117" spans="1:15" ht="15.75" customHeight="1">
      <c r="A117" s="27" t="s">
        <v>156</v>
      </c>
      <c r="B117" s="28" t="s">
        <v>14</v>
      </c>
      <c r="C117" s="29">
        <v>45781</v>
      </c>
      <c r="D117" s="28" t="s">
        <v>25</v>
      </c>
      <c r="E117" s="28" t="s">
        <v>26</v>
      </c>
      <c r="F117" s="30">
        <v>1311</v>
      </c>
      <c r="G117" s="30">
        <v>181</v>
      </c>
      <c r="H117" s="30">
        <v>361</v>
      </c>
      <c r="I117" s="30">
        <v>37148</v>
      </c>
      <c r="J117" s="30">
        <v>44875</v>
      </c>
      <c r="K117" s="30">
        <v>245</v>
      </c>
      <c r="L117" s="27" t="s">
        <v>42</v>
      </c>
      <c r="M117" s="27"/>
      <c r="N117" s="28" t="s">
        <v>55</v>
      </c>
      <c r="O117" s="43">
        <f t="shared" si="1"/>
        <v>1853</v>
      </c>
    </row>
    <row r="118" spans="1:15" ht="15.75" customHeight="1">
      <c r="A118" s="27" t="s">
        <v>157</v>
      </c>
      <c r="B118" s="28" t="s">
        <v>14</v>
      </c>
      <c r="C118" s="29">
        <v>45340</v>
      </c>
      <c r="D118" s="28" t="s">
        <v>25</v>
      </c>
      <c r="E118" s="28" t="s">
        <v>49</v>
      </c>
      <c r="F118" s="30">
        <v>1516</v>
      </c>
      <c r="G118" s="30">
        <v>215</v>
      </c>
      <c r="H118" s="30">
        <v>332</v>
      </c>
      <c r="I118" s="30">
        <v>58981</v>
      </c>
      <c r="J118" s="30">
        <v>36118</v>
      </c>
      <c r="K118" s="30">
        <v>211</v>
      </c>
      <c r="L118" s="27" t="s">
        <v>42</v>
      </c>
      <c r="M118" s="27"/>
      <c r="N118" s="28" t="s">
        <v>55</v>
      </c>
      <c r="O118" s="43">
        <f t="shared" si="1"/>
        <v>2063</v>
      </c>
    </row>
    <row r="119" spans="1:15" ht="15.75" customHeight="1">
      <c r="A119" s="27" t="s">
        <v>158</v>
      </c>
      <c r="B119" s="28" t="s">
        <v>24</v>
      </c>
      <c r="C119" s="29">
        <v>45428</v>
      </c>
      <c r="D119" s="28" t="s">
        <v>25</v>
      </c>
      <c r="E119" s="28" t="s">
        <v>32</v>
      </c>
      <c r="F119" s="30">
        <v>2023</v>
      </c>
      <c r="G119" s="30">
        <v>124</v>
      </c>
      <c r="H119" s="30">
        <v>99</v>
      </c>
      <c r="I119" s="30">
        <v>54524</v>
      </c>
      <c r="J119" s="30">
        <v>34790</v>
      </c>
      <c r="K119" s="30">
        <v>195</v>
      </c>
      <c r="L119" s="27" t="s">
        <v>21</v>
      </c>
      <c r="M119" s="27" t="s">
        <v>379</v>
      </c>
      <c r="N119" s="28" t="s">
        <v>18</v>
      </c>
      <c r="O119" s="43">
        <f t="shared" si="1"/>
        <v>2246</v>
      </c>
    </row>
    <row r="120" spans="1:15" ht="15.75" customHeight="1">
      <c r="A120" s="27" t="s">
        <v>159</v>
      </c>
      <c r="B120" s="28" t="s">
        <v>24</v>
      </c>
      <c r="C120" s="29">
        <v>45806</v>
      </c>
      <c r="D120" s="28" t="s">
        <v>25</v>
      </c>
      <c r="E120" s="28" t="s">
        <v>32</v>
      </c>
      <c r="F120" s="30">
        <v>2134</v>
      </c>
      <c r="G120" s="30">
        <v>322</v>
      </c>
      <c r="H120" s="30">
        <v>114</v>
      </c>
      <c r="I120" s="30">
        <v>44338</v>
      </c>
      <c r="J120" s="30">
        <v>52165</v>
      </c>
      <c r="K120" s="30">
        <v>176</v>
      </c>
      <c r="L120" s="27" t="s">
        <v>379</v>
      </c>
      <c r="M120" s="27" t="s">
        <v>42</v>
      </c>
      <c r="N120" s="28" t="s">
        <v>18</v>
      </c>
      <c r="O120" s="43">
        <f t="shared" si="1"/>
        <v>2570</v>
      </c>
    </row>
    <row r="121" spans="1:15" ht="15.75" customHeight="1">
      <c r="A121" s="27" t="s">
        <v>160</v>
      </c>
      <c r="B121" s="28" t="s">
        <v>14</v>
      </c>
      <c r="C121" s="29">
        <v>45674</v>
      </c>
      <c r="D121" s="28" t="s">
        <v>15</v>
      </c>
      <c r="E121" s="28" t="s">
        <v>41</v>
      </c>
      <c r="F121" s="30">
        <v>2266</v>
      </c>
      <c r="G121" s="30">
        <v>126</v>
      </c>
      <c r="H121" s="30">
        <v>140</v>
      </c>
      <c r="I121" s="30">
        <v>53759</v>
      </c>
      <c r="J121" s="30">
        <v>46834</v>
      </c>
      <c r="K121" s="30">
        <v>277</v>
      </c>
      <c r="L121" s="27" t="s">
        <v>21</v>
      </c>
      <c r="M121" s="27"/>
      <c r="N121" s="28" t="s">
        <v>22</v>
      </c>
      <c r="O121" s="43">
        <f t="shared" si="1"/>
        <v>2532</v>
      </c>
    </row>
    <row r="122" spans="1:15" ht="15.75" customHeight="1">
      <c r="A122" s="27" t="s">
        <v>161</v>
      </c>
      <c r="B122" s="28" t="s">
        <v>14</v>
      </c>
      <c r="C122" s="29">
        <v>45777</v>
      </c>
      <c r="D122" s="28" t="s">
        <v>25</v>
      </c>
      <c r="E122" s="28" t="s">
        <v>26</v>
      </c>
      <c r="F122" s="30">
        <v>3916</v>
      </c>
      <c r="G122" s="30">
        <v>459</v>
      </c>
      <c r="H122" s="30">
        <v>229</v>
      </c>
      <c r="I122" s="30">
        <v>48989</v>
      </c>
      <c r="J122" s="30">
        <v>39768</v>
      </c>
      <c r="K122" s="30">
        <v>200</v>
      </c>
      <c r="L122" s="27" t="s">
        <v>42</v>
      </c>
      <c r="M122" s="27"/>
      <c r="N122" s="28" t="s">
        <v>55</v>
      </c>
      <c r="O122" s="43">
        <f t="shared" si="1"/>
        <v>4604</v>
      </c>
    </row>
    <row r="123" spans="1:15" ht="15.75" customHeight="1">
      <c r="A123" s="27" t="s">
        <v>162</v>
      </c>
      <c r="B123" s="28" t="s">
        <v>24</v>
      </c>
      <c r="C123" s="29">
        <v>45346</v>
      </c>
      <c r="D123" s="28" t="s">
        <v>25</v>
      </c>
      <c r="E123" s="28" t="s">
        <v>32</v>
      </c>
      <c r="F123" s="30">
        <v>1022</v>
      </c>
      <c r="G123" s="30">
        <v>463</v>
      </c>
      <c r="H123" s="30">
        <v>360</v>
      </c>
      <c r="I123" s="30">
        <v>51468</v>
      </c>
      <c r="J123" s="30">
        <v>24279</v>
      </c>
      <c r="K123" s="30">
        <v>230</v>
      </c>
      <c r="L123" s="27" t="s">
        <v>21</v>
      </c>
      <c r="M123" s="27" t="s">
        <v>379</v>
      </c>
      <c r="N123" s="28" t="s">
        <v>18</v>
      </c>
      <c r="O123" s="43">
        <f t="shared" si="1"/>
        <v>1845</v>
      </c>
    </row>
    <row r="124" spans="1:15" ht="15.75" customHeight="1">
      <c r="A124" s="27" t="s">
        <v>163</v>
      </c>
      <c r="B124" s="28" t="s">
        <v>31</v>
      </c>
      <c r="C124" s="29">
        <v>45424</v>
      </c>
      <c r="D124" s="28" t="s">
        <v>15</v>
      </c>
      <c r="E124" s="28" t="s">
        <v>49</v>
      </c>
      <c r="F124" s="30">
        <v>2911</v>
      </c>
      <c r="G124" s="30">
        <v>467</v>
      </c>
      <c r="H124" s="30">
        <v>94</v>
      </c>
      <c r="I124" s="30">
        <v>59083</v>
      </c>
      <c r="J124" s="30">
        <v>49762</v>
      </c>
      <c r="K124" s="30">
        <v>236</v>
      </c>
      <c r="L124" s="27" t="s">
        <v>21</v>
      </c>
      <c r="M124" s="27" t="s">
        <v>380</v>
      </c>
      <c r="N124" s="28" t="s">
        <v>22</v>
      </c>
      <c r="O124" s="43">
        <f t="shared" si="1"/>
        <v>3472</v>
      </c>
    </row>
    <row r="125" spans="1:15" ht="15.75" customHeight="1">
      <c r="A125" s="27" t="s">
        <v>164</v>
      </c>
      <c r="B125" s="28" t="s">
        <v>24</v>
      </c>
      <c r="C125" s="29">
        <v>45421</v>
      </c>
      <c r="D125" s="28" t="s">
        <v>25</v>
      </c>
      <c r="E125" s="28" t="s">
        <v>26</v>
      </c>
      <c r="F125" s="30">
        <v>3277</v>
      </c>
      <c r="G125" s="30">
        <v>423</v>
      </c>
      <c r="H125" s="30">
        <v>259</v>
      </c>
      <c r="I125" s="30">
        <v>46328</v>
      </c>
      <c r="J125" s="30">
        <v>44293</v>
      </c>
      <c r="K125" s="30">
        <v>299</v>
      </c>
      <c r="L125" s="27" t="s">
        <v>45</v>
      </c>
      <c r="M125" s="27" t="s">
        <v>42</v>
      </c>
      <c r="N125" s="28" t="s">
        <v>18</v>
      </c>
      <c r="O125" s="43">
        <f t="shared" si="1"/>
        <v>3959</v>
      </c>
    </row>
    <row r="126" spans="1:15" ht="15.75" customHeight="1">
      <c r="A126" s="27" t="s">
        <v>165</v>
      </c>
      <c r="B126" s="28" t="s">
        <v>24</v>
      </c>
      <c r="C126" s="29">
        <v>45602</v>
      </c>
      <c r="D126" s="28" t="s">
        <v>15</v>
      </c>
      <c r="E126" s="28" t="s">
        <v>49</v>
      </c>
      <c r="F126" s="30">
        <v>2956</v>
      </c>
      <c r="G126" s="30">
        <v>381</v>
      </c>
      <c r="H126" s="30">
        <v>345</v>
      </c>
      <c r="I126" s="30">
        <v>33347</v>
      </c>
      <c r="J126" s="30">
        <v>22558</v>
      </c>
      <c r="K126" s="30">
        <v>173</v>
      </c>
      <c r="L126" s="27" t="s">
        <v>42</v>
      </c>
      <c r="M126" s="27"/>
      <c r="N126" s="28" t="s">
        <v>18</v>
      </c>
      <c r="O126" s="43">
        <f t="shared" si="1"/>
        <v>3682</v>
      </c>
    </row>
    <row r="127" spans="1:15" ht="15.75" customHeight="1">
      <c r="A127" s="27" t="s">
        <v>166</v>
      </c>
      <c r="B127" s="28" t="s">
        <v>24</v>
      </c>
      <c r="C127" s="29">
        <v>45295</v>
      </c>
      <c r="D127" s="28" t="s">
        <v>25</v>
      </c>
      <c r="E127" s="28" t="s">
        <v>35</v>
      </c>
      <c r="F127" s="30">
        <v>3208</v>
      </c>
      <c r="G127" s="30">
        <v>476</v>
      </c>
      <c r="H127" s="30">
        <v>277</v>
      </c>
      <c r="I127" s="30">
        <v>56072</v>
      </c>
      <c r="J127" s="30">
        <v>21061</v>
      </c>
      <c r="K127" s="30">
        <v>113</v>
      </c>
      <c r="L127" s="27" t="s">
        <v>379</v>
      </c>
      <c r="M127" s="27" t="s">
        <v>42</v>
      </c>
      <c r="N127" s="28" t="s">
        <v>18</v>
      </c>
      <c r="O127" s="43">
        <f t="shared" si="1"/>
        <v>3961</v>
      </c>
    </row>
    <row r="128" spans="1:15" ht="15.75" customHeight="1">
      <c r="A128" s="27" t="s">
        <v>167</v>
      </c>
      <c r="B128" s="28" t="s">
        <v>24</v>
      </c>
      <c r="C128" s="29">
        <v>45319</v>
      </c>
      <c r="D128" s="28" t="s">
        <v>15</v>
      </c>
      <c r="E128" s="28" t="s">
        <v>32</v>
      </c>
      <c r="F128" s="30">
        <v>1456</v>
      </c>
      <c r="G128" s="30">
        <v>265</v>
      </c>
      <c r="H128" s="30">
        <v>137</v>
      </c>
      <c r="I128" s="30">
        <v>53485</v>
      </c>
      <c r="J128" s="30">
        <v>59729</v>
      </c>
      <c r="K128" s="30">
        <v>145</v>
      </c>
      <c r="L128" s="27" t="s">
        <v>45</v>
      </c>
      <c r="M128" s="27"/>
      <c r="N128" s="28" t="s">
        <v>22</v>
      </c>
      <c r="O128" s="43">
        <f t="shared" si="1"/>
        <v>1858</v>
      </c>
    </row>
    <row r="129" spans="1:15" ht="15.75" customHeight="1">
      <c r="A129" s="27" t="s">
        <v>168</v>
      </c>
      <c r="B129" s="28" t="s">
        <v>14</v>
      </c>
      <c r="C129" s="29">
        <v>45344</v>
      </c>
      <c r="D129" s="28" t="s">
        <v>15</v>
      </c>
      <c r="E129" s="28" t="s">
        <v>26</v>
      </c>
      <c r="F129" s="30">
        <v>1902</v>
      </c>
      <c r="G129" s="30">
        <v>394</v>
      </c>
      <c r="H129" s="30">
        <v>279</v>
      </c>
      <c r="I129" s="30">
        <v>24615</v>
      </c>
      <c r="J129" s="30">
        <v>51330</v>
      </c>
      <c r="K129" s="30">
        <v>176</v>
      </c>
      <c r="L129" s="27" t="s">
        <v>45</v>
      </c>
      <c r="M129" s="27" t="s">
        <v>42</v>
      </c>
      <c r="N129" s="28" t="s">
        <v>18</v>
      </c>
      <c r="O129" s="43">
        <f t="shared" si="1"/>
        <v>2575</v>
      </c>
    </row>
    <row r="130" spans="1:15" ht="15.75" customHeight="1">
      <c r="A130" s="27" t="s">
        <v>169</v>
      </c>
      <c r="B130" s="28" t="s">
        <v>24</v>
      </c>
      <c r="C130" s="29">
        <v>45839</v>
      </c>
      <c r="D130" s="28" t="s">
        <v>25</v>
      </c>
      <c r="E130" s="28" t="s">
        <v>20</v>
      </c>
      <c r="F130" s="30">
        <v>3219</v>
      </c>
      <c r="G130" s="30">
        <v>424</v>
      </c>
      <c r="H130" s="30">
        <v>267</v>
      </c>
      <c r="I130" s="30">
        <v>48879</v>
      </c>
      <c r="J130" s="30">
        <v>37691</v>
      </c>
      <c r="K130" s="30">
        <v>224</v>
      </c>
      <c r="L130" s="27" t="s">
        <v>21</v>
      </c>
      <c r="M130" s="27" t="s">
        <v>379</v>
      </c>
      <c r="N130" s="28" t="s">
        <v>18</v>
      </c>
      <c r="O130" s="43">
        <f t="shared" si="1"/>
        <v>3910</v>
      </c>
    </row>
    <row r="131" spans="1:15" ht="15.75" customHeight="1">
      <c r="A131" s="27" t="s">
        <v>170</v>
      </c>
      <c r="B131" s="28" t="s">
        <v>31</v>
      </c>
      <c r="C131" s="29">
        <v>45301</v>
      </c>
      <c r="D131" s="28" t="s">
        <v>15</v>
      </c>
      <c r="E131" s="28" t="s">
        <v>20</v>
      </c>
      <c r="F131" s="30">
        <v>1261</v>
      </c>
      <c r="G131" s="30">
        <v>190</v>
      </c>
      <c r="H131" s="30">
        <v>233</v>
      </c>
      <c r="I131" s="30">
        <v>59888</v>
      </c>
      <c r="J131" s="30">
        <v>51449</v>
      </c>
      <c r="K131" s="30">
        <v>205</v>
      </c>
      <c r="L131" s="27" t="s">
        <v>21</v>
      </c>
      <c r="M131" s="27" t="s">
        <v>380</v>
      </c>
      <c r="N131" s="28" t="s">
        <v>22</v>
      </c>
      <c r="O131" s="43">
        <f t="shared" ref="O131:O194" si="2">F131+G131+H131</f>
        <v>1684</v>
      </c>
    </row>
    <row r="132" spans="1:15" ht="15.75" customHeight="1">
      <c r="A132" s="27" t="s">
        <v>171</v>
      </c>
      <c r="B132" s="28" t="s">
        <v>24</v>
      </c>
      <c r="C132" s="29">
        <v>45736</v>
      </c>
      <c r="D132" s="28" t="s">
        <v>15</v>
      </c>
      <c r="E132" s="28" t="s">
        <v>51</v>
      </c>
      <c r="F132" s="30">
        <v>1564</v>
      </c>
      <c r="G132" s="30">
        <v>362</v>
      </c>
      <c r="H132" s="30">
        <v>371</v>
      </c>
      <c r="I132" s="30">
        <v>42075</v>
      </c>
      <c r="J132" s="30">
        <v>66659</v>
      </c>
      <c r="K132" s="30">
        <v>205</v>
      </c>
      <c r="L132" s="27" t="s">
        <v>45</v>
      </c>
      <c r="M132" s="27"/>
      <c r="N132" s="28" t="s">
        <v>22</v>
      </c>
      <c r="O132" s="43">
        <f t="shared" si="2"/>
        <v>2297</v>
      </c>
    </row>
    <row r="133" spans="1:15" ht="15.75" customHeight="1">
      <c r="A133" s="27" t="s">
        <v>172</v>
      </c>
      <c r="B133" s="28" t="s">
        <v>24</v>
      </c>
      <c r="C133" s="29">
        <v>45563</v>
      </c>
      <c r="D133" s="28" t="s">
        <v>15</v>
      </c>
      <c r="E133" s="28" t="s">
        <v>35</v>
      </c>
      <c r="F133" s="30">
        <v>4006</v>
      </c>
      <c r="G133" s="30">
        <v>420</v>
      </c>
      <c r="H133" s="30">
        <v>194</v>
      </c>
      <c r="I133" s="30">
        <v>49964</v>
      </c>
      <c r="J133" s="30">
        <v>20685</v>
      </c>
      <c r="K133" s="30">
        <v>148</v>
      </c>
      <c r="L133" s="27" t="s">
        <v>42</v>
      </c>
      <c r="M133" s="27"/>
      <c r="N133" s="28" t="s">
        <v>18</v>
      </c>
      <c r="O133" s="43">
        <f t="shared" si="2"/>
        <v>4620</v>
      </c>
    </row>
    <row r="134" spans="1:15" ht="15.75" customHeight="1">
      <c r="A134" s="27" t="s">
        <v>173</v>
      </c>
      <c r="B134" s="28" t="s">
        <v>31</v>
      </c>
      <c r="C134" s="29">
        <v>45318</v>
      </c>
      <c r="D134" s="28" t="s">
        <v>15</v>
      </c>
      <c r="E134" s="28" t="s">
        <v>51</v>
      </c>
      <c r="F134" s="30">
        <v>1976</v>
      </c>
      <c r="G134" s="30">
        <v>262</v>
      </c>
      <c r="H134" s="30">
        <v>218</v>
      </c>
      <c r="I134" s="30">
        <v>51696</v>
      </c>
      <c r="J134" s="30">
        <v>44846</v>
      </c>
      <c r="K134" s="30">
        <v>139</v>
      </c>
      <c r="L134" s="27" t="s">
        <v>21</v>
      </c>
      <c r="M134" s="27" t="s">
        <v>380</v>
      </c>
      <c r="N134" s="28" t="s">
        <v>22</v>
      </c>
      <c r="O134" s="43">
        <f t="shared" si="2"/>
        <v>2456</v>
      </c>
    </row>
    <row r="135" spans="1:15" ht="15.75" customHeight="1">
      <c r="A135" s="27" t="s">
        <v>174</v>
      </c>
      <c r="B135" s="28" t="s">
        <v>24</v>
      </c>
      <c r="C135" s="29">
        <v>45792</v>
      </c>
      <c r="D135" s="28" t="s">
        <v>15</v>
      </c>
      <c r="E135" s="28" t="s">
        <v>26</v>
      </c>
      <c r="F135" s="30">
        <v>1583</v>
      </c>
      <c r="G135" s="30">
        <v>433</v>
      </c>
      <c r="H135" s="30">
        <v>249</v>
      </c>
      <c r="I135" s="30">
        <v>30256</v>
      </c>
      <c r="J135" s="30">
        <v>47066</v>
      </c>
      <c r="K135" s="30">
        <v>196</v>
      </c>
      <c r="L135" s="27" t="s">
        <v>42</v>
      </c>
      <c r="M135" s="27"/>
      <c r="N135" s="28" t="s">
        <v>18</v>
      </c>
      <c r="O135" s="43">
        <f t="shared" si="2"/>
        <v>2265</v>
      </c>
    </row>
    <row r="136" spans="1:15" ht="15.75" customHeight="1">
      <c r="A136" s="27" t="s">
        <v>175</v>
      </c>
      <c r="B136" s="28" t="s">
        <v>24</v>
      </c>
      <c r="C136" s="29">
        <v>45569</v>
      </c>
      <c r="D136" s="28" t="s">
        <v>25</v>
      </c>
      <c r="E136" s="28" t="s">
        <v>20</v>
      </c>
      <c r="F136" s="30">
        <v>2870</v>
      </c>
      <c r="G136" s="30">
        <v>380</v>
      </c>
      <c r="H136" s="30">
        <v>393</v>
      </c>
      <c r="I136" s="30">
        <v>37621</v>
      </c>
      <c r="J136" s="30">
        <v>71794</v>
      </c>
      <c r="K136" s="30">
        <v>127</v>
      </c>
      <c r="L136" s="27" t="s">
        <v>379</v>
      </c>
      <c r="M136" s="27" t="s">
        <v>42</v>
      </c>
      <c r="N136" s="28" t="s">
        <v>18</v>
      </c>
      <c r="O136" s="43">
        <f t="shared" si="2"/>
        <v>3643</v>
      </c>
    </row>
    <row r="137" spans="1:15" ht="15.75" customHeight="1">
      <c r="A137" s="27" t="s">
        <v>176</v>
      </c>
      <c r="B137" s="28" t="s">
        <v>24</v>
      </c>
      <c r="C137" s="29">
        <v>45615</v>
      </c>
      <c r="D137" s="28" t="s">
        <v>15</v>
      </c>
      <c r="E137" s="28" t="s">
        <v>41</v>
      </c>
      <c r="F137" s="30">
        <v>3728</v>
      </c>
      <c r="G137" s="30">
        <v>271</v>
      </c>
      <c r="H137" s="30">
        <v>275</v>
      </c>
      <c r="I137" s="30">
        <v>22827</v>
      </c>
      <c r="J137" s="30">
        <v>37034</v>
      </c>
      <c r="K137" s="30">
        <v>199</v>
      </c>
      <c r="L137" s="27" t="s">
        <v>42</v>
      </c>
      <c r="M137" s="27"/>
      <c r="N137" s="28" t="s">
        <v>18</v>
      </c>
      <c r="O137" s="43">
        <f t="shared" si="2"/>
        <v>4274</v>
      </c>
    </row>
    <row r="138" spans="1:15" ht="15.75" customHeight="1">
      <c r="A138" s="27" t="s">
        <v>177</v>
      </c>
      <c r="B138" s="28" t="s">
        <v>24</v>
      </c>
      <c r="C138" s="29">
        <v>45387</v>
      </c>
      <c r="D138" s="28" t="s">
        <v>25</v>
      </c>
      <c r="E138" s="28" t="s">
        <v>26</v>
      </c>
      <c r="F138" s="30">
        <v>4965</v>
      </c>
      <c r="G138" s="30">
        <v>175</v>
      </c>
      <c r="H138" s="30">
        <v>307</v>
      </c>
      <c r="I138" s="30">
        <v>32793</v>
      </c>
      <c r="J138" s="30">
        <v>43412</v>
      </c>
      <c r="K138" s="30">
        <v>296</v>
      </c>
      <c r="L138" s="27" t="s">
        <v>45</v>
      </c>
      <c r="M138" s="27" t="s">
        <v>42</v>
      </c>
      <c r="N138" s="28" t="s">
        <v>18</v>
      </c>
      <c r="O138" s="43">
        <f t="shared" si="2"/>
        <v>5447</v>
      </c>
    </row>
    <row r="139" spans="1:15" ht="15.75" customHeight="1">
      <c r="A139" s="27" t="s">
        <v>178</v>
      </c>
      <c r="B139" s="28" t="s">
        <v>24</v>
      </c>
      <c r="C139" s="29">
        <v>45624</v>
      </c>
      <c r="D139" s="28" t="s">
        <v>25</v>
      </c>
      <c r="E139" s="28" t="s">
        <v>26</v>
      </c>
      <c r="F139" s="30">
        <v>1131</v>
      </c>
      <c r="G139" s="30">
        <v>100</v>
      </c>
      <c r="H139" s="30">
        <v>116</v>
      </c>
      <c r="I139" s="30">
        <v>48437</v>
      </c>
      <c r="J139" s="30">
        <v>72704</v>
      </c>
      <c r="K139" s="30">
        <v>236</v>
      </c>
      <c r="L139" s="27" t="s">
        <v>21</v>
      </c>
      <c r="M139" s="27" t="s">
        <v>379</v>
      </c>
      <c r="N139" s="28" t="s">
        <v>18</v>
      </c>
      <c r="O139" s="43">
        <f t="shared" si="2"/>
        <v>1347</v>
      </c>
    </row>
    <row r="140" spans="1:15" ht="15.75" customHeight="1">
      <c r="A140" s="27" t="s">
        <v>179</v>
      </c>
      <c r="B140" s="28" t="s">
        <v>24</v>
      </c>
      <c r="C140" s="29">
        <v>45725</v>
      </c>
      <c r="D140" s="28" t="s">
        <v>15</v>
      </c>
      <c r="E140" s="28" t="s">
        <v>51</v>
      </c>
      <c r="F140" s="30">
        <v>2754</v>
      </c>
      <c r="G140" s="30">
        <v>215</v>
      </c>
      <c r="H140" s="30">
        <v>264</v>
      </c>
      <c r="I140" s="30">
        <v>27762</v>
      </c>
      <c r="J140" s="30">
        <v>70203</v>
      </c>
      <c r="K140" s="30">
        <v>289</v>
      </c>
      <c r="L140" s="27" t="s">
        <v>42</v>
      </c>
      <c r="M140" s="27"/>
      <c r="N140" s="28" t="s">
        <v>18</v>
      </c>
      <c r="O140" s="43">
        <f t="shared" si="2"/>
        <v>3233</v>
      </c>
    </row>
    <row r="141" spans="1:15" ht="15.75" customHeight="1">
      <c r="A141" s="27" t="s">
        <v>180</v>
      </c>
      <c r="B141" s="28" t="s">
        <v>24</v>
      </c>
      <c r="C141" s="29">
        <v>45531</v>
      </c>
      <c r="D141" s="28" t="s">
        <v>25</v>
      </c>
      <c r="E141" s="28" t="s">
        <v>26</v>
      </c>
      <c r="F141" s="30">
        <v>1856</v>
      </c>
      <c r="G141" s="30">
        <v>357</v>
      </c>
      <c r="H141" s="30">
        <v>348</v>
      </c>
      <c r="I141" s="30">
        <v>29428</v>
      </c>
      <c r="J141" s="30">
        <v>70206</v>
      </c>
      <c r="K141" s="30">
        <v>236</v>
      </c>
      <c r="L141" s="27" t="s">
        <v>379</v>
      </c>
      <c r="M141" s="27" t="s">
        <v>42</v>
      </c>
      <c r="N141" s="28" t="s">
        <v>18</v>
      </c>
      <c r="O141" s="43">
        <f t="shared" si="2"/>
        <v>2561</v>
      </c>
    </row>
    <row r="142" spans="1:15" ht="15.75" customHeight="1">
      <c r="A142" s="27" t="s">
        <v>181</v>
      </c>
      <c r="B142" s="28" t="s">
        <v>31</v>
      </c>
      <c r="C142" s="29">
        <v>45566</v>
      </c>
      <c r="D142" s="28" t="s">
        <v>57</v>
      </c>
      <c r="E142" s="28" t="s">
        <v>20</v>
      </c>
      <c r="F142" s="30">
        <v>3543</v>
      </c>
      <c r="G142" s="30">
        <v>334</v>
      </c>
      <c r="H142" s="30">
        <v>218</v>
      </c>
      <c r="I142" s="30">
        <v>58007</v>
      </c>
      <c r="J142" s="30">
        <v>24792</v>
      </c>
      <c r="K142" s="30">
        <v>273</v>
      </c>
      <c r="L142" s="27" t="s">
        <v>21</v>
      </c>
      <c r="M142" s="27" t="s">
        <v>45</v>
      </c>
      <c r="N142" s="28" t="s">
        <v>59</v>
      </c>
      <c r="O142" s="43">
        <f t="shared" si="2"/>
        <v>4095</v>
      </c>
    </row>
    <row r="143" spans="1:15" ht="15.75" customHeight="1">
      <c r="A143" s="27" t="s">
        <v>182</v>
      </c>
      <c r="B143" s="28" t="s">
        <v>14</v>
      </c>
      <c r="C143" s="29">
        <v>45647</v>
      </c>
      <c r="D143" s="28" t="s">
        <v>25</v>
      </c>
      <c r="E143" s="28" t="s">
        <v>26</v>
      </c>
      <c r="F143" s="30">
        <v>4563</v>
      </c>
      <c r="G143" s="30">
        <v>398</v>
      </c>
      <c r="H143" s="30">
        <v>163</v>
      </c>
      <c r="I143" s="30">
        <v>43679</v>
      </c>
      <c r="J143" s="30">
        <v>48760</v>
      </c>
      <c r="K143" s="30">
        <v>92</v>
      </c>
      <c r="L143" s="27" t="s">
        <v>42</v>
      </c>
      <c r="M143" s="27"/>
      <c r="N143" s="28" t="s">
        <v>55</v>
      </c>
      <c r="O143" s="43">
        <f t="shared" si="2"/>
        <v>5124</v>
      </c>
    </row>
    <row r="144" spans="1:15" ht="15.75" customHeight="1">
      <c r="A144" s="27" t="s">
        <v>183</v>
      </c>
      <c r="B144" s="28" t="s">
        <v>14</v>
      </c>
      <c r="C144" s="29">
        <v>45460</v>
      </c>
      <c r="D144" s="28" t="s">
        <v>15</v>
      </c>
      <c r="E144" s="28" t="s">
        <v>16</v>
      </c>
      <c r="F144" s="30">
        <v>4283</v>
      </c>
      <c r="G144" s="30">
        <v>471</v>
      </c>
      <c r="H144" s="30">
        <v>156</v>
      </c>
      <c r="I144" s="30">
        <v>53004</v>
      </c>
      <c r="J144" s="30">
        <v>25678</v>
      </c>
      <c r="K144" s="30">
        <v>105</v>
      </c>
      <c r="L144" s="27" t="s">
        <v>21</v>
      </c>
      <c r="M144" s="27"/>
      <c r="N144" s="28" t="s">
        <v>22</v>
      </c>
      <c r="O144" s="43">
        <f t="shared" si="2"/>
        <v>4910</v>
      </c>
    </row>
    <row r="145" spans="1:15" ht="15.75" customHeight="1">
      <c r="A145" s="27" t="s">
        <v>184</v>
      </c>
      <c r="B145" s="28" t="s">
        <v>14</v>
      </c>
      <c r="C145" s="29">
        <v>45702</v>
      </c>
      <c r="D145" s="28" t="s">
        <v>15</v>
      </c>
      <c r="E145" s="28" t="s">
        <v>16</v>
      </c>
      <c r="F145" s="30">
        <v>2329</v>
      </c>
      <c r="G145" s="30">
        <v>373</v>
      </c>
      <c r="H145" s="30">
        <v>291</v>
      </c>
      <c r="I145" s="30">
        <v>49577</v>
      </c>
      <c r="J145" s="30">
        <v>28002</v>
      </c>
      <c r="K145" s="30">
        <v>82</v>
      </c>
      <c r="L145" s="27" t="s">
        <v>45</v>
      </c>
      <c r="M145" s="27" t="s">
        <v>42</v>
      </c>
      <c r="N145" s="28" t="s">
        <v>18</v>
      </c>
      <c r="O145" s="43">
        <f t="shared" si="2"/>
        <v>2993</v>
      </c>
    </row>
    <row r="146" spans="1:15" ht="15.75" customHeight="1">
      <c r="A146" s="27" t="s">
        <v>185</v>
      </c>
      <c r="B146" s="28" t="s">
        <v>24</v>
      </c>
      <c r="C146" s="29">
        <v>45805</v>
      </c>
      <c r="D146" s="28" t="s">
        <v>25</v>
      </c>
      <c r="E146" s="28" t="s">
        <v>41</v>
      </c>
      <c r="F146" s="30">
        <v>4287</v>
      </c>
      <c r="G146" s="30">
        <v>273</v>
      </c>
      <c r="H146" s="30">
        <v>122</v>
      </c>
      <c r="I146" s="30">
        <v>40792</v>
      </c>
      <c r="J146" s="30">
        <v>23878</v>
      </c>
      <c r="K146" s="30">
        <v>277</v>
      </c>
      <c r="L146" s="27" t="s">
        <v>379</v>
      </c>
      <c r="M146" s="27" t="s">
        <v>42</v>
      </c>
      <c r="N146" s="28" t="s">
        <v>18</v>
      </c>
      <c r="O146" s="43">
        <f t="shared" si="2"/>
        <v>4682</v>
      </c>
    </row>
    <row r="147" spans="1:15" ht="15.75" customHeight="1">
      <c r="A147" s="27" t="s">
        <v>186</v>
      </c>
      <c r="B147" s="28" t="s">
        <v>14</v>
      </c>
      <c r="C147" s="29">
        <v>45799</v>
      </c>
      <c r="D147" s="28" t="s">
        <v>15</v>
      </c>
      <c r="E147" s="28" t="s">
        <v>16</v>
      </c>
      <c r="F147" s="30">
        <v>2633</v>
      </c>
      <c r="G147" s="30">
        <v>318</v>
      </c>
      <c r="H147" s="30">
        <v>380</v>
      </c>
      <c r="I147" s="30">
        <v>40869</v>
      </c>
      <c r="J147" s="30">
        <v>64474</v>
      </c>
      <c r="K147" s="30">
        <v>245</v>
      </c>
      <c r="L147" s="27" t="s">
        <v>21</v>
      </c>
      <c r="M147" s="27"/>
      <c r="N147" s="28" t="s">
        <v>22</v>
      </c>
      <c r="O147" s="43">
        <f t="shared" si="2"/>
        <v>3331</v>
      </c>
    </row>
    <row r="148" spans="1:15" ht="15.75" customHeight="1">
      <c r="A148" s="27" t="s">
        <v>187</v>
      </c>
      <c r="B148" s="28" t="s">
        <v>24</v>
      </c>
      <c r="C148" s="29">
        <v>45312</v>
      </c>
      <c r="D148" s="28" t="s">
        <v>25</v>
      </c>
      <c r="E148" s="28" t="s">
        <v>16</v>
      </c>
      <c r="F148" s="30">
        <v>2383</v>
      </c>
      <c r="G148" s="30">
        <v>136</v>
      </c>
      <c r="H148" s="30">
        <v>302</v>
      </c>
      <c r="I148" s="30">
        <v>39187</v>
      </c>
      <c r="J148" s="30">
        <v>22133</v>
      </c>
      <c r="K148" s="30">
        <v>208</v>
      </c>
      <c r="L148" s="27" t="s">
        <v>379</v>
      </c>
      <c r="M148" s="27" t="s">
        <v>42</v>
      </c>
      <c r="N148" s="28" t="s">
        <v>18</v>
      </c>
      <c r="O148" s="43">
        <f t="shared" si="2"/>
        <v>2821</v>
      </c>
    </row>
    <row r="149" spans="1:15" ht="15.75" customHeight="1">
      <c r="A149" s="27" t="s">
        <v>188</v>
      </c>
      <c r="B149" s="28" t="s">
        <v>24</v>
      </c>
      <c r="C149" s="29">
        <v>45696</v>
      </c>
      <c r="D149" s="28" t="s">
        <v>25</v>
      </c>
      <c r="E149" s="28" t="s">
        <v>51</v>
      </c>
      <c r="F149" s="30">
        <v>4752</v>
      </c>
      <c r="G149" s="30">
        <v>334</v>
      </c>
      <c r="H149" s="30">
        <v>56</v>
      </c>
      <c r="I149" s="30">
        <v>48017</v>
      </c>
      <c r="J149" s="30">
        <v>55534</v>
      </c>
      <c r="K149" s="30">
        <v>270</v>
      </c>
      <c r="L149" s="27" t="s">
        <v>21</v>
      </c>
      <c r="M149" s="27" t="s">
        <v>379</v>
      </c>
      <c r="N149" s="28" t="s">
        <v>18</v>
      </c>
      <c r="O149" s="43">
        <f t="shared" si="2"/>
        <v>5142</v>
      </c>
    </row>
    <row r="150" spans="1:15" ht="15.75" customHeight="1">
      <c r="A150" s="27" t="s">
        <v>189</v>
      </c>
      <c r="B150" s="28" t="s">
        <v>24</v>
      </c>
      <c r="C150" s="29">
        <v>45760</v>
      </c>
      <c r="D150" s="28" t="s">
        <v>15</v>
      </c>
      <c r="E150" s="28" t="s">
        <v>49</v>
      </c>
      <c r="F150" s="30">
        <v>3890</v>
      </c>
      <c r="G150" s="30">
        <v>408</v>
      </c>
      <c r="H150" s="30">
        <v>338</v>
      </c>
      <c r="I150" s="30">
        <v>56994</v>
      </c>
      <c r="J150" s="30">
        <v>32621</v>
      </c>
      <c r="K150" s="30">
        <v>286</v>
      </c>
      <c r="L150" s="27" t="s">
        <v>45</v>
      </c>
      <c r="M150" s="27"/>
      <c r="N150" s="28" t="s">
        <v>22</v>
      </c>
      <c r="O150" s="43">
        <f t="shared" si="2"/>
        <v>4636</v>
      </c>
    </row>
    <row r="151" spans="1:15" ht="15.75" customHeight="1">
      <c r="A151" s="27" t="s">
        <v>190</v>
      </c>
      <c r="B151" s="28" t="s">
        <v>24</v>
      </c>
      <c r="C151" s="29">
        <v>45442</v>
      </c>
      <c r="D151" s="28" t="s">
        <v>25</v>
      </c>
      <c r="E151" s="28" t="s">
        <v>51</v>
      </c>
      <c r="F151" s="30">
        <v>2311</v>
      </c>
      <c r="G151" s="30">
        <v>207</v>
      </c>
      <c r="H151" s="30">
        <v>363</v>
      </c>
      <c r="I151" s="30">
        <v>30349</v>
      </c>
      <c r="J151" s="30">
        <v>32925</v>
      </c>
      <c r="K151" s="30">
        <v>88</v>
      </c>
      <c r="L151" s="27" t="s">
        <v>379</v>
      </c>
      <c r="M151" s="27" t="s">
        <v>42</v>
      </c>
      <c r="N151" s="28" t="s">
        <v>18</v>
      </c>
      <c r="O151" s="43">
        <f t="shared" si="2"/>
        <v>2881</v>
      </c>
    </row>
    <row r="152" spans="1:15" ht="15.75" customHeight="1">
      <c r="A152" s="27" t="s">
        <v>191</v>
      </c>
      <c r="B152" s="28" t="s">
        <v>14</v>
      </c>
      <c r="C152" s="29">
        <v>45516</v>
      </c>
      <c r="D152" s="28" t="s">
        <v>25</v>
      </c>
      <c r="E152" s="28" t="s">
        <v>16</v>
      </c>
      <c r="F152" s="30">
        <v>2962</v>
      </c>
      <c r="G152" s="30">
        <v>400</v>
      </c>
      <c r="H152" s="30">
        <v>280</v>
      </c>
      <c r="I152" s="30">
        <v>52508</v>
      </c>
      <c r="J152" s="30">
        <v>58329</v>
      </c>
      <c r="K152" s="30">
        <v>219</v>
      </c>
      <c r="L152" s="27" t="s">
        <v>42</v>
      </c>
      <c r="M152" s="27"/>
      <c r="N152" s="28" t="s">
        <v>55</v>
      </c>
      <c r="O152" s="43">
        <f t="shared" si="2"/>
        <v>3642</v>
      </c>
    </row>
    <row r="153" spans="1:15" ht="15.75" customHeight="1">
      <c r="A153" s="27" t="s">
        <v>192</v>
      </c>
      <c r="B153" s="28" t="s">
        <v>14</v>
      </c>
      <c r="C153" s="29">
        <v>45562</v>
      </c>
      <c r="D153" s="28" t="s">
        <v>15</v>
      </c>
      <c r="E153" s="28" t="s">
        <v>16</v>
      </c>
      <c r="F153" s="30">
        <v>3118</v>
      </c>
      <c r="G153" s="30">
        <v>116</v>
      </c>
      <c r="H153" s="30">
        <v>195</v>
      </c>
      <c r="I153" s="30">
        <v>37100</v>
      </c>
      <c r="J153" s="30">
        <v>62629</v>
      </c>
      <c r="K153" s="30">
        <v>272</v>
      </c>
      <c r="L153" s="27" t="s">
        <v>21</v>
      </c>
      <c r="M153" s="27"/>
      <c r="N153" s="28" t="s">
        <v>22</v>
      </c>
      <c r="O153" s="43">
        <f t="shared" si="2"/>
        <v>3429</v>
      </c>
    </row>
    <row r="154" spans="1:15" ht="15.75" customHeight="1">
      <c r="A154" s="27" t="s">
        <v>193</v>
      </c>
      <c r="B154" s="28" t="s">
        <v>24</v>
      </c>
      <c r="C154" s="29">
        <v>45819</v>
      </c>
      <c r="D154" s="28" t="s">
        <v>25</v>
      </c>
      <c r="E154" s="28" t="s">
        <v>20</v>
      </c>
      <c r="F154" s="30">
        <v>3805</v>
      </c>
      <c r="G154" s="30">
        <v>453</v>
      </c>
      <c r="H154" s="30">
        <v>63</v>
      </c>
      <c r="I154" s="30">
        <v>52395</v>
      </c>
      <c r="J154" s="30">
        <v>72934</v>
      </c>
      <c r="K154" s="30">
        <v>87</v>
      </c>
      <c r="L154" s="27" t="s">
        <v>21</v>
      </c>
      <c r="M154" s="27" t="s">
        <v>379</v>
      </c>
      <c r="N154" s="28" t="s">
        <v>18</v>
      </c>
      <c r="O154" s="43">
        <f t="shared" si="2"/>
        <v>4321</v>
      </c>
    </row>
    <row r="155" spans="1:15" ht="15.75" customHeight="1">
      <c r="A155" s="27" t="s">
        <v>194</v>
      </c>
      <c r="B155" s="28" t="s">
        <v>14</v>
      </c>
      <c r="C155" s="29">
        <v>45615</v>
      </c>
      <c r="D155" s="28" t="s">
        <v>15</v>
      </c>
      <c r="E155" s="28" t="s">
        <v>35</v>
      </c>
      <c r="F155" s="30">
        <v>2525</v>
      </c>
      <c r="G155" s="30">
        <v>272</v>
      </c>
      <c r="H155" s="30">
        <v>294</v>
      </c>
      <c r="I155" s="30">
        <v>51875</v>
      </c>
      <c r="J155" s="30">
        <v>24732</v>
      </c>
      <c r="K155" s="30">
        <v>92</v>
      </c>
      <c r="L155" s="27" t="s">
        <v>21</v>
      </c>
      <c r="M155" s="27"/>
      <c r="N155" s="28" t="s">
        <v>22</v>
      </c>
      <c r="O155" s="43">
        <f t="shared" si="2"/>
        <v>3091</v>
      </c>
    </row>
    <row r="156" spans="1:15" ht="15.75" customHeight="1">
      <c r="A156" s="27" t="s">
        <v>195</v>
      </c>
      <c r="B156" s="28" t="s">
        <v>14</v>
      </c>
      <c r="C156" s="29">
        <v>45407</v>
      </c>
      <c r="D156" s="28" t="s">
        <v>15</v>
      </c>
      <c r="E156" s="28" t="s">
        <v>32</v>
      </c>
      <c r="F156" s="30">
        <v>3563</v>
      </c>
      <c r="G156" s="30">
        <v>483</v>
      </c>
      <c r="H156" s="30">
        <v>227</v>
      </c>
      <c r="I156" s="30">
        <v>41085</v>
      </c>
      <c r="J156" s="30">
        <v>26393</v>
      </c>
      <c r="K156" s="30">
        <v>236</v>
      </c>
      <c r="L156" s="27" t="s">
        <v>45</v>
      </c>
      <c r="M156" s="27" t="s">
        <v>42</v>
      </c>
      <c r="N156" s="28" t="s">
        <v>18</v>
      </c>
      <c r="O156" s="43">
        <f t="shared" si="2"/>
        <v>4273</v>
      </c>
    </row>
    <row r="157" spans="1:15" ht="15.75" customHeight="1">
      <c r="A157" s="27" t="s">
        <v>196</v>
      </c>
      <c r="B157" s="28" t="s">
        <v>31</v>
      </c>
      <c r="C157" s="29">
        <v>45538</v>
      </c>
      <c r="D157" s="28" t="s">
        <v>57</v>
      </c>
      <c r="E157" s="28" t="s">
        <v>35</v>
      </c>
      <c r="F157" s="30">
        <v>1437</v>
      </c>
      <c r="G157" s="30">
        <v>494</v>
      </c>
      <c r="H157" s="30">
        <v>129</v>
      </c>
      <c r="I157" s="30">
        <v>53048</v>
      </c>
      <c r="J157" s="30">
        <v>44090</v>
      </c>
      <c r="K157" s="30">
        <v>230</v>
      </c>
      <c r="L157" s="27" t="s">
        <v>21</v>
      </c>
      <c r="M157" s="27" t="s">
        <v>45</v>
      </c>
      <c r="N157" s="28" t="s">
        <v>59</v>
      </c>
      <c r="O157" s="43">
        <f t="shared" si="2"/>
        <v>2060</v>
      </c>
    </row>
    <row r="158" spans="1:15" ht="15.75" customHeight="1">
      <c r="A158" s="27" t="s">
        <v>197</v>
      </c>
      <c r="B158" s="28" t="s">
        <v>31</v>
      </c>
      <c r="C158" s="29">
        <v>45718</v>
      </c>
      <c r="D158" s="28" t="s">
        <v>15</v>
      </c>
      <c r="E158" s="28" t="s">
        <v>49</v>
      </c>
      <c r="F158" s="30">
        <v>4425</v>
      </c>
      <c r="G158" s="30">
        <v>185</v>
      </c>
      <c r="H158" s="30">
        <v>162</v>
      </c>
      <c r="I158" s="30">
        <v>24610</v>
      </c>
      <c r="J158" s="30">
        <v>21342</v>
      </c>
      <c r="K158" s="30">
        <v>158</v>
      </c>
      <c r="L158" s="27" t="s">
        <v>21</v>
      </c>
      <c r="M158" s="27" t="s">
        <v>380</v>
      </c>
      <c r="N158" s="28" t="s">
        <v>22</v>
      </c>
      <c r="O158" s="43">
        <f t="shared" si="2"/>
        <v>4772</v>
      </c>
    </row>
    <row r="159" spans="1:15" ht="15.75" customHeight="1">
      <c r="A159" s="27" t="s">
        <v>198</v>
      </c>
      <c r="B159" s="28" t="s">
        <v>24</v>
      </c>
      <c r="C159" s="29">
        <v>45737</v>
      </c>
      <c r="D159" s="28" t="s">
        <v>25</v>
      </c>
      <c r="E159" s="28" t="s">
        <v>26</v>
      </c>
      <c r="F159" s="30">
        <v>4609</v>
      </c>
      <c r="G159" s="30">
        <v>427</v>
      </c>
      <c r="H159" s="30">
        <v>395</v>
      </c>
      <c r="I159" s="30">
        <v>33698</v>
      </c>
      <c r="J159" s="30">
        <v>29259</v>
      </c>
      <c r="K159" s="30">
        <v>216</v>
      </c>
      <c r="L159" s="27" t="s">
        <v>21</v>
      </c>
      <c r="M159" s="27" t="s">
        <v>379</v>
      </c>
      <c r="N159" s="28" t="s">
        <v>18</v>
      </c>
      <c r="O159" s="43">
        <f t="shared" si="2"/>
        <v>5431</v>
      </c>
    </row>
    <row r="160" spans="1:15" ht="15.75" customHeight="1">
      <c r="A160" s="27" t="s">
        <v>199</v>
      </c>
      <c r="B160" s="28" t="s">
        <v>14</v>
      </c>
      <c r="C160" s="29">
        <v>45394</v>
      </c>
      <c r="D160" s="28" t="s">
        <v>25</v>
      </c>
      <c r="E160" s="28" t="s">
        <v>37</v>
      </c>
      <c r="F160" s="30">
        <v>1558</v>
      </c>
      <c r="G160" s="30">
        <v>352</v>
      </c>
      <c r="H160" s="30">
        <v>202</v>
      </c>
      <c r="I160" s="30">
        <v>25405</v>
      </c>
      <c r="J160" s="30">
        <v>69941</v>
      </c>
      <c r="K160" s="30">
        <v>219</v>
      </c>
      <c r="L160" s="27" t="s">
        <v>42</v>
      </c>
      <c r="M160" s="27"/>
      <c r="N160" s="28" t="s">
        <v>55</v>
      </c>
      <c r="O160" s="43">
        <f t="shared" si="2"/>
        <v>2112</v>
      </c>
    </row>
    <row r="161" spans="1:15" ht="15.75" customHeight="1">
      <c r="A161" s="27" t="s">
        <v>200</v>
      </c>
      <c r="B161" s="28" t="s">
        <v>31</v>
      </c>
      <c r="C161" s="29">
        <v>45330</v>
      </c>
      <c r="D161" s="28" t="s">
        <v>57</v>
      </c>
      <c r="E161" s="28" t="s">
        <v>41</v>
      </c>
      <c r="F161" s="30">
        <v>1889</v>
      </c>
      <c r="G161" s="30">
        <v>298</v>
      </c>
      <c r="H161" s="30">
        <v>122</v>
      </c>
      <c r="I161" s="30">
        <v>46225</v>
      </c>
      <c r="J161" s="30">
        <v>74305</v>
      </c>
      <c r="K161" s="30">
        <v>293</v>
      </c>
      <c r="L161" s="27" t="s">
        <v>21</v>
      </c>
      <c r="M161" s="27" t="s">
        <v>45</v>
      </c>
      <c r="N161" s="28" t="s">
        <v>59</v>
      </c>
      <c r="O161" s="43">
        <f t="shared" si="2"/>
        <v>2309</v>
      </c>
    </row>
    <row r="162" spans="1:15" ht="15.75" customHeight="1">
      <c r="A162" s="27" t="s">
        <v>201</v>
      </c>
      <c r="B162" s="28" t="s">
        <v>14</v>
      </c>
      <c r="C162" s="29">
        <v>45803</v>
      </c>
      <c r="D162" s="28" t="s">
        <v>15</v>
      </c>
      <c r="E162" s="28" t="s">
        <v>16</v>
      </c>
      <c r="F162" s="30">
        <v>3086</v>
      </c>
      <c r="G162" s="30">
        <v>148</v>
      </c>
      <c r="H162" s="30">
        <v>310</v>
      </c>
      <c r="I162" s="30">
        <v>22824</v>
      </c>
      <c r="J162" s="30">
        <v>58103</v>
      </c>
      <c r="K162" s="30">
        <v>275</v>
      </c>
      <c r="L162" s="27" t="s">
        <v>21</v>
      </c>
      <c r="M162" s="27"/>
      <c r="N162" s="28" t="s">
        <v>22</v>
      </c>
      <c r="O162" s="43">
        <f t="shared" si="2"/>
        <v>3544</v>
      </c>
    </row>
    <row r="163" spans="1:15" ht="15.75" customHeight="1">
      <c r="A163" s="27" t="s">
        <v>202</v>
      </c>
      <c r="B163" s="28" t="s">
        <v>14</v>
      </c>
      <c r="C163" s="29">
        <v>45610</v>
      </c>
      <c r="D163" s="28" t="s">
        <v>15</v>
      </c>
      <c r="E163" s="28" t="s">
        <v>32</v>
      </c>
      <c r="F163" s="30">
        <v>2422</v>
      </c>
      <c r="G163" s="30">
        <v>318</v>
      </c>
      <c r="H163" s="30">
        <v>118</v>
      </c>
      <c r="I163" s="30">
        <v>25386</v>
      </c>
      <c r="J163" s="30">
        <v>20873</v>
      </c>
      <c r="K163" s="30">
        <v>100</v>
      </c>
      <c r="L163" s="27" t="s">
        <v>45</v>
      </c>
      <c r="M163" s="27" t="s">
        <v>42</v>
      </c>
      <c r="N163" s="28" t="s">
        <v>18</v>
      </c>
      <c r="O163" s="43">
        <f t="shared" si="2"/>
        <v>2858</v>
      </c>
    </row>
    <row r="164" spans="1:15" ht="15.75" customHeight="1">
      <c r="A164" s="27" t="s">
        <v>203</v>
      </c>
      <c r="B164" s="28" t="s">
        <v>31</v>
      </c>
      <c r="C164" s="29">
        <v>45513</v>
      </c>
      <c r="D164" s="28" t="s">
        <v>57</v>
      </c>
      <c r="E164" s="28" t="s">
        <v>49</v>
      </c>
      <c r="F164" s="30">
        <v>3414</v>
      </c>
      <c r="G164" s="30">
        <v>154</v>
      </c>
      <c r="H164" s="30">
        <v>204</v>
      </c>
      <c r="I164" s="30">
        <v>34146</v>
      </c>
      <c r="J164" s="30">
        <v>44633</v>
      </c>
      <c r="K164" s="30">
        <v>256</v>
      </c>
      <c r="L164" s="27" t="s">
        <v>21</v>
      </c>
      <c r="M164" s="27" t="s">
        <v>45</v>
      </c>
      <c r="N164" s="28" t="s">
        <v>59</v>
      </c>
      <c r="O164" s="43">
        <f t="shared" si="2"/>
        <v>3772</v>
      </c>
    </row>
    <row r="165" spans="1:15" ht="15.75" customHeight="1">
      <c r="A165" s="27" t="s">
        <v>204</v>
      </c>
      <c r="B165" s="28" t="s">
        <v>14</v>
      </c>
      <c r="C165" s="29">
        <v>45835</v>
      </c>
      <c r="D165" s="28" t="s">
        <v>25</v>
      </c>
      <c r="E165" s="28" t="s">
        <v>35</v>
      </c>
      <c r="F165" s="30">
        <v>1342</v>
      </c>
      <c r="G165" s="30">
        <v>332</v>
      </c>
      <c r="H165" s="30">
        <v>163</v>
      </c>
      <c r="I165" s="30">
        <v>51712</v>
      </c>
      <c r="J165" s="30">
        <v>57922</v>
      </c>
      <c r="K165" s="30">
        <v>168</v>
      </c>
      <c r="L165" s="27" t="s">
        <v>42</v>
      </c>
      <c r="M165" s="27"/>
      <c r="N165" s="28" t="s">
        <v>55</v>
      </c>
      <c r="O165" s="43">
        <f t="shared" si="2"/>
        <v>1837</v>
      </c>
    </row>
    <row r="166" spans="1:15" ht="15.75" customHeight="1">
      <c r="A166" s="27" t="s">
        <v>205</v>
      </c>
      <c r="B166" s="28" t="s">
        <v>14</v>
      </c>
      <c r="C166" s="29">
        <v>45420</v>
      </c>
      <c r="D166" s="28" t="s">
        <v>25</v>
      </c>
      <c r="E166" s="28" t="s">
        <v>32</v>
      </c>
      <c r="F166" s="30">
        <v>2414</v>
      </c>
      <c r="G166" s="30">
        <v>220</v>
      </c>
      <c r="H166" s="30">
        <v>280</v>
      </c>
      <c r="I166" s="30">
        <v>27355</v>
      </c>
      <c r="J166" s="30">
        <v>50562</v>
      </c>
      <c r="K166" s="30">
        <v>258</v>
      </c>
      <c r="L166" s="27" t="s">
        <v>42</v>
      </c>
      <c r="M166" s="27"/>
      <c r="N166" s="28" t="s">
        <v>55</v>
      </c>
      <c r="O166" s="43">
        <f t="shared" si="2"/>
        <v>2914</v>
      </c>
    </row>
    <row r="167" spans="1:15" ht="15.75" customHeight="1">
      <c r="A167" s="27" t="s">
        <v>206</v>
      </c>
      <c r="B167" s="28" t="s">
        <v>14</v>
      </c>
      <c r="C167" s="29">
        <v>45387</v>
      </c>
      <c r="D167" s="28" t="s">
        <v>15</v>
      </c>
      <c r="E167" s="28" t="s">
        <v>26</v>
      </c>
      <c r="F167" s="30">
        <v>4383</v>
      </c>
      <c r="G167" s="30">
        <v>352</v>
      </c>
      <c r="H167" s="30">
        <v>176</v>
      </c>
      <c r="I167" s="30">
        <v>53239</v>
      </c>
      <c r="J167" s="30">
        <v>34168</v>
      </c>
      <c r="K167" s="30">
        <v>288</v>
      </c>
      <c r="L167" s="27" t="s">
        <v>21</v>
      </c>
      <c r="M167" s="27"/>
      <c r="N167" s="28" t="s">
        <v>22</v>
      </c>
      <c r="O167" s="43">
        <f t="shared" si="2"/>
        <v>4911</v>
      </c>
    </row>
    <row r="168" spans="1:15" ht="15.75" customHeight="1">
      <c r="A168" s="27" t="s">
        <v>207</v>
      </c>
      <c r="B168" s="28" t="s">
        <v>31</v>
      </c>
      <c r="C168" s="29">
        <v>45684</v>
      </c>
      <c r="D168" s="28" t="s">
        <v>15</v>
      </c>
      <c r="E168" s="28" t="s">
        <v>29</v>
      </c>
      <c r="F168" s="30">
        <v>4294</v>
      </c>
      <c r="G168" s="30">
        <v>423</v>
      </c>
      <c r="H168" s="30">
        <v>93</v>
      </c>
      <c r="I168" s="30">
        <v>29828</v>
      </c>
      <c r="J168" s="30">
        <v>73144</v>
      </c>
      <c r="K168" s="30">
        <v>298</v>
      </c>
      <c r="L168" s="27" t="s">
        <v>21</v>
      </c>
      <c r="M168" s="27" t="s">
        <v>380</v>
      </c>
      <c r="N168" s="28" t="s">
        <v>22</v>
      </c>
      <c r="O168" s="43">
        <f t="shared" si="2"/>
        <v>4810</v>
      </c>
    </row>
    <row r="169" spans="1:15" ht="15.75" customHeight="1">
      <c r="A169" s="27" t="s">
        <v>208</v>
      </c>
      <c r="B169" s="28" t="s">
        <v>14</v>
      </c>
      <c r="C169" s="29">
        <v>45385</v>
      </c>
      <c r="D169" s="28" t="s">
        <v>15</v>
      </c>
      <c r="E169" s="28" t="s">
        <v>41</v>
      </c>
      <c r="F169" s="30">
        <v>2762</v>
      </c>
      <c r="G169" s="30">
        <v>339</v>
      </c>
      <c r="H169" s="30">
        <v>323</v>
      </c>
      <c r="I169" s="30">
        <v>33757</v>
      </c>
      <c r="J169" s="30">
        <v>68511</v>
      </c>
      <c r="K169" s="30">
        <v>121</v>
      </c>
      <c r="L169" s="27" t="s">
        <v>45</v>
      </c>
      <c r="M169" s="27" t="s">
        <v>42</v>
      </c>
      <c r="N169" s="28" t="s">
        <v>18</v>
      </c>
      <c r="O169" s="43">
        <f t="shared" si="2"/>
        <v>3424</v>
      </c>
    </row>
    <row r="170" spans="1:15" ht="15.75" customHeight="1">
      <c r="A170" s="27" t="s">
        <v>209</v>
      </c>
      <c r="B170" s="28" t="s">
        <v>31</v>
      </c>
      <c r="C170" s="29">
        <v>45660</v>
      </c>
      <c r="D170" s="28" t="s">
        <v>15</v>
      </c>
      <c r="E170" s="28" t="s">
        <v>26</v>
      </c>
      <c r="F170" s="30">
        <v>3782</v>
      </c>
      <c r="G170" s="30">
        <v>484</v>
      </c>
      <c r="H170" s="30">
        <v>144</v>
      </c>
      <c r="I170" s="30">
        <v>52172</v>
      </c>
      <c r="J170" s="30">
        <v>59386</v>
      </c>
      <c r="K170" s="30">
        <v>175</v>
      </c>
      <c r="L170" s="27" t="s">
        <v>21</v>
      </c>
      <c r="M170" s="27" t="s">
        <v>380</v>
      </c>
      <c r="N170" s="28" t="s">
        <v>22</v>
      </c>
      <c r="O170" s="43">
        <f t="shared" si="2"/>
        <v>4410</v>
      </c>
    </row>
    <row r="171" spans="1:15" ht="15.75" customHeight="1">
      <c r="A171" s="27" t="s">
        <v>210</v>
      </c>
      <c r="B171" s="28" t="s">
        <v>24</v>
      </c>
      <c r="C171" s="29">
        <v>45619</v>
      </c>
      <c r="D171" s="28" t="s">
        <v>15</v>
      </c>
      <c r="E171" s="28" t="s">
        <v>26</v>
      </c>
      <c r="F171" s="30">
        <v>4318</v>
      </c>
      <c r="G171" s="30">
        <v>371</v>
      </c>
      <c r="H171" s="30">
        <v>329</v>
      </c>
      <c r="I171" s="30">
        <v>32347</v>
      </c>
      <c r="J171" s="30">
        <v>68956</v>
      </c>
      <c r="K171" s="30">
        <v>259</v>
      </c>
      <c r="L171" s="27" t="s">
        <v>45</v>
      </c>
      <c r="M171" s="27"/>
      <c r="N171" s="28" t="s">
        <v>22</v>
      </c>
      <c r="O171" s="43">
        <f t="shared" si="2"/>
        <v>5018</v>
      </c>
    </row>
    <row r="172" spans="1:15" ht="15.75" customHeight="1">
      <c r="A172" s="27" t="s">
        <v>211</v>
      </c>
      <c r="B172" s="28" t="s">
        <v>14</v>
      </c>
      <c r="C172" s="29">
        <v>45536</v>
      </c>
      <c r="D172" s="28" t="s">
        <v>25</v>
      </c>
      <c r="E172" s="28" t="s">
        <v>29</v>
      </c>
      <c r="F172" s="30">
        <v>2335</v>
      </c>
      <c r="G172" s="30">
        <v>150</v>
      </c>
      <c r="H172" s="30">
        <v>75</v>
      </c>
      <c r="I172" s="30">
        <v>26114</v>
      </c>
      <c r="J172" s="30">
        <v>57549</v>
      </c>
      <c r="K172" s="30">
        <v>135</v>
      </c>
      <c r="L172" s="27" t="s">
        <v>42</v>
      </c>
      <c r="M172" s="27"/>
      <c r="N172" s="28" t="s">
        <v>55</v>
      </c>
      <c r="O172" s="43">
        <f t="shared" si="2"/>
        <v>2560</v>
      </c>
    </row>
    <row r="173" spans="1:15" ht="15.75" customHeight="1">
      <c r="A173" s="27" t="s">
        <v>212</v>
      </c>
      <c r="B173" s="28" t="s">
        <v>31</v>
      </c>
      <c r="C173" s="29">
        <v>45400</v>
      </c>
      <c r="D173" s="28" t="s">
        <v>15</v>
      </c>
      <c r="E173" s="28" t="s">
        <v>20</v>
      </c>
      <c r="F173" s="30">
        <v>4023</v>
      </c>
      <c r="G173" s="30">
        <v>293</v>
      </c>
      <c r="H173" s="30">
        <v>91</v>
      </c>
      <c r="I173" s="30">
        <v>26795</v>
      </c>
      <c r="J173" s="30">
        <v>28924</v>
      </c>
      <c r="K173" s="30">
        <v>278</v>
      </c>
      <c r="L173" s="27" t="s">
        <v>21</v>
      </c>
      <c r="M173" s="27" t="s">
        <v>380</v>
      </c>
      <c r="N173" s="28" t="s">
        <v>22</v>
      </c>
      <c r="O173" s="43">
        <f t="shared" si="2"/>
        <v>4407</v>
      </c>
    </row>
    <row r="174" spans="1:15" ht="15.75" customHeight="1">
      <c r="A174" s="27" t="s">
        <v>213</v>
      </c>
      <c r="B174" s="28" t="s">
        <v>14</v>
      </c>
      <c r="C174" s="29">
        <v>45447</v>
      </c>
      <c r="D174" s="28" t="s">
        <v>15</v>
      </c>
      <c r="E174" s="28" t="s">
        <v>37</v>
      </c>
      <c r="F174" s="30">
        <v>3948</v>
      </c>
      <c r="G174" s="30">
        <v>151</v>
      </c>
      <c r="H174" s="30">
        <v>249</v>
      </c>
      <c r="I174" s="30">
        <v>43147</v>
      </c>
      <c r="J174" s="30">
        <v>63136</v>
      </c>
      <c r="K174" s="30">
        <v>230</v>
      </c>
      <c r="L174" s="27" t="s">
        <v>21</v>
      </c>
      <c r="M174" s="27"/>
      <c r="N174" s="28" t="s">
        <v>22</v>
      </c>
      <c r="O174" s="43">
        <f t="shared" si="2"/>
        <v>4348</v>
      </c>
    </row>
    <row r="175" spans="1:15" ht="15.75" customHeight="1">
      <c r="A175" s="27" t="s">
        <v>214</v>
      </c>
      <c r="B175" s="28" t="s">
        <v>31</v>
      </c>
      <c r="C175" s="29">
        <v>45749</v>
      </c>
      <c r="D175" s="28" t="s">
        <v>15</v>
      </c>
      <c r="E175" s="28" t="s">
        <v>29</v>
      </c>
      <c r="F175" s="30">
        <v>4598</v>
      </c>
      <c r="G175" s="30">
        <v>455</v>
      </c>
      <c r="H175" s="30">
        <v>378</v>
      </c>
      <c r="I175" s="30">
        <v>52952</v>
      </c>
      <c r="J175" s="30">
        <v>58504</v>
      </c>
      <c r="K175" s="30">
        <v>269</v>
      </c>
      <c r="L175" s="27" t="s">
        <v>21</v>
      </c>
      <c r="M175" s="27" t="s">
        <v>380</v>
      </c>
      <c r="N175" s="28" t="s">
        <v>22</v>
      </c>
      <c r="O175" s="43">
        <f t="shared" si="2"/>
        <v>5431</v>
      </c>
    </row>
    <row r="176" spans="1:15" ht="15.75" customHeight="1">
      <c r="A176" s="27" t="s">
        <v>215</v>
      </c>
      <c r="B176" s="28" t="s">
        <v>24</v>
      </c>
      <c r="C176" s="29">
        <v>45748</v>
      </c>
      <c r="D176" s="28" t="s">
        <v>25</v>
      </c>
      <c r="E176" s="28" t="s">
        <v>32</v>
      </c>
      <c r="F176" s="30">
        <v>2665</v>
      </c>
      <c r="G176" s="30">
        <v>143</v>
      </c>
      <c r="H176" s="30">
        <v>315</v>
      </c>
      <c r="I176" s="30">
        <v>54808</v>
      </c>
      <c r="J176" s="30">
        <v>29818</v>
      </c>
      <c r="K176" s="30">
        <v>98</v>
      </c>
      <c r="L176" s="27" t="s">
        <v>21</v>
      </c>
      <c r="M176" s="27" t="s">
        <v>379</v>
      </c>
      <c r="N176" s="28" t="s">
        <v>18</v>
      </c>
      <c r="O176" s="43">
        <f t="shared" si="2"/>
        <v>3123</v>
      </c>
    </row>
    <row r="177" spans="1:15" ht="15.75" customHeight="1">
      <c r="A177" s="27" t="s">
        <v>216</v>
      </c>
      <c r="B177" s="28" t="s">
        <v>14</v>
      </c>
      <c r="C177" s="29">
        <v>45475</v>
      </c>
      <c r="D177" s="28" t="s">
        <v>15</v>
      </c>
      <c r="E177" s="28" t="s">
        <v>41</v>
      </c>
      <c r="F177" s="30">
        <v>3469</v>
      </c>
      <c r="G177" s="30">
        <v>371</v>
      </c>
      <c r="H177" s="30">
        <v>76</v>
      </c>
      <c r="I177" s="30">
        <v>46493</v>
      </c>
      <c r="J177" s="30">
        <v>26906</v>
      </c>
      <c r="K177" s="30">
        <v>150</v>
      </c>
      <c r="L177" s="27" t="s">
        <v>45</v>
      </c>
      <c r="M177" s="27" t="s">
        <v>42</v>
      </c>
      <c r="N177" s="28" t="s">
        <v>18</v>
      </c>
      <c r="O177" s="43">
        <f t="shared" si="2"/>
        <v>3916</v>
      </c>
    </row>
    <row r="178" spans="1:15" ht="15.75" customHeight="1">
      <c r="A178" s="27" t="s">
        <v>217</v>
      </c>
      <c r="B178" s="28" t="s">
        <v>24</v>
      </c>
      <c r="C178" s="29">
        <v>45606</v>
      </c>
      <c r="D178" s="28" t="s">
        <v>15</v>
      </c>
      <c r="E178" s="28" t="s">
        <v>20</v>
      </c>
      <c r="F178" s="30">
        <v>4823</v>
      </c>
      <c r="G178" s="30">
        <v>489</v>
      </c>
      <c r="H178" s="30">
        <v>302</v>
      </c>
      <c r="I178" s="30">
        <v>32470</v>
      </c>
      <c r="J178" s="30">
        <v>31861</v>
      </c>
      <c r="K178" s="30">
        <v>178</v>
      </c>
      <c r="L178" s="27" t="s">
        <v>45</v>
      </c>
      <c r="M178" s="27"/>
      <c r="N178" s="28" t="s">
        <v>22</v>
      </c>
      <c r="O178" s="43">
        <f t="shared" si="2"/>
        <v>5614</v>
      </c>
    </row>
    <row r="179" spans="1:15" ht="15.75" customHeight="1">
      <c r="A179" s="27" t="s">
        <v>218</v>
      </c>
      <c r="B179" s="28" t="s">
        <v>14</v>
      </c>
      <c r="C179" s="29">
        <v>45640</v>
      </c>
      <c r="D179" s="28" t="s">
        <v>25</v>
      </c>
      <c r="E179" s="28" t="s">
        <v>49</v>
      </c>
      <c r="F179" s="30">
        <v>3812</v>
      </c>
      <c r="G179" s="30">
        <v>321</v>
      </c>
      <c r="H179" s="30">
        <v>289</v>
      </c>
      <c r="I179" s="30">
        <v>59838</v>
      </c>
      <c r="J179" s="30">
        <v>36337</v>
      </c>
      <c r="K179" s="30">
        <v>161</v>
      </c>
      <c r="L179" s="27" t="s">
        <v>42</v>
      </c>
      <c r="M179" s="27"/>
      <c r="N179" s="28" t="s">
        <v>55</v>
      </c>
      <c r="O179" s="43">
        <f t="shared" si="2"/>
        <v>4422</v>
      </c>
    </row>
    <row r="180" spans="1:15" ht="15.75" customHeight="1">
      <c r="A180" s="27" t="s">
        <v>219</v>
      </c>
      <c r="B180" s="28" t="s">
        <v>24</v>
      </c>
      <c r="C180" s="29">
        <v>45615</v>
      </c>
      <c r="D180" s="28" t="s">
        <v>15</v>
      </c>
      <c r="E180" s="28" t="s">
        <v>20</v>
      </c>
      <c r="F180" s="30">
        <v>2387</v>
      </c>
      <c r="G180" s="30">
        <v>353</v>
      </c>
      <c r="H180" s="30">
        <v>78</v>
      </c>
      <c r="I180" s="30">
        <v>39745</v>
      </c>
      <c r="J180" s="30">
        <v>69226</v>
      </c>
      <c r="K180" s="30">
        <v>208</v>
      </c>
      <c r="L180" s="27" t="s">
        <v>45</v>
      </c>
      <c r="M180" s="27"/>
      <c r="N180" s="28" t="s">
        <v>22</v>
      </c>
      <c r="O180" s="43">
        <f t="shared" si="2"/>
        <v>2818</v>
      </c>
    </row>
    <row r="181" spans="1:15" ht="15.75" customHeight="1">
      <c r="A181" s="27" t="s">
        <v>220</v>
      </c>
      <c r="B181" s="28" t="s">
        <v>24</v>
      </c>
      <c r="C181" s="29">
        <v>45777</v>
      </c>
      <c r="D181" s="28" t="s">
        <v>25</v>
      </c>
      <c r="E181" s="28" t="s">
        <v>29</v>
      </c>
      <c r="F181" s="30">
        <v>3929</v>
      </c>
      <c r="G181" s="30">
        <v>275</v>
      </c>
      <c r="H181" s="30">
        <v>330</v>
      </c>
      <c r="I181" s="30">
        <v>58329</v>
      </c>
      <c r="J181" s="30">
        <v>33196</v>
      </c>
      <c r="K181" s="30">
        <v>85</v>
      </c>
      <c r="L181" s="27" t="s">
        <v>379</v>
      </c>
      <c r="M181" s="27" t="s">
        <v>42</v>
      </c>
      <c r="N181" s="28" t="s">
        <v>18</v>
      </c>
      <c r="O181" s="43">
        <f t="shared" si="2"/>
        <v>4534</v>
      </c>
    </row>
    <row r="182" spans="1:15" ht="15.75" customHeight="1">
      <c r="A182" s="27" t="s">
        <v>221</v>
      </c>
      <c r="B182" s="28" t="s">
        <v>24</v>
      </c>
      <c r="C182" s="29">
        <v>45370</v>
      </c>
      <c r="D182" s="28" t="s">
        <v>15</v>
      </c>
      <c r="E182" s="28" t="s">
        <v>49</v>
      </c>
      <c r="F182" s="30">
        <v>2191</v>
      </c>
      <c r="G182" s="30">
        <v>288</v>
      </c>
      <c r="H182" s="30">
        <v>83</v>
      </c>
      <c r="I182" s="30">
        <v>59606</v>
      </c>
      <c r="J182" s="30">
        <v>24765</v>
      </c>
      <c r="K182" s="30">
        <v>281</v>
      </c>
      <c r="L182" s="27" t="s">
        <v>45</v>
      </c>
      <c r="M182" s="27"/>
      <c r="N182" s="28" t="s">
        <v>22</v>
      </c>
      <c r="O182" s="43">
        <f t="shared" si="2"/>
        <v>2562</v>
      </c>
    </row>
    <row r="183" spans="1:15" ht="15.75" customHeight="1">
      <c r="A183" s="27" t="s">
        <v>222</v>
      </c>
      <c r="B183" s="28" t="s">
        <v>14</v>
      </c>
      <c r="C183" s="29">
        <v>45370</v>
      </c>
      <c r="D183" s="28" t="s">
        <v>15</v>
      </c>
      <c r="E183" s="28" t="s">
        <v>49</v>
      </c>
      <c r="F183" s="30">
        <v>2878</v>
      </c>
      <c r="G183" s="30">
        <v>278</v>
      </c>
      <c r="H183" s="30">
        <v>255</v>
      </c>
      <c r="I183" s="30">
        <v>47235</v>
      </c>
      <c r="J183" s="30">
        <v>57922</v>
      </c>
      <c r="K183" s="30">
        <v>112</v>
      </c>
      <c r="L183" s="27" t="s">
        <v>45</v>
      </c>
      <c r="M183" s="27" t="s">
        <v>42</v>
      </c>
      <c r="N183" s="28" t="s">
        <v>18</v>
      </c>
      <c r="O183" s="43">
        <f t="shared" si="2"/>
        <v>3411</v>
      </c>
    </row>
    <row r="184" spans="1:15" ht="15.75" customHeight="1">
      <c r="A184" s="27" t="s">
        <v>223</v>
      </c>
      <c r="B184" s="28" t="s">
        <v>24</v>
      </c>
      <c r="C184" s="29">
        <v>45496</v>
      </c>
      <c r="D184" s="28" t="s">
        <v>15</v>
      </c>
      <c r="E184" s="28" t="s">
        <v>41</v>
      </c>
      <c r="F184" s="30">
        <v>3204</v>
      </c>
      <c r="G184" s="30">
        <v>398</v>
      </c>
      <c r="H184" s="30">
        <v>85</v>
      </c>
      <c r="I184" s="30">
        <v>22020</v>
      </c>
      <c r="J184" s="30">
        <v>58353</v>
      </c>
      <c r="K184" s="30">
        <v>286</v>
      </c>
      <c r="L184" s="27" t="s">
        <v>45</v>
      </c>
      <c r="M184" s="27"/>
      <c r="N184" s="28" t="s">
        <v>22</v>
      </c>
      <c r="O184" s="43">
        <f t="shared" si="2"/>
        <v>3687</v>
      </c>
    </row>
    <row r="185" spans="1:15" ht="15.75" customHeight="1">
      <c r="A185" s="27" t="s">
        <v>224</v>
      </c>
      <c r="B185" s="28" t="s">
        <v>24</v>
      </c>
      <c r="C185" s="29">
        <v>45486</v>
      </c>
      <c r="D185" s="28" t="s">
        <v>25</v>
      </c>
      <c r="E185" s="28" t="s">
        <v>37</v>
      </c>
      <c r="F185" s="30">
        <v>2408</v>
      </c>
      <c r="G185" s="30">
        <v>323</v>
      </c>
      <c r="H185" s="30">
        <v>251</v>
      </c>
      <c r="I185" s="30">
        <v>47599</v>
      </c>
      <c r="J185" s="30">
        <v>35543</v>
      </c>
      <c r="K185" s="30">
        <v>287</v>
      </c>
      <c r="L185" s="27" t="s">
        <v>379</v>
      </c>
      <c r="M185" s="27" t="s">
        <v>42</v>
      </c>
      <c r="N185" s="28" t="s">
        <v>18</v>
      </c>
      <c r="O185" s="43">
        <f t="shared" si="2"/>
        <v>2982</v>
      </c>
    </row>
    <row r="186" spans="1:15" ht="15.75" customHeight="1">
      <c r="A186" s="27" t="s">
        <v>225</v>
      </c>
      <c r="B186" s="28" t="s">
        <v>31</v>
      </c>
      <c r="C186" s="29">
        <v>45769</v>
      </c>
      <c r="D186" s="28" t="s">
        <v>57</v>
      </c>
      <c r="E186" s="28" t="s">
        <v>26</v>
      </c>
      <c r="F186" s="30">
        <v>2733</v>
      </c>
      <c r="G186" s="30">
        <v>297</v>
      </c>
      <c r="H186" s="30">
        <v>235</v>
      </c>
      <c r="I186" s="30">
        <v>37980</v>
      </c>
      <c r="J186" s="30">
        <v>33058</v>
      </c>
      <c r="K186" s="30">
        <v>219</v>
      </c>
      <c r="L186" s="27" t="s">
        <v>21</v>
      </c>
      <c r="M186" s="27" t="s">
        <v>45</v>
      </c>
      <c r="N186" s="28" t="s">
        <v>59</v>
      </c>
      <c r="O186" s="43">
        <f t="shared" si="2"/>
        <v>3265</v>
      </c>
    </row>
    <row r="187" spans="1:15" ht="15.75" customHeight="1">
      <c r="A187" s="27" t="s">
        <v>226</v>
      </c>
      <c r="B187" s="28" t="s">
        <v>24</v>
      </c>
      <c r="C187" s="29">
        <v>45459</v>
      </c>
      <c r="D187" s="28" t="s">
        <v>25</v>
      </c>
      <c r="E187" s="28" t="s">
        <v>20</v>
      </c>
      <c r="F187" s="30">
        <v>4618</v>
      </c>
      <c r="G187" s="30">
        <v>312</v>
      </c>
      <c r="H187" s="30">
        <v>254</v>
      </c>
      <c r="I187" s="30">
        <v>22571</v>
      </c>
      <c r="J187" s="30">
        <v>29453</v>
      </c>
      <c r="K187" s="30">
        <v>197</v>
      </c>
      <c r="L187" s="27" t="s">
        <v>379</v>
      </c>
      <c r="M187" s="27" t="s">
        <v>42</v>
      </c>
      <c r="N187" s="28" t="s">
        <v>18</v>
      </c>
      <c r="O187" s="43">
        <f t="shared" si="2"/>
        <v>5184</v>
      </c>
    </row>
    <row r="188" spans="1:15" ht="15.75" customHeight="1">
      <c r="A188" s="27" t="s">
        <v>227</v>
      </c>
      <c r="B188" s="28" t="s">
        <v>31</v>
      </c>
      <c r="C188" s="29">
        <v>45795</v>
      </c>
      <c r="D188" s="28" t="s">
        <v>57</v>
      </c>
      <c r="E188" s="28" t="s">
        <v>29</v>
      </c>
      <c r="F188" s="30">
        <v>4210</v>
      </c>
      <c r="G188" s="30">
        <v>319</v>
      </c>
      <c r="H188" s="30">
        <v>350</v>
      </c>
      <c r="I188" s="30">
        <v>37762</v>
      </c>
      <c r="J188" s="30">
        <v>55162</v>
      </c>
      <c r="K188" s="30">
        <v>204</v>
      </c>
      <c r="L188" s="27" t="s">
        <v>21</v>
      </c>
      <c r="M188" s="27" t="s">
        <v>45</v>
      </c>
      <c r="N188" s="28" t="s">
        <v>59</v>
      </c>
      <c r="O188" s="43">
        <f t="shared" si="2"/>
        <v>4879</v>
      </c>
    </row>
    <row r="189" spans="1:15" ht="15.75" customHeight="1">
      <c r="A189" s="27" t="s">
        <v>228</v>
      </c>
      <c r="B189" s="28" t="s">
        <v>14</v>
      </c>
      <c r="C189" s="29">
        <v>45814</v>
      </c>
      <c r="D189" s="28" t="s">
        <v>15</v>
      </c>
      <c r="E189" s="28" t="s">
        <v>29</v>
      </c>
      <c r="F189" s="30">
        <v>3987</v>
      </c>
      <c r="G189" s="30">
        <v>171</v>
      </c>
      <c r="H189" s="30">
        <v>274</v>
      </c>
      <c r="I189" s="30">
        <v>45122</v>
      </c>
      <c r="J189" s="30">
        <v>65431</v>
      </c>
      <c r="K189" s="30">
        <v>168</v>
      </c>
      <c r="L189" s="27" t="s">
        <v>21</v>
      </c>
      <c r="M189" s="27"/>
      <c r="N189" s="28" t="s">
        <v>22</v>
      </c>
      <c r="O189" s="43">
        <f t="shared" si="2"/>
        <v>4432</v>
      </c>
    </row>
    <row r="190" spans="1:15" ht="15.75" customHeight="1">
      <c r="A190" s="27" t="s">
        <v>229</v>
      </c>
      <c r="B190" s="28" t="s">
        <v>31</v>
      </c>
      <c r="C190" s="29">
        <v>45708</v>
      </c>
      <c r="D190" s="28" t="s">
        <v>57</v>
      </c>
      <c r="E190" s="28" t="s">
        <v>37</v>
      </c>
      <c r="F190" s="30">
        <v>4957</v>
      </c>
      <c r="G190" s="30">
        <v>262</v>
      </c>
      <c r="H190" s="30">
        <v>365</v>
      </c>
      <c r="I190" s="30">
        <v>49199</v>
      </c>
      <c r="J190" s="30">
        <v>40314</v>
      </c>
      <c r="K190" s="30">
        <v>216</v>
      </c>
      <c r="L190" s="27" t="s">
        <v>21</v>
      </c>
      <c r="M190" s="27" t="s">
        <v>45</v>
      </c>
      <c r="N190" s="28" t="s">
        <v>59</v>
      </c>
      <c r="O190" s="43">
        <f t="shared" si="2"/>
        <v>5584</v>
      </c>
    </row>
    <row r="191" spans="1:15" ht="15.75" customHeight="1">
      <c r="A191" s="27" t="s">
        <v>230</v>
      </c>
      <c r="B191" s="28" t="s">
        <v>14</v>
      </c>
      <c r="C191" s="29">
        <v>45673</v>
      </c>
      <c r="D191" s="28" t="s">
        <v>15</v>
      </c>
      <c r="E191" s="28" t="s">
        <v>32</v>
      </c>
      <c r="F191" s="30">
        <v>2605</v>
      </c>
      <c r="G191" s="30">
        <v>282</v>
      </c>
      <c r="H191" s="30">
        <v>148</v>
      </c>
      <c r="I191" s="30">
        <v>32201</v>
      </c>
      <c r="J191" s="30">
        <v>49583</v>
      </c>
      <c r="K191" s="30">
        <v>241</v>
      </c>
      <c r="L191" s="27" t="s">
        <v>45</v>
      </c>
      <c r="M191" s="27" t="s">
        <v>42</v>
      </c>
      <c r="N191" s="28" t="s">
        <v>18</v>
      </c>
      <c r="O191" s="43">
        <f t="shared" si="2"/>
        <v>3035</v>
      </c>
    </row>
    <row r="192" spans="1:15" ht="15.75" customHeight="1">
      <c r="A192" s="27" t="s">
        <v>231</v>
      </c>
      <c r="B192" s="28" t="s">
        <v>31</v>
      </c>
      <c r="C192" s="29">
        <v>45346</v>
      </c>
      <c r="D192" s="28" t="s">
        <v>57</v>
      </c>
      <c r="E192" s="28" t="s">
        <v>16</v>
      </c>
      <c r="F192" s="30">
        <v>4221</v>
      </c>
      <c r="G192" s="30">
        <v>307</v>
      </c>
      <c r="H192" s="30">
        <v>58</v>
      </c>
      <c r="I192" s="30">
        <v>45080</v>
      </c>
      <c r="J192" s="30">
        <v>37214</v>
      </c>
      <c r="K192" s="30">
        <v>240</v>
      </c>
      <c r="L192" s="27" t="s">
        <v>21</v>
      </c>
      <c r="M192" s="27" t="s">
        <v>45</v>
      </c>
      <c r="N192" s="28" t="s">
        <v>59</v>
      </c>
      <c r="O192" s="43">
        <f t="shared" si="2"/>
        <v>4586</v>
      </c>
    </row>
    <row r="193" spans="1:15" ht="15.75" customHeight="1">
      <c r="A193" s="27" t="s">
        <v>232</v>
      </c>
      <c r="B193" s="28" t="s">
        <v>24</v>
      </c>
      <c r="C193" s="29">
        <v>45551</v>
      </c>
      <c r="D193" s="28" t="s">
        <v>25</v>
      </c>
      <c r="E193" s="28" t="s">
        <v>35</v>
      </c>
      <c r="F193" s="30">
        <v>4422</v>
      </c>
      <c r="G193" s="30">
        <v>434</v>
      </c>
      <c r="H193" s="30">
        <v>156</v>
      </c>
      <c r="I193" s="30">
        <v>56165</v>
      </c>
      <c r="J193" s="30">
        <v>52431</v>
      </c>
      <c r="K193" s="30">
        <v>173</v>
      </c>
      <c r="L193" s="27" t="s">
        <v>21</v>
      </c>
      <c r="M193" s="27" t="s">
        <v>379</v>
      </c>
      <c r="N193" s="28" t="s">
        <v>18</v>
      </c>
      <c r="O193" s="43">
        <f t="shared" si="2"/>
        <v>5012</v>
      </c>
    </row>
    <row r="194" spans="1:15" ht="15.75" customHeight="1">
      <c r="A194" s="27" t="s">
        <v>233</v>
      </c>
      <c r="B194" s="28" t="s">
        <v>31</v>
      </c>
      <c r="C194" s="29">
        <v>45447</v>
      </c>
      <c r="D194" s="28" t="s">
        <v>57</v>
      </c>
      <c r="E194" s="28" t="s">
        <v>29</v>
      </c>
      <c r="F194" s="30">
        <v>1211</v>
      </c>
      <c r="G194" s="30">
        <v>431</v>
      </c>
      <c r="H194" s="30">
        <v>83</v>
      </c>
      <c r="I194" s="30">
        <v>26532</v>
      </c>
      <c r="J194" s="30">
        <v>47305</v>
      </c>
      <c r="K194" s="30">
        <v>232</v>
      </c>
      <c r="L194" s="27" t="s">
        <v>21</v>
      </c>
      <c r="M194" s="27" t="s">
        <v>45</v>
      </c>
      <c r="N194" s="28" t="s">
        <v>59</v>
      </c>
      <c r="O194" s="43">
        <f t="shared" si="2"/>
        <v>1725</v>
      </c>
    </row>
    <row r="195" spans="1:15" ht="15.75" customHeight="1">
      <c r="A195" s="27" t="s">
        <v>234</v>
      </c>
      <c r="B195" s="28" t="s">
        <v>24</v>
      </c>
      <c r="C195" s="29">
        <v>45422</v>
      </c>
      <c r="D195" s="28" t="s">
        <v>25</v>
      </c>
      <c r="E195" s="28" t="s">
        <v>20</v>
      </c>
      <c r="F195" s="30">
        <v>2784</v>
      </c>
      <c r="G195" s="30">
        <v>111</v>
      </c>
      <c r="H195" s="30">
        <v>399</v>
      </c>
      <c r="I195" s="30">
        <v>58366</v>
      </c>
      <c r="J195" s="30">
        <v>69512</v>
      </c>
      <c r="K195" s="30">
        <v>269</v>
      </c>
      <c r="L195" s="27" t="s">
        <v>379</v>
      </c>
      <c r="M195" s="27" t="s">
        <v>42</v>
      </c>
      <c r="N195" s="28" t="s">
        <v>18</v>
      </c>
      <c r="O195" s="43">
        <f t="shared" ref="O195:O258" si="3">F195+G195+H195</f>
        <v>3294</v>
      </c>
    </row>
    <row r="196" spans="1:15" ht="15.75" customHeight="1">
      <c r="A196" s="27" t="s">
        <v>235</v>
      </c>
      <c r="B196" s="28" t="s">
        <v>31</v>
      </c>
      <c r="C196" s="29">
        <v>45305</v>
      </c>
      <c r="D196" s="28" t="s">
        <v>15</v>
      </c>
      <c r="E196" s="28" t="s">
        <v>26</v>
      </c>
      <c r="F196" s="30">
        <v>3634</v>
      </c>
      <c r="G196" s="30">
        <v>280</v>
      </c>
      <c r="H196" s="30">
        <v>399</v>
      </c>
      <c r="I196" s="30">
        <v>40256</v>
      </c>
      <c r="J196" s="30">
        <v>52605</v>
      </c>
      <c r="K196" s="30">
        <v>213</v>
      </c>
      <c r="L196" s="27" t="s">
        <v>21</v>
      </c>
      <c r="M196" s="27" t="s">
        <v>380</v>
      </c>
      <c r="N196" s="28" t="s">
        <v>22</v>
      </c>
      <c r="O196" s="43">
        <f t="shared" si="3"/>
        <v>4313</v>
      </c>
    </row>
    <row r="197" spans="1:15" ht="15.75" customHeight="1">
      <c r="A197" s="27" t="s">
        <v>236</v>
      </c>
      <c r="B197" s="28" t="s">
        <v>14</v>
      </c>
      <c r="C197" s="29">
        <v>45669</v>
      </c>
      <c r="D197" s="28" t="s">
        <v>15</v>
      </c>
      <c r="E197" s="28" t="s">
        <v>49</v>
      </c>
      <c r="F197" s="30">
        <v>1771</v>
      </c>
      <c r="G197" s="30">
        <v>487</v>
      </c>
      <c r="H197" s="30">
        <v>272</v>
      </c>
      <c r="I197" s="30">
        <v>48810</v>
      </c>
      <c r="J197" s="30">
        <v>48084</v>
      </c>
      <c r="K197" s="30">
        <v>272</v>
      </c>
      <c r="L197" s="27" t="s">
        <v>45</v>
      </c>
      <c r="M197" s="27" t="s">
        <v>42</v>
      </c>
      <c r="N197" s="28" t="s">
        <v>18</v>
      </c>
      <c r="O197" s="43">
        <f t="shared" si="3"/>
        <v>2530</v>
      </c>
    </row>
    <row r="198" spans="1:15" ht="15.75" customHeight="1">
      <c r="A198" s="27" t="s">
        <v>237</v>
      </c>
      <c r="B198" s="28" t="s">
        <v>31</v>
      </c>
      <c r="C198" s="29">
        <v>45634</v>
      </c>
      <c r="D198" s="28" t="s">
        <v>15</v>
      </c>
      <c r="E198" s="28" t="s">
        <v>41</v>
      </c>
      <c r="F198" s="30">
        <v>1424</v>
      </c>
      <c r="G198" s="30">
        <v>396</v>
      </c>
      <c r="H198" s="30">
        <v>312</v>
      </c>
      <c r="I198" s="30">
        <v>59517</v>
      </c>
      <c r="J198" s="30">
        <v>46102</v>
      </c>
      <c r="K198" s="30">
        <v>239</v>
      </c>
      <c r="L198" s="27" t="s">
        <v>21</v>
      </c>
      <c r="M198" s="27" t="s">
        <v>380</v>
      </c>
      <c r="N198" s="28" t="s">
        <v>22</v>
      </c>
      <c r="O198" s="43">
        <f t="shared" si="3"/>
        <v>2132</v>
      </c>
    </row>
    <row r="199" spans="1:15" ht="15.75" customHeight="1">
      <c r="A199" s="27" t="s">
        <v>238</v>
      </c>
      <c r="B199" s="28" t="s">
        <v>24</v>
      </c>
      <c r="C199" s="29">
        <v>45689</v>
      </c>
      <c r="D199" s="28" t="s">
        <v>25</v>
      </c>
      <c r="E199" s="28" t="s">
        <v>41</v>
      </c>
      <c r="F199" s="30">
        <v>1079</v>
      </c>
      <c r="G199" s="30">
        <v>265</v>
      </c>
      <c r="H199" s="30">
        <v>190</v>
      </c>
      <c r="I199" s="30">
        <v>43786</v>
      </c>
      <c r="J199" s="30">
        <v>72428</v>
      </c>
      <c r="K199" s="30">
        <v>222</v>
      </c>
      <c r="L199" s="27" t="s">
        <v>45</v>
      </c>
      <c r="M199" s="27" t="s">
        <v>42</v>
      </c>
      <c r="N199" s="28" t="s">
        <v>18</v>
      </c>
      <c r="O199" s="43">
        <f t="shared" si="3"/>
        <v>1534</v>
      </c>
    </row>
    <row r="200" spans="1:15" ht="15.75" customHeight="1">
      <c r="A200" s="27" t="s">
        <v>239</v>
      </c>
      <c r="B200" s="28" t="s">
        <v>24</v>
      </c>
      <c r="C200" s="29">
        <v>45484</v>
      </c>
      <c r="D200" s="28" t="s">
        <v>25</v>
      </c>
      <c r="E200" s="28" t="s">
        <v>37</v>
      </c>
      <c r="F200" s="30">
        <v>4247</v>
      </c>
      <c r="G200" s="30">
        <v>179</v>
      </c>
      <c r="H200" s="30">
        <v>175</v>
      </c>
      <c r="I200" s="30">
        <v>32991</v>
      </c>
      <c r="J200" s="30">
        <v>70120</v>
      </c>
      <c r="K200" s="30">
        <v>276</v>
      </c>
      <c r="L200" s="27" t="s">
        <v>45</v>
      </c>
      <c r="M200" s="27" t="s">
        <v>42</v>
      </c>
      <c r="N200" s="28" t="s">
        <v>18</v>
      </c>
      <c r="O200" s="43">
        <f t="shared" si="3"/>
        <v>4601</v>
      </c>
    </row>
    <row r="201" spans="1:15" ht="15.75" customHeight="1">
      <c r="A201" s="27" t="s">
        <v>240</v>
      </c>
      <c r="B201" s="28" t="s">
        <v>24</v>
      </c>
      <c r="C201" s="29">
        <v>45369</v>
      </c>
      <c r="D201" s="28" t="s">
        <v>15</v>
      </c>
      <c r="E201" s="28" t="s">
        <v>26</v>
      </c>
      <c r="F201" s="30">
        <v>2033</v>
      </c>
      <c r="G201" s="30">
        <v>420</v>
      </c>
      <c r="H201" s="30">
        <v>94</v>
      </c>
      <c r="I201" s="30">
        <v>56290</v>
      </c>
      <c r="J201" s="30">
        <v>57391</v>
      </c>
      <c r="K201" s="30">
        <v>196</v>
      </c>
      <c r="L201" s="27" t="s">
        <v>42</v>
      </c>
      <c r="M201" s="27"/>
      <c r="N201" s="28" t="s">
        <v>18</v>
      </c>
      <c r="O201" s="43">
        <f t="shared" si="3"/>
        <v>2547</v>
      </c>
    </row>
    <row r="202" spans="1:15" ht="15.75" customHeight="1">
      <c r="A202" s="27" t="s">
        <v>241</v>
      </c>
      <c r="B202" s="28" t="s">
        <v>24</v>
      </c>
      <c r="C202" s="29">
        <v>45547</v>
      </c>
      <c r="D202" s="28" t="s">
        <v>25</v>
      </c>
      <c r="E202" s="28" t="s">
        <v>29</v>
      </c>
      <c r="F202" s="30">
        <v>1839</v>
      </c>
      <c r="G202" s="30">
        <v>223</v>
      </c>
      <c r="H202" s="30">
        <v>171</v>
      </c>
      <c r="I202" s="30">
        <v>35459</v>
      </c>
      <c r="J202" s="30">
        <v>69988</v>
      </c>
      <c r="K202" s="30">
        <v>114</v>
      </c>
      <c r="L202" s="27" t="s">
        <v>379</v>
      </c>
      <c r="M202" s="27" t="s">
        <v>42</v>
      </c>
      <c r="N202" s="28" t="s">
        <v>18</v>
      </c>
      <c r="O202" s="43">
        <f t="shared" si="3"/>
        <v>2233</v>
      </c>
    </row>
    <row r="203" spans="1:15" ht="15.75" customHeight="1">
      <c r="A203" s="27" t="s">
        <v>242</v>
      </c>
      <c r="B203" s="28" t="s">
        <v>24</v>
      </c>
      <c r="C203" s="29">
        <v>45302</v>
      </c>
      <c r="D203" s="28" t="s">
        <v>25</v>
      </c>
      <c r="E203" s="28" t="s">
        <v>29</v>
      </c>
      <c r="F203" s="30">
        <v>2340</v>
      </c>
      <c r="G203" s="30">
        <v>141</v>
      </c>
      <c r="H203" s="30">
        <v>206</v>
      </c>
      <c r="I203" s="30">
        <v>24916</v>
      </c>
      <c r="J203" s="30">
        <v>30582</v>
      </c>
      <c r="K203" s="30">
        <v>157</v>
      </c>
      <c r="L203" s="27" t="s">
        <v>45</v>
      </c>
      <c r="M203" s="27" t="s">
        <v>42</v>
      </c>
      <c r="N203" s="28" t="s">
        <v>18</v>
      </c>
      <c r="O203" s="43">
        <f t="shared" si="3"/>
        <v>2687</v>
      </c>
    </row>
    <row r="204" spans="1:15" ht="15.75" customHeight="1">
      <c r="A204" s="27" t="s">
        <v>243</v>
      </c>
      <c r="B204" s="28" t="s">
        <v>14</v>
      </c>
      <c r="C204" s="29">
        <v>45571</v>
      </c>
      <c r="D204" s="28" t="s">
        <v>15</v>
      </c>
      <c r="E204" s="28" t="s">
        <v>41</v>
      </c>
      <c r="F204" s="30">
        <v>2080</v>
      </c>
      <c r="G204" s="30">
        <v>389</v>
      </c>
      <c r="H204" s="30">
        <v>92</v>
      </c>
      <c r="I204" s="30">
        <v>30971</v>
      </c>
      <c r="J204" s="30">
        <v>25347</v>
      </c>
      <c r="K204" s="30">
        <v>111</v>
      </c>
      <c r="L204" s="27" t="s">
        <v>21</v>
      </c>
      <c r="M204" s="27"/>
      <c r="N204" s="28" t="s">
        <v>22</v>
      </c>
      <c r="O204" s="43">
        <f t="shared" si="3"/>
        <v>2561</v>
      </c>
    </row>
    <row r="205" spans="1:15" ht="15.75" customHeight="1">
      <c r="A205" s="27" t="s">
        <v>244</v>
      </c>
      <c r="B205" s="28" t="s">
        <v>24</v>
      </c>
      <c r="C205" s="29">
        <v>45656</v>
      </c>
      <c r="D205" s="28" t="s">
        <v>15</v>
      </c>
      <c r="E205" s="28" t="s">
        <v>37</v>
      </c>
      <c r="F205" s="30">
        <v>4214</v>
      </c>
      <c r="G205" s="30">
        <v>286</v>
      </c>
      <c r="H205" s="30">
        <v>127</v>
      </c>
      <c r="I205" s="30">
        <v>47293</v>
      </c>
      <c r="J205" s="30">
        <v>27184</v>
      </c>
      <c r="K205" s="30">
        <v>232</v>
      </c>
      <c r="L205" s="27" t="s">
        <v>42</v>
      </c>
      <c r="M205" s="27"/>
      <c r="N205" s="28" t="s">
        <v>18</v>
      </c>
      <c r="O205" s="43">
        <f t="shared" si="3"/>
        <v>4627</v>
      </c>
    </row>
    <row r="206" spans="1:15" ht="15.75" customHeight="1">
      <c r="A206" s="27" t="s">
        <v>245</v>
      </c>
      <c r="B206" s="28" t="s">
        <v>24</v>
      </c>
      <c r="C206" s="29">
        <v>45763</v>
      </c>
      <c r="D206" s="28" t="s">
        <v>15</v>
      </c>
      <c r="E206" s="28" t="s">
        <v>29</v>
      </c>
      <c r="F206" s="30">
        <v>3792</v>
      </c>
      <c r="G206" s="30">
        <v>315</v>
      </c>
      <c r="H206" s="30">
        <v>120</v>
      </c>
      <c r="I206" s="30">
        <v>54592</v>
      </c>
      <c r="J206" s="30">
        <v>67886</v>
      </c>
      <c r="K206" s="30">
        <v>117</v>
      </c>
      <c r="L206" s="27" t="s">
        <v>45</v>
      </c>
      <c r="M206" s="27"/>
      <c r="N206" s="28" t="s">
        <v>22</v>
      </c>
      <c r="O206" s="43">
        <f t="shared" si="3"/>
        <v>4227</v>
      </c>
    </row>
    <row r="207" spans="1:15" ht="15.75" customHeight="1">
      <c r="A207" s="27" t="s">
        <v>246</v>
      </c>
      <c r="B207" s="28" t="s">
        <v>24</v>
      </c>
      <c r="C207" s="29">
        <v>45525</v>
      </c>
      <c r="D207" s="28" t="s">
        <v>25</v>
      </c>
      <c r="E207" s="28" t="s">
        <v>20</v>
      </c>
      <c r="F207" s="30">
        <v>3989</v>
      </c>
      <c r="G207" s="30">
        <v>476</v>
      </c>
      <c r="H207" s="30">
        <v>128</v>
      </c>
      <c r="I207" s="30">
        <v>57569</v>
      </c>
      <c r="J207" s="30">
        <v>40193</v>
      </c>
      <c r="K207" s="30">
        <v>222</v>
      </c>
      <c r="L207" s="27" t="s">
        <v>21</v>
      </c>
      <c r="M207" s="27" t="s">
        <v>379</v>
      </c>
      <c r="N207" s="28" t="s">
        <v>18</v>
      </c>
      <c r="O207" s="43">
        <f t="shared" si="3"/>
        <v>4593</v>
      </c>
    </row>
    <row r="208" spans="1:15" ht="15.75" customHeight="1">
      <c r="A208" s="27" t="s">
        <v>247</v>
      </c>
      <c r="B208" s="28" t="s">
        <v>24</v>
      </c>
      <c r="C208" s="29">
        <v>45387</v>
      </c>
      <c r="D208" s="28" t="s">
        <v>25</v>
      </c>
      <c r="E208" s="28" t="s">
        <v>29</v>
      </c>
      <c r="F208" s="30">
        <v>2857</v>
      </c>
      <c r="G208" s="30">
        <v>443</v>
      </c>
      <c r="H208" s="30">
        <v>359</v>
      </c>
      <c r="I208" s="30">
        <v>51519</v>
      </c>
      <c r="J208" s="30">
        <v>28256</v>
      </c>
      <c r="K208" s="30">
        <v>155</v>
      </c>
      <c r="L208" s="27" t="s">
        <v>45</v>
      </c>
      <c r="M208" s="27" t="s">
        <v>42</v>
      </c>
      <c r="N208" s="28" t="s">
        <v>18</v>
      </c>
      <c r="O208" s="43">
        <f t="shared" si="3"/>
        <v>3659</v>
      </c>
    </row>
    <row r="209" spans="1:15" ht="15.75" customHeight="1">
      <c r="A209" s="27" t="s">
        <v>248</v>
      </c>
      <c r="B209" s="28" t="s">
        <v>24</v>
      </c>
      <c r="C209" s="29">
        <v>45754</v>
      </c>
      <c r="D209" s="28" t="s">
        <v>15</v>
      </c>
      <c r="E209" s="28" t="s">
        <v>49</v>
      </c>
      <c r="F209" s="30">
        <v>1403</v>
      </c>
      <c r="G209" s="30">
        <v>385</v>
      </c>
      <c r="H209" s="30">
        <v>344</v>
      </c>
      <c r="I209" s="30">
        <v>54223</v>
      </c>
      <c r="J209" s="30">
        <v>72595</v>
      </c>
      <c r="K209" s="30">
        <v>239</v>
      </c>
      <c r="L209" s="27" t="s">
        <v>45</v>
      </c>
      <c r="M209" s="27"/>
      <c r="N209" s="28" t="s">
        <v>22</v>
      </c>
      <c r="O209" s="43">
        <f t="shared" si="3"/>
        <v>2132</v>
      </c>
    </row>
    <row r="210" spans="1:15" ht="15.75" customHeight="1">
      <c r="A210" s="27" t="s">
        <v>249</v>
      </c>
      <c r="B210" s="28" t="s">
        <v>24</v>
      </c>
      <c r="C210" s="29">
        <v>45492</v>
      </c>
      <c r="D210" s="28" t="s">
        <v>25</v>
      </c>
      <c r="E210" s="28" t="s">
        <v>35</v>
      </c>
      <c r="F210" s="30">
        <v>3071</v>
      </c>
      <c r="G210" s="30">
        <v>126</v>
      </c>
      <c r="H210" s="30">
        <v>200</v>
      </c>
      <c r="I210" s="30">
        <v>44013</v>
      </c>
      <c r="J210" s="30">
        <v>44679</v>
      </c>
      <c r="K210" s="30">
        <v>118</v>
      </c>
      <c r="L210" s="27" t="s">
        <v>21</v>
      </c>
      <c r="M210" s="27" t="s">
        <v>379</v>
      </c>
      <c r="N210" s="28" t="s">
        <v>18</v>
      </c>
      <c r="O210" s="43">
        <f t="shared" si="3"/>
        <v>3397</v>
      </c>
    </row>
    <row r="211" spans="1:15" ht="15.75" customHeight="1">
      <c r="A211" s="27" t="s">
        <v>250</v>
      </c>
      <c r="B211" s="28" t="s">
        <v>24</v>
      </c>
      <c r="C211" s="29">
        <v>45780</v>
      </c>
      <c r="D211" s="28" t="s">
        <v>25</v>
      </c>
      <c r="E211" s="28" t="s">
        <v>41</v>
      </c>
      <c r="F211" s="30">
        <v>1010</v>
      </c>
      <c r="G211" s="30">
        <v>361</v>
      </c>
      <c r="H211" s="30">
        <v>240</v>
      </c>
      <c r="I211" s="30">
        <v>47229</v>
      </c>
      <c r="J211" s="30">
        <v>72573</v>
      </c>
      <c r="K211" s="30">
        <v>275</v>
      </c>
      <c r="L211" s="27" t="s">
        <v>45</v>
      </c>
      <c r="M211" s="27" t="s">
        <v>42</v>
      </c>
      <c r="N211" s="28" t="s">
        <v>18</v>
      </c>
      <c r="O211" s="43">
        <f t="shared" si="3"/>
        <v>1611</v>
      </c>
    </row>
    <row r="212" spans="1:15" ht="15.75" customHeight="1">
      <c r="A212" s="27" t="s">
        <v>251</v>
      </c>
      <c r="B212" s="28" t="s">
        <v>24</v>
      </c>
      <c r="C212" s="29">
        <v>45396</v>
      </c>
      <c r="D212" s="28" t="s">
        <v>25</v>
      </c>
      <c r="E212" s="28" t="s">
        <v>16</v>
      </c>
      <c r="F212" s="30">
        <v>1295</v>
      </c>
      <c r="G212" s="30">
        <v>153</v>
      </c>
      <c r="H212" s="30">
        <v>81</v>
      </c>
      <c r="I212" s="30">
        <v>48350</v>
      </c>
      <c r="J212" s="30">
        <v>61033</v>
      </c>
      <c r="K212" s="30">
        <v>232</v>
      </c>
      <c r="L212" s="27" t="s">
        <v>21</v>
      </c>
      <c r="M212" s="27" t="s">
        <v>379</v>
      </c>
      <c r="N212" s="28" t="s">
        <v>18</v>
      </c>
      <c r="O212" s="43">
        <f t="shared" si="3"/>
        <v>1529</v>
      </c>
    </row>
    <row r="213" spans="1:15" ht="15.75" customHeight="1">
      <c r="A213" s="27" t="s">
        <v>252</v>
      </c>
      <c r="B213" s="28" t="s">
        <v>24</v>
      </c>
      <c r="C213" s="29">
        <v>45827</v>
      </c>
      <c r="D213" s="28" t="s">
        <v>25</v>
      </c>
      <c r="E213" s="28" t="s">
        <v>35</v>
      </c>
      <c r="F213" s="30">
        <v>1433</v>
      </c>
      <c r="G213" s="30">
        <v>452</v>
      </c>
      <c r="H213" s="30">
        <v>305</v>
      </c>
      <c r="I213" s="30">
        <v>54541</v>
      </c>
      <c r="J213" s="30">
        <v>63700</v>
      </c>
      <c r="K213" s="30">
        <v>296</v>
      </c>
      <c r="L213" s="27" t="s">
        <v>21</v>
      </c>
      <c r="M213" s="27" t="s">
        <v>379</v>
      </c>
      <c r="N213" s="28" t="s">
        <v>18</v>
      </c>
      <c r="O213" s="43">
        <f t="shared" si="3"/>
        <v>2190</v>
      </c>
    </row>
    <row r="214" spans="1:15" ht="15.75" customHeight="1">
      <c r="A214" s="27" t="s">
        <v>253</v>
      </c>
      <c r="B214" s="28" t="s">
        <v>14</v>
      </c>
      <c r="C214" s="29">
        <v>45832</v>
      </c>
      <c r="D214" s="28" t="s">
        <v>25</v>
      </c>
      <c r="E214" s="28" t="s">
        <v>37</v>
      </c>
      <c r="F214" s="30">
        <v>4902</v>
      </c>
      <c r="G214" s="30">
        <v>422</v>
      </c>
      <c r="H214" s="30">
        <v>376</v>
      </c>
      <c r="I214" s="30">
        <v>31674</v>
      </c>
      <c r="J214" s="30">
        <v>53225</v>
      </c>
      <c r="K214" s="30">
        <v>147</v>
      </c>
      <c r="L214" s="27" t="s">
        <v>42</v>
      </c>
      <c r="M214" s="27"/>
      <c r="N214" s="28" t="s">
        <v>55</v>
      </c>
      <c r="O214" s="43">
        <f t="shared" si="3"/>
        <v>5700</v>
      </c>
    </row>
    <row r="215" spans="1:15" ht="15.75" customHeight="1">
      <c r="A215" s="27" t="s">
        <v>254</v>
      </c>
      <c r="B215" s="28" t="s">
        <v>24</v>
      </c>
      <c r="C215" s="29">
        <v>45574</v>
      </c>
      <c r="D215" s="28" t="s">
        <v>15</v>
      </c>
      <c r="E215" s="28" t="s">
        <v>29</v>
      </c>
      <c r="F215" s="30">
        <v>2659</v>
      </c>
      <c r="G215" s="30">
        <v>167</v>
      </c>
      <c r="H215" s="30">
        <v>73</v>
      </c>
      <c r="I215" s="30">
        <v>23090</v>
      </c>
      <c r="J215" s="30">
        <v>25872</v>
      </c>
      <c r="K215" s="30">
        <v>293</v>
      </c>
      <c r="L215" s="27" t="s">
        <v>45</v>
      </c>
      <c r="M215" s="27"/>
      <c r="N215" s="28" t="s">
        <v>22</v>
      </c>
      <c r="O215" s="43">
        <f t="shared" si="3"/>
        <v>2899</v>
      </c>
    </row>
    <row r="216" spans="1:15" ht="15.75" customHeight="1">
      <c r="A216" s="27" t="s">
        <v>255</v>
      </c>
      <c r="B216" s="28" t="s">
        <v>31</v>
      </c>
      <c r="C216" s="29">
        <v>45672</v>
      </c>
      <c r="D216" s="28" t="s">
        <v>15</v>
      </c>
      <c r="E216" s="28" t="s">
        <v>51</v>
      </c>
      <c r="F216" s="30">
        <v>2599</v>
      </c>
      <c r="G216" s="30">
        <v>324</v>
      </c>
      <c r="H216" s="30">
        <v>182</v>
      </c>
      <c r="I216" s="30">
        <v>37525</v>
      </c>
      <c r="J216" s="30">
        <v>37216</v>
      </c>
      <c r="K216" s="30">
        <v>186</v>
      </c>
      <c r="L216" s="27" t="s">
        <v>21</v>
      </c>
      <c r="M216" s="27" t="s">
        <v>380</v>
      </c>
      <c r="N216" s="28" t="s">
        <v>22</v>
      </c>
      <c r="O216" s="43">
        <f t="shared" si="3"/>
        <v>3105</v>
      </c>
    </row>
    <row r="217" spans="1:15" ht="15.75" customHeight="1">
      <c r="A217" s="27" t="s">
        <v>256</v>
      </c>
      <c r="B217" s="28" t="s">
        <v>24</v>
      </c>
      <c r="C217" s="29">
        <v>45669</v>
      </c>
      <c r="D217" s="28" t="s">
        <v>15</v>
      </c>
      <c r="E217" s="28" t="s">
        <v>32</v>
      </c>
      <c r="F217" s="30">
        <v>1765</v>
      </c>
      <c r="G217" s="30">
        <v>285</v>
      </c>
      <c r="H217" s="30">
        <v>100</v>
      </c>
      <c r="I217" s="30">
        <v>41313</v>
      </c>
      <c r="J217" s="30">
        <v>56575</v>
      </c>
      <c r="K217" s="30">
        <v>174</v>
      </c>
      <c r="L217" s="27" t="s">
        <v>45</v>
      </c>
      <c r="M217" s="27"/>
      <c r="N217" s="28" t="s">
        <v>22</v>
      </c>
      <c r="O217" s="43">
        <f t="shared" si="3"/>
        <v>2150</v>
      </c>
    </row>
    <row r="218" spans="1:15" ht="15.75" customHeight="1">
      <c r="A218" s="27" t="s">
        <v>257</v>
      </c>
      <c r="B218" s="28" t="s">
        <v>14</v>
      </c>
      <c r="C218" s="29">
        <v>45808</v>
      </c>
      <c r="D218" s="28" t="s">
        <v>15</v>
      </c>
      <c r="E218" s="28" t="s">
        <v>35</v>
      </c>
      <c r="F218" s="30">
        <v>2169</v>
      </c>
      <c r="G218" s="30">
        <v>240</v>
      </c>
      <c r="H218" s="30">
        <v>57</v>
      </c>
      <c r="I218" s="30">
        <v>26109</v>
      </c>
      <c r="J218" s="30">
        <v>46667</v>
      </c>
      <c r="K218" s="30">
        <v>133</v>
      </c>
      <c r="L218" s="27" t="s">
        <v>45</v>
      </c>
      <c r="M218" s="27" t="s">
        <v>42</v>
      </c>
      <c r="N218" s="28" t="s">
        <v>18</v>
      </c>
      <c r="O218" s="43">
        <f t="shared" si="3"/>
        <v>2466</v>
      </c>
    </row>
    <row r="219" spans="1:15" ht="15.75" customHeight="1">
      <c r="A219" s="27" t="s">
        <v>258</v>
      </c>
      <c r="B219" s="28" t="s">
        <v>24</v>
      </c>
      <c r="C219" s="29">
        <v>45579</v>
      </c>
      <c r="D219" s="28" t="s">
        <v>25</v>
      </c>
      <c r="E219" s="28" t="s">
        <v>20</v>
      </c>
      <c r="F219" s="30">
        <v>4303</v>
      </c>
      <c r="G219" s="30">
        <v>306</v>
      </c>
      <c r="H219" s="30">
        <v>302</v>
      </c>
      <c r="I219" s="30">
        <v>39575</v>
      </c>
      <c r="J219" s="30">
        <v>33762</v>
      </c>
      <c r="K219" s="30">
        <v>265</v>
      </c>
      <c r="L219" s="27" t="s">
        <v>21</v>
      </c>
      <c r="M219" s="27" t="s">
        <v>379</v>
      </c>
      <c r="N219" s="28" t="s">
        <v>18</v>
      </c>
      <c r="O219" s="43">
        <f t="shared" si="3"/>
        <v>4911</v>
      </c>
    </row>
    <row r="220" spans="1:15" ht="15.75" customHeight="1">
      <c r="A220" s="27" t="s">
        <v>259</v>
      </c>
      <c r="B220" s="28" t="s">
        <v>24</v>
      </c>
      <c r="C220" s="29">
        <v>45332</v>
      </c>
      <c r="D220" s="28" t="s">
        <v>15</v>
      </c>
      <c r="E220" s="28" t="s">
        <v>49</v>
      </c>
      <c r="F220" s="30">
        <v>1519</v>
      </c>
      <c r="G220" s="30">
        <v>456</v>
      </c>
      <c r="H220" s="30">
        <v>379</v>
      </c>
      <c r="I220" s="30">
        <v>51611</v>
      </c>
      <c r="J220" s="30">
        <v>45880</v>
      </c>
      <c r="K220" s="30">
        <v>176</v>
      </c>
      <c r="L220" s="27" t="s">
        <v>45</v>
      </c>
      <c r="M220" s="27"/>
      <c r="N220" s="28" t="s">
        <v>22</v>
      </c>
      <c r="O220" s="43">
        <f t="shared" si="3"/>
        <v>2354</v>
      </c>
    </row>
    <row r="221" spans="1:15" ht="15.75" customHeight="1">
      <c r="A221" s="27" t="s">
        <v>260</v>
      </c>
      <c r="B221" s="28" t="s">
        <v>31</v>
      </c>
      <c r="C221" s="29">
        <v>45636</v>
      </c>
      <c r="D221" s="28" t="s">
        <v>15</v>
      </c>
      <c r="E221" s="28" t="s">
        <v>35</v>
      </c>
      <c r="F221" s="30">
        <v>2569</v>
      </c>
      <c r="G221" s="30">
        <v>140</v>
      </c>
      <c r="H221" s="30">
        <v>375</v>
      </c>
      <c r="I221" s="30">
        <v>38372</v>
      </c>
      <c r="J221" s="30">
        <v>22102</v>
      </c>
      <c r="K221" s="30">
        <v>255</v>
      </c>
      <c r="L221" s="27" t="s">
        <v>21</v>
      </c>
      <c r="M221" s="27" t="s">
        <v>380</v>
      </c>
      <c r="N221" s="28" t="s">
        <v>22</v>
      </c>
      <c r="O221" s="43">
        <f t="shared" si="3"/>
        <v>3084</v>
      </c>
    </row>
    <row r="222" spans="1:15" ht="15.75" customHeight="1">
      <c r="A222" s="27" t="s">
        <v>261</v>
      </c>
      <c r="B222" s="28" t="s">
        <v>24</v>
      </c>
      <c r="C222" s="29">
        <v>45786</v>
      </c>
      <c r="D222" s="28" t="s">
        <v>25</v>
      </c>
      <c r="E222" s="28" t="s">
        <v>32</v>
      </c>
      <c r="F222" s="30">
        <v>2778</v>
      </c>
      <c r="G222" s="30">
        <v>241</v>
      </c>
      <c r="H222" s="30">
        <v>317</v>
      </c>
      <c r="I222" s="30">
        <v>26247</v>
      </c>
      <c r="J222" s="30">
        <v>20677</v>
      </c>
      <c r="K222" s="30">
        <v>282</v>
      </c>
      <c r="L222" s="27" t="s">
        <v>379</v>
      </c>
      <c r="M222" s="27" t="s">
        <v>42</v>
      </c>
      <c r="N222" s="28" t="s">
        <v>18</v>
      </c>
      <c r="O222" s="43">
        <f t="shared" si="3"/>
        <v>3336</v>
      </c>
    </row>
    <row r="223" spans="1:15" ht="15.75" customHeight="1">
      <c r="A223" s="27" t="s">
        <v>262</v>
      </c>
      <c r="B223" s="28" t="s">
        <v>24</v>
      </c>
      <c r="C223" s="29">
        <v>45829</v>
      </c>
      <c r="D223" s="28" t="s">
        <v>15</v>
      </c>
      <c r="E223" s="28" t="s">
        <v>20</v>
      </c>
      <c r="F223" s="30">
        <v>3611</v>
      </c>
      <c r="G223" s="30">
        <v>127</v>
      </c>
      <c r="H223" s="30">
        <v>139</v>
      </c>
      <c r="I223" s="30">
        <v>44768</v>
      </c>
      <c r="J223" s="30">
        <v>29435</v>
      </c>
      <c r="K223" s="30">
        <v>178</v>
      </c>
      <c r="L223" s="27" t="s">
        <v>42</v>
      </c>
      <c r="M223" s="27"/>
      <c r="N223" s="28" t="s">
        <v>18</v>
      </c>
      <c r="O223" s="43">
        <f t="shared" si="3"/>
        <v>3877</v>
      </c>
    </row>
    <row r="224" spans="1:15" ht="15.75" customHeight="1">
      <c r="A224" s="27" t="s">
        <v>263</v>
      </c>
      <c r="B224" s="28" t="s">
        <v>24</v>
      </c>
      <c r="C224" s="29">
        <v>45462</v>
      </c>
      <c r="D224" s="28" t="s">
        <v>15</v>
      </c>
      <c r="E224" s="28" t="s">
        <v>35</v>
      </c>
      <c r="F224" s="30">
        <v>1224</v>
      </c>
      <c r="G224" s="30">
        <v>168</v>
      </c>
      <c r="H224" s="30">
        <v>199</v>
      </c>
      <c r="I224" s="30">
        <v>54232</v>
      </c>
      <c r="J224" s="30">
        <v>52844</v>
      </c>
      <c r="K224" s="30">
        <v>271</v>
      </c>
      <c r="L224" s="27" t="s">
        <v>45</v>
      </c>
      <c r="M224" s="27"/>
      <c r="N224" s="28" t="s">
        <v>22</v>
      </c>
      <c r="O224" s="43">
        <f t="shared" si="3"/>
        <v>1591</v>
      </c>
    </row>
    <row r="225" spans="1:15" ht="15.75" customHeight="1">
      <c r="A225" s="27" t="s">
        <v>264</v>
      </c>
      <c r="B225" s="28" t="s">
        <v>24</v>
      </c>
      <c r="C225" s="29">
        <v>45636</v>
      </c>
      <c r="D225" s="28" t="s">
        <v>15</v>
      </c>
      <c r="E225" s="28" t="s">
        <v>49</v>
      </c>
      <c r="F225" s="30">
        <v>4673</v>
      </c>
      <c r="G225" s="30">
        <v>270</v>
      </c>
      <c r="H225" s="30">
        <v>93</v>
      </c>
      <c r="I225" s="30">
        <v>45260</v>
      </c>
      <c r="J225" s="30">
        <v>57513</v>
      </c>
      <c r="K225" s="30">
        <v>103</v>
      </c>
      <c r="L225" s="27" t="s">
        <v>42</v>
      </c>
      <c r="M225" s="27"/>
      <c r="N225" s="28" t="s">
        <v>18</v>
      </c>
      <c r="O225" s="43">
        <f t="shared" si="3"/>
        <v>5036</v>
      </c>
    </row>
    <row r="226" spans="1:15" ht="15.75" customHeight="1">
      <c r="A226" s="27" t="s">
        <v>265</v>
      </c>
      <c r="B226" s="28" t="s">
        <v>31</v>
      </c>
      <c r="C226" s="29">
        <v>45323</v>
      </c>
      <c r="D226" s="28" t="s">
        <v>15</v>
      </c>
      <c r="E226" s="28" t="s">
        <v>29</v>
      </c>
      <c r="F226" s="30">
        <v>1432</v>
      </c>
      <c r="G226" s="30">
        <v>437</v>
      </c>
      <c r="H226" s="30">
        <v>267</v>
      </c>
      <c r="I226" s="30">
        <v>40634</v>
      </c>
      <c r="J226" s="30">
        <v>54511</v>
      </c>
      <c r="K226" s="30">
        <v>197</v>
      </c>
      <c r="L226" s="27" t="s">
        <v>21</v>
      </c>
      <c r="M226" s="27" t="s">
        <v>380</v>
      </c>
      <c r="N226" s="28" t="s">
        <v>22</v>
      </c>
      <c r="O226" s="43">
        <f t="shared" si="3"/>
        <v>2136</v>
      </c>
    </row>
    <row r="227" spans="1:15" ht="15.75" customHeight="1">
      <c r="A227" s="27" t="s">
        <v>266</v>
      </c>
      <c r="B227" s="28" t="s">
        <v>24</v>
      </c>
      <c r="C227" s="29">
        <v>45308</v>
      </c>
      <c r="D227" s="28" t="s">
        <v>25</v>
      </c>
      <c r="E227" s="28" t="s">
        <v>26</v>
      </c>
      <c r="F227" s="30">
        <v>2174</v>
      </c>
      <c r="G227" s="30">
        <v>499</v>
      </c>
      <c r="H227" s="30">
        <v>212</v>
      </c>
      <c r="I227" s="30">
        <v>54938</v>
      </c>
      <c r="J227" s="30">
        <v>27190</v>
      </c>
      <c r="K227" s="30">
        <v>265</v>
      </c>
      <c r="L227" s="27" t="s">
        <v>379</v>
      </c>
      <c r="M227" s="27" t="s">
        <v>42</v>
      </c>
      <c r="N227" s="28" t="s">
        <v>18</v>
      </c>
      <c r="O227" s="43">
        <f t="shared" si="3"/>
        <v>2885</v>
      </c>
    </row>
    <row r="228" spans="1:15" ht="15.75" customHeight="1">
      <c r="A228" s="27" t="s">
        <v>267</v>
      </c>
      <c r="B228" s="28" t="s">
        <v>31</v>
      </c>
      <c r="C228" s="29">
        <v>45738</v>
      </c>
      <c r="D228" s="28" t="s">
        <v>15</v>
      </c>
      <c r="E228" s="28" t="s">
        <v>32</v>
      </c>
      <c r="F228" s="30">
        <v>4308</v>
      </c>
      <c r="G228" s="30">
        <v>171</v>
      </c>
      <c r="H228" s="30">
        <v>106</v>
      </c>
      <c r="I228" s="30">
        <v>36955</v>
      </c>
      <c r="J228" s="30">
        <v>23949</v>
      </c>
      <c r="K228" s="30">
        <v>294</v>
      </c>
      <c r="L228" s="27" t="s">
        <v>21</v>
      </c>
      <c r="M228" s="27" t="s">
        <v>380</v>
      </c>
      <c r="N228" s="28" t="s">
        <v>22</v>
      </c>
      <c r="O228" s="43">
        <f t="shared" si="3"/>
        <v>4585</v>
      </c>
    </row>
    <row r="229" spans="1:15" ht="15.75" customHeight="1">
      <c r="A229" s="27" t="s">
        <v>268</v>
      </c>
      <c r="B229" s="28" t="s">
        <v>31</v>
      </c>
      <c r="C229" s="29">
        <v>45442</v>
      </c>
      <c r="D229" s="28" t="s">
        <v>57</v>
      </c>
      <c r="E229" s="28" t="s">
        <v>35</v>
      </c>
      <c r="F229" s="30">
        <v>1060</v>
      </c>
      <c r="G229" s="30">
        <v>442</v>
      </c>
      <c r="H229" s="30">
        <v>319</v>
      </c>
      <c r="I229" s="30">
        <v>57194</v>
      </c>
      <c r="J229" s="30">
        <v>24258</v>
      </c>
      <c r="K229" s="30">
        <v>101</v>
      </c>
      <c r="L229" s="27" t="s">
        <v>21</v>
      </c>
      <c r="M229" s="27" t="s">
        <v>45</v>
      </c>
      <c r="N229" s="28" t="s">
        <v>59</v>
      </c>
      <c r="O229" s="43">
        <f t="shared" si="3"/>
        <v>1821</v>
      </c>
    </row>
    <row r="230" spans="1:15" ht="15.75" customHeight="1">
      <c r="A230" s="27" t="s">
        <v>269</v>
      </c>
      <c r="B230" s="28" t="s">
        <v>31</v>
      </c>
      <c r="C230" s="29">
        <v>45346</v>
      </c>
      <c r="D230" s="28" t="s">
        <v>15</v>
      </c>
      <c r="E230" s="28" t="s">
        <v>32</v>
      </c>
      <c r="F230" s="30">
        <v>4653</v>
      </c>
      <c r="G230" s="30">
        <v>226</v>
      </c>
      <c r="H230" s="30">
        <v>349</v>
      </c>
      <c r="I230" s="30">
        <v>56876</v>
      </c>
      <c r="J230" s="30">
        <v>28452</v>
      </c>
      <c r="K230" s="30">
        <v>257</v>
      </c>
      <c r="L230" s="27" t="s">
        <v>21</v>
      </c>
      <c r="M230" s="27" t="s">
        <v>380</v>
      </c>
      <c r="N230" s="28" t="s">
        <v>22</v>
      </c>
      <c r="O230" s="43">
        <f t="shared" si="3"/>
        <v>5228</v>
      </c>
    </row>
    <row r="231" spans="1:15" ht="15.75" customHeight="1">
      <c r="A231" s="27" t="s">
        <v>270</v>
      </c>
      <c r="B231" s="28" t="s">
        <v>31</v>
      </c>
      <c r="C231" s="29">
        <v>45791</v>
      </c>
      <c r="D231" s="28" t="s">
        <v>15</v>
      </c>
      <c r="E231" s="28" t="s">
        <v>16</v>
      </c>
      <c r="F231" s="30">
        <v>1701</v>
      </c>
      <c r="G231" s="30">
        <v>272</v>
      </c>
      <c r="H231" s="30">
        <v>385</v>
      </c>
      <c r="I231" s="30">
        <v>47496</v>
      </c>
      <c r="J231" s="30">
        <v>40832</v>
      </c>
      <c r="K231" s="30">
        <v>246</v>
      </c>
      <c r="L231" s="27" t="s">
        <v>21</v>
      </c>
      <c r="M231" s="27" t="s">
        <v>380</v>
      </c>
      <c r="N231" s="28" t="s">
        <v>22</v>
      </c>
      <c r="O231" s="43">
        <f t="shared" si="3"/>
        <v>2358</v>
      </c>
    </row>
    <row r="232" spans="1:15" ht="15.75" customHeight="1">
      <c r="A232" s="27" t="s">
        <v>271</v>
      </c>
      <c r="B232" s="28" t="s">
        <v>14</v>
      </c>
      <c r="C232" s="29">
        <v>45379</v>
      </c>
      <c r="D232" s="28" t="s">
        <v>15</v>
      </c>
      <c r="E232" s="28" t="s">
        <v>35</v>
      </c>
      <c r="F232" s="30">
        <v>1673</v>
      </c>
      <c r="G232" s="30">
        <v>280</v>
      </c>
      <c r="H232" s="30">
        <v>67</v>
      </c>
      <c r="I232" s="30">
        <v>29847</v>
      </c>
      <c r="J232" s="30">
        <v>48016</v>
      </c>
      <c r="K232" s="30">
        <v>213</v>
      </c>
      <c r="L232" s="27" t="s">
        <v>45</v>
      </c>
      <c r="M232" s="27" t="s">
        <v>42</v>
      </c>
      <c r="N232" s="28" t="s">
        <v>18</v>
      </c>
      <c r="O232" s="43">
        <f t="shared" si="3"/>
        <v>2020</v>
      </c>
    </row>
    <row r="233" spans="1:15" ht="15.75" customHeight="1">
      <c r="A233" s="27" t="s">
        <v>272</v>
      </c>
      <c r="B233" s="28" t="s">
        <v>31</v>
      </c>
      <c r="C233" s="29">
        <v>45723</v>
      </c>
      <c r="D233" s="28" t="s">
        <v>15</v>
      </c>
      <c r="E233" s="28" t="s">
        <v>41</v>
      </c>
      <c r="F233" s="30">
        <v>4310</v>
      </c>
      <c r="G233" s="30">
        <v>284</v>
      </c>
      <c r="H233" s="30">
        <v>306</v>
      </c>
      <c r="I233" s="30">
        <v>44606</v>
      </c>
      <c r="J233" s="30">
        <v>42604</v>
      </c>
      <c r="K233" s="30">
        <v>290</v>
      </c>
      <c r="L233" s="27" t="s">
        <v>21</v>
      </c>
      <c r="M233" s="27" t="s">
        <v>380</v>
      </c>
      <c r="N233" s="28" t="s">
        <v>22</v>
      </c>
      <c r="O233" s="43">
        <f t="shared" si="3"/>
        <v>4900</v>
      </c>
    </row>
    <row r="234" spans="1:15" ht="15.75" customHeight="1">
      <c r="A234" s="27" t="s">
        <v>273</v>
      </c>
      <c r="B234" s="28" t="s">
        <v>24</v>
      </c>
      <c r="C234" s="29">
        <v>45585</v>
      </c>
      <c r="D234" s="28" t="s">
        <v>15</v>
      </c>
      <c r="E234" s="28" t="s">
        <v>49</v>
      </c>
      <c r="F234" s="30">
        <v>2752</v>
      </c>
      <c r="G234" s="30">
        <v>309</v>
      </c>
      <c r="H234" s="30">
        <v>91</v>
      </c>
      <c r="I234" s="30">
        <v>39038</v>
      </c>
      <c r="J234" s="30">
        <v>28095</v>
      </c>
      <c r="K234" s="30">
        <v>277</v>
      </c>
      <c r="L234" s="27" t="s">
        <v>42</v>
      </c>
      <c r="M234" s="27"/>
      <c r="N234" s="28" t="s">
        <v>18</v>
      </c>
      <c r="O234" s="43">
        <f t="shared" si="3"/>
        <v>3152</v>
      </c>
    </row>
    <row r="235" spans="1:15" ht="15.75" customHeight="1">
      <c r="A235" s="27" t="s">
        <v>274</v>
      </c>
      <c r="B235" s="28" t="s">
        <v>24</v>
      </c>
      <c r="C235" s="29">
        <v>45324</v>
      </c>
      <c r="D235" s="28" t="s">
        <v>15</v>
      </c>
      <c r="E235" s="28" t="s">
        <v>49</v>
      </c>
      <c r="F235" s="30">
        <v>3818</v>
      </c>
      <c r="G235" s="30">
        <v>115</v>
      </c>
      <c r="H235" s="30">
        <v>286</v>
      </c>
      <c r="I235" s="30">
        <v>25127</v>
      </c>
      <c r="J235" s="30">
        <v>22277</v>
      </c>
      <c r="K235" s="30">
        <v>263</v>
      </c>
      <c r="L235" s="27" t="s">
        <v>42</v>
      </c>
      <c r="M235" s="27"/>
      <c r="N235" s="28" t="s">
        <v>18</v>
      </c>
      <c r="O235" s="43">
        <f t="shared" si="3"/>
        <v>4219</v>
      </c>
    </row>
    <row r="236" spans="1:15" ht="15.75" customHeight="1">
      <c r="A236" s="27" t="s">
        <v>275</v>
      </c>
      <c r="B236" s="28" t="s">
        <v>31</v>
      </c>
      <c r="C236" s="29">
        <v>45542</v>
      </c>
      <c r="D236" s="28" t="s">
        <v>15</v>
      </c>
      <c r="E236" s="28" t="s">
        <v>51</v>
      </c>
      <c r="F236" s="30">
        <v>2101</v>
      </c>
      <c r="G236" s="30">
        <v>411</v>
      </c>
      <c r="H236" s="30">
        <v>190</v>
      </c>
      <c r="I236" s="30">
        <v>41791</v>
      </c>
      <c r="J236" s="30">
        <v>57090</v>
      </c>
      <c r="K236" s="30">
        <v>172</v>
      </c>
      <c r="L236" s="27" t="s">
        <v>21</v>
      </c>
      <c r="M236" s="27" t="s">
        <v>380</v>
      </c>
      <c r="N236" s="28" t="s">
        <v>22</v>
      </c>
      <c r="O236" s="43">
        <f t="shared" si="3"/>
        <v>2702</v>
      </c>
    </row>
    <row r="237" spans="1:15" ht="15.75" customHeight="1">
      <c r="A237" s="27" t="s">
        <v>276</v>
      </c>
      <c r="B237" s="28" t="s">
        <v>14</v>
      </c>
      <c r="C237" s="29">
        <v>45646</v>
      </c>
      <c r="D237" s="28" t="s">
        <v>15</v>
      </c>
      <c r="E237" s="28" t="s">
        <v>16</v>
      </c>
      <c r="F237" s="30">
        <v>2519</v>
      </c>
      <c r="G237" s="30">
        <v>202</v>
      </c>
      <c r="H237" s="30">
        <v>239</v>
      </c>
      <c r="I237" s="30">
        <v>36245</v>
      </c>
      <c r="J237" s="30">
        <v>48606</v>
      </c>
      <c r="K237" s="30">
        <v>145</v>
      </c>
      <c r="L237" s="27" t="s">
        <v>21</v>
      </c>
      <c r="M237" s="27"/>
      <c r="N237" s="28" t="s">
        <v>22</v>
      </c>
      <c r="O237" s="43">
        <f t="shared" si="3"/>
        <v>2960</v>
      </c>
    </row>
    <row r="238" spans="1:15" ht="15.75" customHeight="1">
      <c r="A238" s="27" t="s">
        <v>277</v>
      </c>
      <c r="B238" s="28" t="s">
        <v>31</v>
      </c>
      <c r="C238" s="29">
        <v>45305</v>
      </c>
      <c r="D238" s="28" t="s">
        <v>15</v>
      </c>
      <c r="E238" s="28" t="s">
        <v>35</v>
      </c>
      <c r="F238" s="30">
        <v>4502</v>
      </c>
      <c r="G238" s="30">
        <v>238</v>
      </c>
      <c r="H238" s="30">
        <v>386</v>
      </c>
      <c r="I238" s="30">
        <v>39198</v>
      </c>
      <c r="J238" s="30">
        <v>25050</v>
      </c>
      <c r="K238" s="30">
        <v>297</v>
      </c>
      <c r="L238" s="27" t="s">
        <v>21</v>
      </c>
      <c r="M238" s="27" t="s">
        <v>380</v>
      </c>
      <c r="N238" s="28" t="s">
        <v>22</v>
      </c>
      <c r="O238" s="43">
        <f t="shared" si="3"/>
        <v>5126</v>
      </c>
    </row>
    <row r="239" spans="1:15" ht="15.75" customHeight="1">
      <c r="A239" s="27" t="s">
        <v>278</v>
      </c>
      <c r="B239" s="28" t="s">
        <v>14</v>
      </c>
      <c r="C239" s="29">
        <v>45823</v>
      </c>
      <c r="D239" s="28" t="s">
        <v>15</v>
      </c>
      <c r="E239" s="28" t="s">
        <v>20</v>
      </c>
      <c r="F239" s="30">
        <v>2478</v>
      </c>
      <c r="G239" s="30">
        <v>427</v>
      </c>
      <c r="H239" s="30">
        <v>242</v>
      </c>
      <c r="I239" s="30">
        <v>59272</v>
      </c>
      <c r="J239" s="30">
        <v>37833</v>
      </c>
      <c r="K239" s="30">
        <v>214</v>
      </c>
      <c r="L239" s="27" t="s">
        <v>45</v>
      </c>
      <c r="M239" s="27" t="s">
        <v>42</v>
      </c>
      <c r="N239" s="28" t="s">
        <v>18</v>
      </c>
      <c r="O239" s="43">
        <f t="shared" si="3"/>
        <v>3147</v>
      </c>
    </row>
    <row r="240" spans="1:15" ht="15.75" customHeight="1">
      <c r="A240" s="27" t="s">
        <v>279</v>
      </c>
      <c r="B240" s="28" t="s">
        <v>24</v>
      </c>
      <c r="C240" s="29">
        <v>45639</v>
      </c>
      <c r="D240" s="28" t="s">
        <v>25</v>
      </c>
      <c r="E240" s="28" t="s">
        <v>26</v>
      </c>
      <c r="F240" s="30">
        <v>4984</v>
      </c>
      <c r="G240" s="30">
        <v>300</v>
      </c>
      <c r="H240" s="30">
        <v>338</v>
      </c>
      <c r="I240" s="30">
        <v>32900</v>
      </c>
      <c r="J240" s="30">
        <v>31691</v>
      </c>
      <c r="K240" s="30">
        <v>160</v>
      </c>
      <c r="L240" s="27" t="s">
        <v>379</v>
      </c>
      <c r="M240" s="27" t="s">
        <v>42</v>
      </c>
      <c r="N240" s="28" t="s">
        <v>18</v>
      </c>
      <c r="O240" s="43">
        <f t="shared" si="3"/>
        <v>5622</v>
      </c>
    </row>
    <row r="241" spans="1:15" ht="15.75" customHeight="1">
      <c r="A241" s="27" t="s">
        <v>280</v>
      </c>
      <c r="B241" s="28" t="s">
        <v>31</v>
      </c>
      <c r="C241" s="29">
        <v>45533</v>
      </c>
      <c r="D241" s="28" t="s">
        <v>15</v>
      </c>
      <c r="E241" s="28" t="s">
        <v>29</v>
      </c>
      <c r="F241" s="30">
        <v>4774</v>
      </c>
      <c r="G241" s="30">
        <v>389</v>
      </c>
      <c r="H241" s="30">
        <v>358</v>
      </c>
      <c r="I241" s="30">
        <v>52346</v>
      </c>
      <c r="J241" s="30">
        <v>30518</v>
      </c>
      <c r="K241" s="30">
        <v>277</v>
      </c>
      <c r="L241" s="27" t="s">
        <v>21</v>
      </c>
      <c r="M241" s="27" t="s">
        <v>380</v>
      </c>
      <c r="N241" s="28" t="s">
        <v>22</v>
      </c>
      <c r="O241" s="43">
        <f t="shared" si="3"/>
        <v>5521</v>
      </c>
    </row>
    <row r="242" spans="1:15" ht="15.75" customHeight="1">
      <c r="A242" s="27" t="s">
        <v>281</v>
      </c>
      <c r="B242" s="28" t="s">
        <v>24</v>
      </c>
      <c r="C242" s="29">
        <v>45550</v>
      </c>
      <c r="D242" s="28" t="s">
        <v>15</v>
      </c>
      <c r="E242" s="28" t="s">
        <v>37</v>
      </c>
      <c r="F242" s="30">
        <v>2145</v>
      </c>
      <c r="G242" s="30">
        <v>340</v>
      </c>
      <c r="H242" s="30">
        <v>85</v>
      </c>
      <c r="I242" s="30">
        <v>53323</v>
      </c>
      <c r="J242" s="30">
        <v>49938</v>
      </c>
      <c r="K242" s="30">
        <v>104</v>
      </c>
      <c r="L242" s="27" t="s">
        <v>42</v>
      </c>
      <c r="M242" s="27"/>
      <c r="N242" s="28" t="s">
        <v>18</v>
      </c>
      <c r="O242" s="43">
        <f t="shared" si="3"/>
        <v>2570</v>
      </c>
    </row>
    <row r="243" spans="1:15" ht="15.75" customHeight="1">
      <c r="A243" s="27" t="s">
        <v>282</v>
      </c>
      <c r="B243" s="28" t="s">
        <v>24</v>
      </c>
      <c r="C243" s="29">
        <v>45759</v>
      </c>
      <c r="D243" s="28" t="s">
        <v>25</v>
      </c>
      <c r="E243" s="28" t="s">
        <v>49</v>
      </c>
      <c r="F243" s="30">
        <v>4315</v>
      </c>
      <c r="G243" s="30">
        <v>208</v>
      </c>
      <c r="H243" s="30">
        <v>273</v>
      </c>
      <c r="I243" s="30">
        <v>35780</v>
      </c>
      <c r="J243" s="30">
        <v>44349</v>
      </c>
      <c r="K243" s="30">
        <v>133</v>
      </c>
      <c r="L243" s="27" t="s">
        <v>21</v>
      </c>
      <c r="M243" s="27" t="s">
        <v>379</v>
      </c>
      <c r="N243" s="28" t="s">
        <v>18</v>
      </c>
      <c r="O243" s="43">
        <f t="shared" si="3"/>
        <v>4796</v>
      </c>
    </row>
    <row r="244" spans="1:15" ht="15.75" customHeight="1">
      <c r="A244" s="27" t="s">
        <v>283</v>
      </c>
      <c r="B244" s="28" t="s">
        <v>24</v>
      </c>
      <c r="C244" s="29">
        <v>45636</v>
      </c>
      <c r="D244" s="28" t="s">
        <v>25</v>
      </c>
      <c r="E244" s="28" t="s">
        <v>29</v>
      </c>
      <c r="F244" s="30">
        <v>2267</v>
      </c>
      <c r="G244" s="30">
        <v>230</v>
      </c>
      <c r="H244" s="30">
        <v>243</v>
      </c>
      <c r="I244" s="30">
        <v>27904</v>
      </c>
      <c r="J244" s="30">
        <v>69771</v>
      </c>
      <c r="K244" s="30">
        <v>255</v>
      </c>
      <c r="L244" s="27" t="s">
        <v>21</v>
      </c>
      <c r="M244" s="27" t="s">
        <v>379</v>
      </c>
      <c r="N244" s="28" t="s">
        <v>18</v>
      </c>
      <c r="O244" s="43">
        <f t="shared" si="3"/>
        <v>2740</v>
      </c>
    </row>
    <row r="245" spans="1:15" ht="15.75" customHeight="1">
      <c r="A245" s="27" t="s">
        <v>284</v>
      </c>
      <c r="B245" s="28" t="s">
        <v>31</v>
      </c>
      <c r="C245" s="29">
        <v>45816</v>
      </c>
      <c r="D245" s="28" t="s">
        <v>15</v>
      </c>
      <c r="E245" s="28" t="s">
        <v>32</v>
      </c>
      <c r="F245" s="30">
        <v>4375</v>
      </c>
      <c r="G245" s="30">
        <v>303</v>
      </c>
      <c r="H245" s="30">
        <v>294</v>
      </c>
      <c r="I245" s="30">
        <v>57468</v>
      </c>
      <c r="J245" s="30">
        <v>53397</v>
      </c>
      <c r="K245" s="30">
        <v>159</v>
      </c>
      <c r="L245" s="27" t="s">
        <v>21</v>
      </c>
      <c r="M245" s="27" t="s">
        <v>380</v>
      </c>
      <c r="N245" s="28" t="s">
        <v>22</v>
      </c>
      <c r="O245" s="43">
        <f t="shared" si="3"/>
        <v>4972</v>
      </c>
    </row>
    <row r="246" spans="1:15" ht="15.75" customHeight="1">
      <c r="A246" s="27" t="s">
        <v>285</v>
      </c>
      <c r="B246" s="28" t="s">
        <v>24</v>
      </c>
      <c r="C246" s="29">
        <v>45666</v>
      </c>
      <c r="D246" s="28" t="s">
        <v>25</v>
      </c>
      <c r="E246" s="28" t="s">
        <v>51</v>
      </c>
      <c r="F246" s="30">
        <v>3817</v>
      </c>
      <c r="G246" s="30">
        <v>284</v>
      </c>
      <c r="H246" s="30">
        <v>204</v>
      </c>
      <c r="I246" s="30">
        <v>46434</v>
      </c>
      <c r="J246" s="30">
        <v>53396</v>
      </c>
      <c r="K246" s="30">
        <v>104</v>
      </c>
      <c r="L246" s="27" t="s">
        <v>379</v>
      </c>
      <c r="M246" s="27" t="s">
        <v>42</v>
      </c>
      <c r="N246" s="28" t="s">
        <v>18</v>
      </c>
      <c r="O246" s="43">
        <f t="shared" si="3"/>
        <v>4305</v>
      </c>
    </row>
    <row r="247" spans="1:15" ht="15.75" customHeight="1">
      <c r="A247" s="27" t="s">
        <v>286</v>
      </c>
      <c r="B247" s="28" t="s">
        <v>24</v>
      </c>
      <c r="C247" s="29">
        <v>45481</v>
      </c>
      <c r="D247" s="28" t="s">
        <v>25</v>
      </c>
      <c r="E247" s="28" t="s">
        <v>41</v>
      </c>
      <c r="F247" s="30">
        <v>2981</v>
      </c>
      <c r="G247" s="30">
        <v>258</v>
      </c>
      <c r="H247" s="30">
        <v>168</v>
      </c>
      <c r="I247" s="30">
        <v>20677</v>
      </c>
      <c r="J247" s="30">
        <v>68290</v>
      </c>
      <c r="K247" s="30">
        <v>130</v>
      </c>
      <c r="L247" s="27" t="s">
        <v>45</v>
      </c>
      <c r="M247" s="27" t="s">
        <v>42</v>
      </c>
      <c r="N247" s="28" t="s">
        <v>18</v>
      </c>
      <c r="O247" s="43">
        <f t="shared" si="3"/>
        <v>3407</v>
      </c>
    </row>
    <row r="248" spans="1:15" ht="15.75" customHeight="1">
      <c r="A248" s="27" t="s">
        <v>287</v>
      </c>
      <c r="B248" s="28" t="s">
        <v>24</v>
      </c>
      <c r="C248" s="29">
        <v>45551</v>
      </c>
      <c r="D248" s="28" t="s">
        <v>25</v>
      </c>
      <c r="E248" s="28" t="s">
        <v>51</v>
      </c>
      <c r="F248" s="30">
        <v>3300</v>
      </c>
      <c r="G248" s="30">
        <v>354</v>
      </c>
      <c r="H248" s="30">
        <v>397</v>
      </c>
      <c r="I248" s="30">
        <v>56773</v>
      </c>
      <c r="J248" s="30">
        <v>72110</v>
      </c>
      <c r="K248" s="30">
        <v>163</v>
      </c>
      <c r="L248" s="27" t="s">
        <v>21</v>
      </c>
      <c r="M248" s="27" t="s">
        <v>379</v>
      </c>
      <c r="N248" s="28" t="s">
        <v>18</v>
      </c>
      <c r="O248" s="43">
        <f t="shared" si="3"/>
        <v>4051</v>
      </c>
    </row>
    <row r="249" spans="1:15" ht="15.75" customHeight="1">
      <c r="A249" s="27" t="s">
        <v>288</v>
      </c>
      <c r="B249" s="28" t="s">
        <v>31</v>
      </c>
      <c r="C249" s="29">
        <v>45457</v>
      </c>
      <c r="D249" s="28" t="s">
        <v>57</v>
      </c>
      <c r="E249" s="28" t="s">
        <v>29</v>
      </c>
      <c r="F249" s="30">
        <v>4722</v>
      </c>
      <c r="G249" s="30">
        <v>310</v>
      </c>
      <c r="H249" s="30">
        <v>344</v>
      </c>
      <c r="I249" s="30">
        <v>27911</v>
      </c>
      <c r="J249" s="30">
        <v>19000</v>
      </c>
      <c r="K249" s="30">
        <v>225</v>
      </c>
      <c r="L249" s="27" t="s">
        <v>21</v>
      </c>
      <c r="M249" s="27" t="s">
        <v>45</v>
      </c>
      <c r="N249" s="28" t="s">
        <v>59</v>
      </c>
      <c r="O249" s="43">
        <f t="shared" si="3"/>
        <v>5376</v>
      </c>
    </row>
    <row r="250" spans="1:15" ht="15.75" customHeight="1">
      <c r="A250" s="27" t="s">
        <v>289</v>
      </c>
      <c r="B250" s="28" t="s">
        <v>14</v>
      </c>
      <c r="C250" s="29">
        <v>45357</v>
      </c>
      <c r="D250" s="28" t="s">
        <v>15</v>
      </c>
      <c r="E250" s="28" t="s">
        <v>35</v>
      </c>
      <c r="F250" s="30">
        <v>3529</v>
      </c>
      <c r="G250" s="30">
        <v>263</v>
      </c>
      <c r="H250" s="30">
        <v>107</v>
      </c>
      <c r="I250" s="30">
        <v>26570</v>
      </c>
      <c r="J250" s="30">
        <v>19367</v>
      </c>
      <c r="K250" s="30">
        <v>96</v>
      </c>
      <c r="L250" s="27" t="s">
        <v>21</v>
      </c>
      <c r="M250" s="27"/>
      <c r="N250" s="28" t="s">
        <v>22</v>
      </c>
      <c r="O250" s="43">
        <f t="shared" si="3"/>
        <v>3899</v>
      </c>
    </row>
    <row r="251" spans="1:15" ht="15.75" customHeight="1">
      <c r="A251" s="27" t="s">
        <v>290</v>
      </c>
      <c r="B251" s="28" t="s">
        <v>24</v>
      </c>
      <c r="C251" s="29">
        <v>45792</v>
      </c>
      <c r="D251" s="28" t="s">
        <v>15</v>
      </c>
      <c r="E251" s="28" t="s">
        <v>51</v>
      </c>
      <c r="F251" s="30">
        <v>4782</v>
      </c>
      <c r="G251" s="30">
        <v>210</v>
      </c>
      <c r="H251" s="30">
        <v>311</v>
      </c>
      <c r="I251" s="30">
        <v>29793</v>
      </c>
      <c r="J251" s="30">
        <v>37543</v>
      </c>
      <c r="K251" s="30">
        <v>145</v>
      </c>
      <c r="L251" s="27" t="s">
        <v>42</v>
      </c>
      <c r="M251" s="27"/>
      <c r="N251" s="28" t="s">
        <v>18</v>
      </c>
      <c r="O251" s="43">
        <f t="shared" si="3"/>
        <v>5303</v>
      </c>
    </row>
    <row r="252" spans="1:15" ht="15.75" customHeight="1">
      <c r="A252" s="27" t="s">
        <v>291</v>
      </c>
      <c r="B252" s="28" t="s">
        <v>24</v>
      </c>
      <c r="C252" s="29">
        <v>45480</v>
      </c>
      <c r="D252" s="28" t="s">
        <v>15</v>
      </c>
      <c r="E252" s="28" t="s">
        <v>35</v>
      </c>
      <c r="F252" s="30">
        <v>1848</v>
      </c>
      <c r="G252" s="30">
        <v>417</v>
      </c>
      <c r="H252" s="30">
        <v>294</v>
      </c>
      <c r="I252" s="30">
        <v>57819</v>
      </c>
      <c r="J252" s="30">
        <v>19798</v>
      </c>
      <c r="K252" s="30">
        <v>262</v>
      </c>
      <c r="L252" s="27" t="s">
        <v>45</v>
      </c>
      <c r="M252" s="27"/>
      <c r="N252" s="28" t="s">
        <v>22</v>
      </c>
      <c r="O252" s="43">
        <f t="shared" si="3"/>
        <v>2559</v>
      </c>
    </row>
    <row r="253" spans="1:15" ht="15.75" customHeight="1">
      <c r="A253" s="27" t="s">
        <v>292</v>
      </c>
      <c r="B253" s="28" t="s">
        <v>31</v>
      </c>
      <c r="C253" s="29">
        <v>45591</v>
      </c>
      <c r="D253" s="28" t="s">
        <v>15</v>
      </c>
      <c r="E253" s="28" t="s">
        <v>26</v>
      </c>
      <c r="F253" s="30">
        <v>4676</v>
      </c>
      <c r="G253" s="30">
        <v>211</v>
      </c>
      <c r="H253" s="30">
        <v>55</v>
      </c>
      <c r="I253" s="30">
        <v>45917</v>
      </c>
      <c r="J253" s="30">
        <v>73503</v>
      </c>
      <c r="K253" s="30">
        <v>248</v>
      </c>
      <c r="L253" s="27" t="s">
        <v>21</v>
      </c>
      <c r="M253" s="27" t="s">
        <v>380</v>
      </c>
      <c r="N253" s="28" t="s">
        <v>22</v>
      </c>
      <c r="O253" s="43">
        <f t="shared" si="3"/>
        <v>4942</v>
      </c>
    </row>
    <row r="254" spans="1:15" ht="15.75" customHeight="1">
      <c r="A254" s="27" t="s">
        <v>293</v>
      </c>
      <c r="B254" s="28" t="s">
        <v>31</v>
      </c>
      <c r="C254" s="29">
        <v>45512</v>
      </c>
      <c r="D254" s="28" t="s">
        <v>15</v>
      </c>
      <c r="E254" s="28" t="s">
        <v>49</v>
      </c>
      <c r="F254" s="30">
        <v>1994</v>
      </c>
      <c r="G254" s="30">
        <v>197</v>
      </c>
      <c r="H254" s="30">
        <v>290</v>
      </c>
      <c r="I254" s="30">
        <v>49500</v>
      </c>
      <c r="J254" s="30">
        <v>23343</v>
      </c>
      <c r="K254" s="30">
        <v>160</v>
      </c>
      <c r="L254" s="27" t="s">
        <v>21</v>
      </c>
      <c r="M254" s="27" t="s">
        <v>380</v>
      </c>
      <c r="N254" s="28" t="s">
        <v>22</v>
      </c>
      <c r="O254" s="43">
        <f t="shared" si="3"/>
        <v>2481</v>
      </c>
    </row>
    <row r="255" spans="1:15" ht="15.75" customHeight="1">
      <c r="A255" s="27" t="s">
        <v>294</v>
      </c>
      <c r="B255" s="28" t="s">
        <v>24</v>
      </c>
      <c r="C255" s="29">
        <v>45691</v>
      </c>
      <c r="D255" s="28" t="s">
        <v>15</v>
      </c>
      <c r="E255" s="28" t="s">
        <v>35</v>
      </c>
      <c r="F255" s="30">
        <v>4995</v>
      </c>
      <c r="G255" s="30">
        <v>231</v>
      </c>
      <c r="H255" s="30">
        <v>94</v>
      </c>
      <c r="I255" s="30">
        <v>34431</v>
      </c>
      <c r="J255" s="30">
        <v>32560</v>
      </c>
      <c r="K255" s="30">
        <v>262</v>
      </c>
      <c r="L255" s="27" t="s">
        <v>42</v>
      </c>
      <c r="M255" s="27"/>
      <c r="N255" s="28" t="s">
        <v>18</v>
      </c>
      <c r="O255" s="43">
        <f t="shared" si="3"/>
        <v>5320</v>
      </c>
    </row>
    <row r="256" spans="1:15" ht="15.75" customHeight="1">
      <c r="A256" s="27" t="s">
        <v>295</v>
      </c>
      <c r="B256" s="28" t="s">
        <v>24</v>
      </c>
      <c r="C256" s="29">
        <v>45385</v>
      </c>
      <c r="D256" s="28" t="s">
        <v>25</v>
      </c>
      <c r="E256" s="28" t="s">
        <v>41</v>
      </c>
      <c r="F256" s="30">
        <v>2291</v>
      </c>
      <c r="G256" s="30">
        <v>146</v>
      </c>
      <c r="H256" s="30">
        <v>399</v>
      </c>
      <c r="I256" s="30">
        <v>49319</v>
      </c>
      <c r="J256" s="30">
        <v>28056</v>
      </c>
      <c r="K256" s="30">
        <v>90</v>
      </c>
      <c r="L256" s="27" t="s">
        <v>21</v>
      </c>
      <c r="M256" s="27" t="s">
        <v>379</v>
      </c>
      <c r="N256" s="28" t="s">
        <v>18</v>
      </c>
      <c r="O256" s="43">
        <f t="shared" si="3"/>
        <v>2836</v>
      </c>
    </row>
    <row r="257" spans="1:15" ht="15.75" customHeight="1">
      <c r="A257" s="27" t="s">
        <v>296</v>
      </c>
      <c r="B257" s="28" t="s">
        <v>24</v>
      </c>
      <c r="C257" s="29">
        <v>45481</v>
      </c>
      <c r="D257" s="28" t="s">
        <v>25</v>
      </c>
      <c r="E257" s="28" t="s">
        <v>29</v>
      </c>
      <c r="F257" s="30">
        <v>2304</v>
      </c>
      <c r="G257" s="30">
        <v>289</v>
      </c>
      <c r="H257" s="30">
        <v>161</v>
      </c>
      <c r="I257" s="30">
        <v>52645</v>
      </c>
      <c r="J257" s="30">
        <v>66262</v>
      </c>
      <c r="K257" s="30">
        <v>146</v>
      </c>
      <c r="L257" s="27" t="s">
        <v>379</v>
      </c>
      <c r="M257" s="27" t="s">
        <v>42</v>
      </c>
      <c r="N257" s="28" t="s">
        <v>18</v>
      </c>
      <c r="O257" s="43">
        <f t="shared" si="3"/>
        <v>2754</v>
      </c>
    </row>
    <row r="258" spans="1:15" ht="15.75" customHeight="1">
      <c r="A258" s="27" t="s">
        <v>297</v>
      </c>
      <c r="B258" s="28" t="s">
        <v>24</v>
      </c>
      <c r="C258" s="29">
        <v>45451</v>
      </c>
      <c r="D258" s="28" t="s">
        <v>25</v>
      </c>
      <c r="E258" s="28" t="s">
        <v>41</v>
      </c>
      <c r="F258" s="30">
        <v>3413</v>
      </c>
      <c r="G258" s="30">
        <v>326</v>
      </c>
      <c r="H258" s="30">
        <v>86</v>
      </c>
      <c r="I258" s="30">
        <v>44680</v>
      </c>
      <c r="J258" s="30">
        <v>52719</v>
      </c>
      <c r="K258" s="30">
        <v>272</v>
      </c>
      <c r="L258" s="27" t="s">
        <v>21</v>
      </c>
      <c r="M258" s="27" t="s">
        <v>379</v>
      </c>
      <c r="N258" s="28" t="s">
        <v>18</v>
      </c>
      <c r="O258" s="43">
        <f t="shared" si="3"/>
        <v>3825</v>
      </c>
    </row>
    <row r="259" spans="1:15" ht="15.75" customHeight="1">
      <c r="A259" s="27" t="s">
        <v>298</v>
      </c>
      <c r="B259" s="28" t="s">
        <v>31</v>
      </c>
      <c r="C259" s="29">
        <v>45736</v>
      </c>
      <c r="D259" s="28" t="s">
        <v>57</v>
      </c>
      <c r="E259" s="28" t="s">
        <v>49</v>
      </c>
      <c r="F259" s="30">
        <v>1453</v>
      </c>
      <c r="G259" s="30">
        <v>156</v>
      </c>
      <c r="H259" s="30">
        <v>178</v>
      </c>
      <c r="I259" s="30">
        <v>52980</v>
      </c>
      <c r="J259" s="30">
        <v>57180</v>
      </c>
      <c r="K259" s="30">
        <v>286</v>
      </c>
      <c r="L259" s="27" t="s">
        <v>21</v>
      </c>
      <c r="M259" s="27" t="s">
        <v>45</v>
      </c>
      <c r="N259" s="28" t="s">
        <v>59</v>
      </c>
      <c r="O259" s="43">
        <f t="shared" ref="O259:O301" si="4">F259+G259+H259</f>
        <v>1787</v>
      </c>
    </row>
    <row r="260" spans="1:15" ht="15.75" customHeight="1">
      <c r="A260" s="27" t="s">
        <v>299</v>
      </c>
      <c r="B260" s="28" t="s">
        <v>24</v>
      </c>
      <c r="C260" s="29">
        <v>45676</v>
      </c>
      <c r="D260" s="28" t="s">
        <v>25</v>
      </c>
      <c r="E260" s="28" t="s">
        <v>32</v>
      </c>
      <c r="F260" s="30">
        <v>1651</v>
      </c>
      <c r="G260" s="30">
        <v>480</v>
      </c>
      <c r="H260" s="30">
        <v>282</v>
      </c>
      <c r="I260" s="30">
        <v>32140</v>
      </c>
      <c r="J260" s="30">
        <v>70560</v>
      </c>
      <c r="K260" s="30">
        <v>138</v>
      </c>
      <c r="L260" s="27" t="s">
        <v>45</v>
      </c>
      <c r="M260" s="27" t="s">
        <v>42</v>
      </c>
      <c r="N260" s="28" t="s">
        <v>18</v>
      </c>
      <c r="O260" s="43">
        <f t="shared" si="4"/>
        <v>2413</v>
      </c>
    </row>
    <row r="261" spans="1:15" ht="15.75" customHeight="1">
      <c r="A261" s="27" t="s">
        <v>300</v>
      </c>
      <c r="B261" s="28" t="s">
        <v>24</v>
      </c>
      <c r="C261" s="29">
        <v>45662</v>
      </c>
      <c r="D261" s="28" t="s">
        <v>25</v>
      </c>
      <c r="E261" s="28" t="s">
        <v>20</v>
      </c>
      <c r="F261" s="30">
        <v>3341</v>
      </c>
      <c r="G261" s="30">
        <v>154</v>
      </c>
      <c r="H261" s="30">
        <v>123</v>
      </c>
      <c r="I261" s="30">
        <v>43369</v>
      </c>
      <c r="J261" s="30">
        <v>49035</v>
      </c>
      <c r="K261" s="30">
        <v>128</v>
      </c>
      <c r="L261" s="27" t="s">
        <v>379</v>
      </c>
      <c r="M261" s="27" t="s">
        <v>42</v>
      </c>
      <c r="N261" s="28" t="s">
        <v>18</v>
      </c>
      <c r="O261" s="43">
        <f t="shared" si="4"/>
        <v>3618</v>
      </c>
    </row>
    <row r="262" spans="1:15" ht="15.75" customHeight="1">
      <c r="A262" s="27" t="s">
        <v>301</v>
      </c>
      <c r="B262" s="28" t="s">
        <v>24</v>
      </c>
      <c r="C262" s="29">
        <v>45612</v>
      </c>
      <c r="D262" s="28" t="s">
        <v>15</v>
      </c>
      <c r="E262" s="28" t="s">
        <v>49</v>
      </c>
      <c r="F262" s="30">
        <v>2972</v>
      </c>
      <c r="G262" s="30">
        <v>263</v>
      </c>
      <c r="H262" s="30">
        <v>308</v>
      </c>
      <c r="I262" s="30">
        <v>51740</v>
      </c>
      <c r="J262" s="30">
        <v>28214</v>
      </c>
      <c r="K262" s="30">
        <v>190</v>
      </c>
      <c r="L262" s="27" t="s">
        <v>45</v>
      </c>
      <c r="M262" s="27"/>
      <c r="N262" s="28" t="s">
        <v>22</v>
      </c>
      <c r="O262" s="43">
        <f t="shared" si="4"/>
        <v>3543</v>
      </c>
    </row>
    <row r="263" spans="1:15" ht="15.75" customHeight="1">
      <c r="A263" s="27" t="s">
        <v>302</v>
      </c>
      <c r="B263" s="28" t="s">
        <v>24</v>
      </c>
      <c r="C263" s="29">
        <v>45626</v>
      </c>
      <c r="D263" s="28" t="s">
        <v>25</v>
      </c>
      <c r="E263" s="28" t="s">
        <v>20</v>
      </c>
      <c r="F263" s="30">
        <v>4963</v>
      </c>
      <c r="G263" s="30">
        <v>255</v>
      </c>
      <c r="H263" s="30">
        <v>193</v>
      </c>
      <c r="I263" s="30">
        <v>44386</v>
      </c>
      <c r="J263" s="30">
        <v>28415</v>
      </c>
      <c r="K263" s="30">
        <v>174</v>
      </c>
      <c r="L263" s="27" t="s">
        <v>379</v>
      </c>
      <c r="M263" s="27" t="s">
        <v>42</v>
      </c>
      <c r="N263" s="28" t="s">
        <v>18</v>
      </c>
      <c r="O263" s="43">
        <f t="shared" si="4"/>
        <v>5411</v>
      </c>
    </row>
    <row r="264" spans="1:15" ht="15.75" customHeight="1">
      <c r="A264" s="27" t="s">
        <v>303</v>
      </c>
      <c r="B264" s="28" t="s">
        <v>31</v>
      </c>
      <c r="C264" s="29">
        <v>45378</v>
      </c>
      <c r="D264" s="28" t="s">
        <v>15</v>
      </c>
      <c r="E264" s="28" t="s">
        <v>32</v>
      </c>
      <c r="F264" s="30">
        <v>2399</v>
      </c>
      <c r="G264" s="30">
        <v>191</v>
      </c>
      <c r="H264" s="30">
        <v>221</v>
      </c>
      <c r="I264" s="30">
        <v>51603</v>
      </c>
      <c r="J264" s="30">
        <v>40033</v>
      </c>
      <c r="K264" s="30">
        <v>173</v>
      </c>
      <c r="L264" s="27" t="s">
        <v>21</v>
      </c>
      <c r="M264" s="27" t="s">
        <v>380</v>
      </c>
      <c r="N264" s="28" t="s">
        <v>22</v>
      </c>
      <c r="O264" s="43">
        <f t="shared" si="4"/>
        <v>2811</v>
      </c>
    </row>
    <row r="265" spans="1:15" ht="15.75" customHeight="1">
      <c r="A265" s="27" t="s">
        <v>304</v>
      </c>
      <c r="B265" s="28" t="s">
        <v>31</v>
      </c>
      <c r="C265" s="29">
        <v>45808</v>
      </c>
      <c r="D265" s="28" t="s">
        <v>57</v>
      </c>
      <c r="E265" s="28" t="s">
        <v>37</v>
      </c>
      <c r="F265" s="30">
        <v>2162</v>
      </c>
      <c r="G265" s="30">
        <v>318</v>
      </c>
      <c r="H265" s="30">
        <v>83</v>
      </c>
      <c r="I265" s="30">
        <v>46719</v>
      </c>
      <c r="J265" s="30">
        <v>20482</v>
      </c>
      <c r="K265" s="30">
        <v>185</v>
      </c>
      <c r="L265" s="27" t="s">
        <v>21</v>
      </c>
      <c r="M265" s="27" t="s">
        <v>45</v>
      </c>
      <c r="N265" s="28" t="s">
        <v>59</v>
      </c>
      <c r="O265" s="43">
        <f t="shared" si="4"/>
        <v>2563</v>
      </c>
    </row>
    <row r="266" spans="1:15" ht="15.75" customHeight="1">
      <c r="A266" s="27" t="s">
        <v>305</v>
      </c>
      <c r="B266" s="28" t="s">
        <v>24</v>
      </c>
      <c r="C266" s="29">
        <v>45825</v>
      </c>
      <c r="D266" s="28" t="s">
        <v>25</v>
      </c>
      <c r="E266" s="28" t="s">
        <v>20</v>
      </c>
      <c r="F266" s="30">
        <v>4341</v>
      </c>
      <c r="G266" s="30">
        <v>141</v>
      </c>
      <c r="H266" s="30">
        <v>63</v>
      </c>
      <c r="I266" s="30">
        <v>50081</v>
      </c>
      <c r="J266" s="30">
        <v>27507</v>
      </c>
      <c r="K266" s="30">
        <v>221</v>
      </c>
      <c r="L266" s="27" t="s">
        <v>21</v>
      </c>
      <c r="M266" s="27" t="s">
        <v>379</v>
      </c>
      <c r="N266" s="28" t="s">
        <v>18</v>
      </c>
      <c r="O266" s="43">
        <f t="shared" si="4"/>
        <v>4545</v>
      </c>
    </row>
    <row r="267" spans="1:15" ht="15.75" customHeight="1">
      <c r="A267" s="27" t="s">
        <v>306</v>
      </c>
      <c r="B267" s="28" t="s">
        <v>14</v>
      </c>
      <c r="C267" s="29">
        <v>45442</v>
      </c>
      <c r="D267" s="28" t="s">
        <v>25</v>
      </c>
      <c r="E267" s="28" t="s">
        <v>37</v>
      </c>
      <c r="F267" s="30">
        <v>2448</v>
      </c>
      <c r="G267" s="30">
        <v>464</v>
      </c>
      <c r="H267" s="30">
        <v>98</v>
      </c>
      <c r="I267" s="30">
        <v>25737</v>
      </c>
      <c r="J267" s="30">
        <v>48545</v>
      </c>
      <c r="K267" s="30">
        <v>246</v>
      </c>
      <c r="L267" s="27" t="s">
        <v>42</v>
      </c>
      <c r="M267" s="27"/>
      <c r="N267" s="28" t="s">
        <v>55</v>
      </c>
      <c r="O267" s="43">
        <f t="shared" si="4"/>
        <v>3010</v>
      </c>
    </row>
    <row r="268" spans="1:15" ht="15.75" customHeight="1">
      <c r="A268" s="27" t="s">
        <v>307</v>
      </c>
      <c r="B268" s="28" t="s">
        <v>31</v>
      </c>
      <c r="C268" s="29">
        <v>45604</v>
      </c>
      <c r="D268" s="28" t="s">
        <v>15</v>
      </c>
      <c r="E268" s="28" t="s">
        <v>41</v>
      </c>
      <c r="F268" s="30">
        <v>2471</v>
      </c>
      <c r="G268" s="30">
        <v>166</v>
      </c>
      <c r="H268" s="30">
        <v>320</v>
      </c>
      <c r="I268" s="30">
        <v>48254</v>
      </c>
      <c r="J268" s="30">
        <v>46900</v>
      </c>
      <c r="K268" s="30">
        <v>111</v>
      </c>
      <c r="L268" s="27" t="s">
        <v>21</v>
      </c>
      <c r="M268" s="27" t="s">
        <v>380</v>
      </c>
      <c r="N268" s="28" t="s">
        <v>22</v>
      </c>
      <c r="O268" s="43">
        <f t="shared" si="4"/>
        <v>2957</v>
      </c>
    </row>
    <row r="269" spans="1:15" ht="15.75" customHeight="1">
      <c r="A269" s="27" t="s">
        <v>308</v>
      </c>
      <c r="B269" s="28" t="s">
        <v>31</v>
      </c>
      <c r="C269" s="29">
        <v>45368</v>
      </c>
      <c r="D269" s="28" t="s">
        <v>57</v>
      </c>
      <c r="E269" s="28" t="s">
        <v>20</v>
      </c>
      <c r="F269" s="30">
        <v>2692</v>
      </c>
      <c r="G269" s="30">
        <v>446</v>
      </c>
      <c r="H269" s="30">
        <v>216</v>
      </c>
      <c r="I269" s="30">
        <v>45818</v>
      </c>
      <c r="J269" s="30">
        <v>62723</v>
      </c>
      <c r="K269" s="30">
        <v>85</v>
      </c>
      <c r="L269" s="27" t="s">
        <v>21</v>
      </c>
      <c r="M269" s="27" t="s">
        <v>45</v>
      </c>
      <c r="N269" s="28" t="s">
        <v>59</v>
      </c>
      <c r="O269" s="43">
        <f t="shared" si="4"/>
        <v>3354</v>
      </c>
    </row>
    <row r="270" spans="1:15" ht="15.75" customHeight="1">
      <c r="A270" s="27" t="s">
        <v>309</v>
      </c>
      <c r="B270" s="28" t="s">
        <v>31</v>
      </c>
      <c r="C270" s="29">
        <v>45464</v>
      </c>
      <c r="D270" s="28" t="s">
        <v>57</v>
      </c>
      <c r="E270" s="28" t="s">
        <v>32</v>
      </c>
      <c r="F270" s="30">
        <v>4621</v>
      </c>
      <c r="G270" s="30">
        <v>374</v>
      </c>
      <c r="H270" s="30">
        <v>298</v>
      </c>
      <c r="I270" s="30">
        <v>56979</v>
      </c>
      <c r="J270" s="30">
        <v>24098</v>
      </c>
      <c r="K270" s="30">
        <v>205</v>
      </c>
      <c r="L270" s="27" t="s">
        <v>21</v>
      </c>
      <c r="M270" s="27" t="s">
        <v>45</v>
      </c>
      <c r="N270" s="28" t="s">
        <v>59</v>
      </c>
      <c r="O270" s="43">
        <f t="shared" si="4"/>
        <v>5293</v>
      </c>
    </row>
    <row r="271" spans="1:15" ht="15.75" customHeight="1">
      <c r="A271" s="27" t="s">
        <v>310</v>
      </c>
      <c r="B271" s="28" t="s">
        <v>24</v>
      </c>
      <c r="C271" s="29">
        <v>45609</v>
      </c>
      <c r="D271" s="28" t="s">
        <v>25</v>
      </c>
      <c r="E271" s="28" t="s">
        <v>26</v>
      </c>
      <c r="F271" s="30">
        <v>1409</v>
      </c>
      <c r="G271" s="30">
        <v>466</v>
      </c>
      <c r="H271" s="30">
        <v>105</v>
      </c>
      <c r="I271" s="30">
        <v>58923</v>
      </c>
      <c r="J271" s="30">
        <v>38753</v>
      </c>
      <c r="K271" s="30">
        <v>265</v>
      </c>
      <c r="L271" s="27" t="s">
        <v>21</v>
      </c>
      <c r="M271" s="27" t="s">
        <v>379</v>
      </c>
      <c r="N271" s="28" t="s">
        <v>18</v>
      </c>
      <c r="O271" s="43">
        <f t="shared" si="4"/>
        <v>1980</v>
      </c>
    </row>
    <row r="272" spans="1:15" ht="15.75" customHeight="1">
      <c r="A272" s="27" t="s">
        <v>311</v>
      </c>
      <c r="B272" s="28" t="s">
        <v>24</v>
      </c>
      <c r="C272" s="29">
        <v>45693</v>
      </c>
      <c r="D272" s="28" t="s">
        <v>25</v>
      </c>
      <c r="E272" s="28" t="s">
        <v>16</v>
      </c>
      <c r="F272" s="30">
        <v>3029</v>
      </c>
      <c r="G272" s="30">
        <v>440</v>
      </c>
      <c r="H272" s="30">
        <v>66</v>
      </c>
      <c r="I272" s="30">
        <v>23815</v>
      </c>
      <c r="J272" s="30">
        <v>47895</v>
      </c>
      <c r="K272" s="30">
        <v>210</v>
      </c>
      <c r="L272" s="27" t="s">
        <v>21</v>
      </c>
      <c r="M272" s="27" t="s">
        <v>379</v>
      </c>
      <c r="N272" s="28" t="s">
        <v>18</v>
      </c>
      <c r="O272" s="43">
        <f t="shared" si="4"/>
        <v>3535</v>
      </c>
    </row>
    <row r="273" spans="1:15" ht="15.75" customHeight="1">
      <c r="A273" s="27" t="s">
        <v>312</v>
      </c>
      <c r="B273" s="28" t="s">
        <v>24</v>
      </c>
      <c r="C273" s="29">
        <v>45603</v>
      </c>
      <c r="D273" s="28" t="s">
        <v>15</v>
      </c>
      <c r="E273" s="28" t="s">
        <v>20</v>
      </c>
      <c r="F273" s="30">
        <v>2229</v>
      </c>
      <c r="G273" s="30">
        <v>395</v>
      </c>
      <c r="H273" s="30">
        <v>328</v>
      </c>
      <c r="I273" s="30">
        <v>56921</v>
      </c>
      <c r="J273" s="30">
        <v>37176</v>
      </c>
      <c r="K273" s="30">
        <v>126</v>
      </c>
      <c r="L273" s="27" t="s">
        <v>45</v>
      </c>
      <c r="M273" s="27"/>
      <c r="N273" s="28" t="s">
        <v>22</v>
      </c>
      <c r="O273" s="43">
        <f t="shared" si="4"/>
        <v>2952</v>
      </c>
    </row>
    <row r="274" spans="1:15" ht="15.75" customHeight="1">
      <c r="A274" s="27" t="s">
        <v>313</v>
      </c>
      <c r="B274" s="28" t="s">
        <v>24</v>
      </c>
      <c r="C274" s="29">
        <v>45334</v>
      </c>
      <c r="D274" s="28" t="s">
        <v>15</v>
      </c>
      <c r="E274" s="28" t="s">
        <v>20</v>
      </c>
      <c r="F274" s="30">
        <v>2691</v>
      </c>
      <c r="G274" s="30">
        <v>486</v>
      </c>
      <c r="H274" s="30">
        <v>206</v>
      </c>
      <c r="I274" s="30">
        <v>51133</v>
      </c>
      <c r="J274" s="30">
        <v>44583</v>
      </c>
      <c r="K274" s="30">
        <v>276</v>
      </c>
      <c r="L274" s="27" t="s">
        <v>42</v>
      </c>
      <c r="M274" s="27"/>
      <c r="N274" s="28" t="s">
        <v>18</v>
      </c>
      <c r="O274" s="43">
        <f t="shared" si="4"/>
        <v>3383</v>
      </c>
    </row>
    <row r="275" spans="1:15" ht="15.75" customHeight="1">
      <c r="A275" s="27" t="s">
        <v>314</v>
      </c>
      <c r="B275" s="28" t="s">
        <v>14</v>
      </c>
      <c r="C275" s="29">
        <v>45573</v>
      </c>
      <c r="D275" s="28" t="s">
        <v>15</v>
      </c>
      <c r="E275" s="28" t="s">
        <v>20</v>
      </c>
      <c r="F275" s="30">
        <v>2110</v>
      </c>
      <c r="G275" s="30">
        <v>384</v>
      </c>
      <c r="H275" s="30">
        <v>236</v>
      </c>
      <c r="I275" s="30">
        <v>49965</v>
      </c>
      <c r="J275" s="30">
        <v>61555</v>
      </c>
      <c r="K275" s="30">
        <v>195</v>
      </c>
      <c r="L275" s="27" t="s">
        <v>21</v>
      </c>
      <c r="M275" s="27"/>
      <c r="N275" s="28" t="s">
        <v>22</v>
      </c>
      <c r="O275" s="43">
        <f t="shared" si="4"/>
        <v>2730</v>
      </c>
    </row>
    <row r="276" spans="1:15" ht="15.75" customHeight="1">
      <c r="A276" s="27" t="s">
        <v>315</v>
      </c>
      <c r="B276" s="28" t="s">
        <v>14</v>
      </c>
      <c r="C276" s="29">
        <v>45341</v>
      </c>
      <c r="D276" s="28" t="s">
        <v>15</v>
      </c>
      <c r="E276" s="28" t="s">
        <v>29</v>
      </c>
      <c r="F276" s="30">
        <v>4752</v>
      </c>
      <c r="G276" s="30">
        <v>449</v>
      </c>
      <c r="H276" s="30">
        <v>309</v>
      </c>
      <c r="I276" s="30">
        <v>58530</v>
      </c>
      <c r="J276" s="30">
        <v>26630</v>
      </c>
      <c r="K276" s="30">
        <v>234</v>
      </c>
      <c r="L276" s="27" t="s">
        <v>21</v>
      </c>
      <c r="M276" s="27"/>
      <c r="N276" s="28" t="s">
        <v>22</v>
      </c>
      <c r="O276" s="43">
        <f t="shared" si="4"/>
        <v>5510</v>
      </c>
    </row>
    <row r="277" spans="1:15" ht="15.75" customHeight="1">
      <c r="A277" s="27" t="s">
        <v>316</v>
      </c>
      <c r="B277" s="28" t="s">
        <v>24</v>
      </c>
      <c r="C277" s="29">
        <v>45720</v>
      </c>
      <c r="D277" s="28" t="s">
        <v>15</v>
      </c>
      <c r="E277" s="28" t="s">
        <v>16</v>
      </c>
      <c r="F277" s="30">
        <v>2177</v>
      </c>
      <c r="G277" s="30">
        <v>258</v>
      </c>
      <c r="H277" s="30">
        <v>292</v>
      </c>
      <c r="I277" s="30">
        <v>47276</v>
      </c>
      <c r="J277" s="30">
        <v>51324</v>
      </c>
      <c r="K277" s="30">
        <v>143</v>
      </c>
      <c r="L277" s="27" t="s">
        <v>42</v>
      </c>
      <c r="M277" s="27"/>
      <c r="N277" s="28" t="s">
        <v>18</v>
      </c>
      <c r="O277" s="43">
        <f t="shared" si="4"/>
        <v>2727</v>
      </c>
    </row>
    <row r="278" spans="1:15" ht="15.75" customHeight="1">
      <c r="A278" s="27" t="s">
        <v>317</v>
      </c>
      <c r="B278" s="28" t="s">
        <v>14</v>
      </c>
      <c r="C278" s="29">
        <v>45691</v>
      </c>
      <c r="D278" s="28" t="s">
        <v>25</v>
      </c>
      <c r="E278" s="28" t="s">
        <v>26</v>
      </c>
      <c r="F278" s="30">
        <v>1205</v>
      </c>
      <c r="G278" s="30">
        <v>486</v>
      </c>
      <c r="H278" s="30">
        <v>269</v>
      </c>
      <c r="I278" s="30">
        <v>23341</v>
      </c>
      <c r="J278" s="30">
        <v>42411</v>
      </c>
      <c r="K278" s="30">
        <v>184</v>
      </c>
      <c r="L278" s="27" t="s">
        <v>42</v>
      </c>
      <c r="M278" s="27"/>
      <c r="N278" s="28" t="s">
        <v>55</v>
      </c>
      <c r="O278" s="43">
        <f t="shared" si="4"/>
        <v>1960</v>
      </c>
    </row>
    <row r="279" spans="1:15" ht="15.75" customHeight="1">
      <c r="A279" s="27" t="s">
        <v>318</v>
      </c>
      <c r="B279" s="28" t="s">
        <v>14</v>
      </c>
      <c r="C279" s="29">
        <v>45628</v>
      </c>
      <c r="D279" s="28" t="s">
        <v>15</v>
      </c>
      <c r="E279" s="28" t="s">
        <v>41</v>
      </c>
      <c r="F279" s="30">
        <v>3194</v>
      </c>
      <c r="G279" s="30">
        <v>292</v>
      </c>
      <c r="H279" s="30">
        <v>245</v>
      </c>
      <c r="I279" s="30">
        <v>56371</v>
      </c>
      <c r="J279" s="30">
        <v>65597</v>
      </c>
      <c r="K279" s="30">
        <v>163</v>
      </c>
      <c r="L279" s="27" t="s">
        <v>45</v>
      </c>
      <c r="M279" s="27" t="s">
        <v>42</v>
      </c>
      <c r="N279" s="28" t="s">
        <v>18</v>
      </c>
      <c r="O279" s="43">
        <f t="shared" si="4"/>
        <v>3731</v>
      </c>
    </row>
    <row r="280" spans="1:15" ht="15.75" customHeight="1">
      <c r="A280" s="27" t="s">
        <v>319</v>
      </c>
      <c r="B280" s="28" t="s">
        <v>24</v>
      </c>
      <c r="C280" s="29">
        <v>45676</v>
      </c>
      <c r="D280" s="28" t="s">
        <v>25</v>
      </c>
      <c r="E280" s="28" t="s">
        <v>26</v>
      </c>
      <c r="F280" s="30">
        <v>3507</v>
      </c>
      <c r="G280" s="30">
        <v>295</v>
      </c>
      <c r="H280" s="30">
        <v>371</v>
      </c>
      <c r="I280" s="30">
        <v>20410</v>
      </c>
      <c r="J280" s="30">
        <v>53965</v>
      </c>
      <c r="K280" s="30">
        <v>212</v>
      </c>
      <c r="L280" s="27" t="s">
        <v>45</v>
      </c>
      <c r="M280" s="27" t="s">
        <v>42</v>
      </c>
      <c r="N280" s="28" t="s">
        <v>18</v>
      </c>
      <c r="O280" s="43">
        <f t="shared" si="4"/>
        <v>4173</v>
      </c>
    </row>
    <row r="281" spans="1:15" ht="15.75" customHeight="1">
      <c r="A281" s="27" t="s">
        <v>320</v>
      </c>
      <c r="B281" s="28" t="s">
        <v>24</v>
      </c>
      <c r="C281" s="29">
        <v>45563</v>
      </c>
      <c r="D281" s="28" t="s">
        <v>25</v>
      </c>
      <c r="E281" s="28" t="s">
        <v>29</v>
      </c>
      <c r="F281" s="30">
        <v>4471</v>
      </c>
      <c r="G281" s="30">
        <v>317</v>
      </c>
      <c r="H281" s="30">
        <v>249</v>
      </c>
      <c r="I281" s="30">
        <v>44862</v>
      </c>
      <c r="J281" s="30">
        <v>33365</v>
      </c>
      <c r="K281" s="30">
        <v>184</v>
      </c>
      <c r="L281" s="27" t="s">
        <v>21</v>
      </c>
      <c r="M281" s="27" t="s">
        <v>379</v>
      </c>
      <c r="N281" s="28" t="s">
        <v>18</v>
      </c>
      <c r="O281" s="43">
        <f t="shared" si="4"/>
        <v>5037</v>
      </c>
    </row>
    <row r="282" spans="1:15" ht="15.75" customHeight="1">
      <c r="A282" s="27" t="s">
        <v>321</v>
      </c>
      <c r="B282" s="28" t="s">
        <v>14</v>
      </c>
      <c r="C282" s="29">
        <v>45298</v>
      </c>
      <c r="D282" s="28" t="s">
        <v>15</v>
      </c>
      <c r="E282" s="28" t="s">
        <v>41</v>
      </c>
      <c r="F282" s="30">
        <v>4931</v>
      </c>
      <c r="G282" s="30">
        <v>469</v>
      </c>
      <c r="H282" s="30">
        <v>193</v>
      </c>
      <c r="I282" s="30">
        <v>56701</v>
      </c>
      <c r="J282" s="30">
        <v>69437</v>
      </c>
      <c r="K282" s="30">
        <v>291</v>
      </c>
      <c r="L282" s="27" t="s">
        <v>45</v>
      </c>
      <c r="M282" s="27" t="s">
        <v>42</v>
      </c>
      <c r="N282" s="28" t="s">
        <v>18</v>
      </c>
      <c r="O282" s="43">
        <f t="shared" si="4"/>
        <v>5593</v>
      </c>
    </row>
    <row r="283" spans="1:15" ht="15.75" customHeight="1">
      <c r="A283" s="27" t="s">
        <v>322</v>
      </c>
      <c r="B283" s="28" t="s">
        <v>24</v>
      </c>
      <c r="C283" s="29">
        <v>45343</v>
      </c>
      <c r="D283" s="28" t="s">
        <v>25</v>
      </c>
      <c r="E283" s="28" t="s">
        <v>37</v>
      </c>
      <c r="F283" s="30">
        <v>2604</v>
      </c>
      <c r="G283" s="30">
        <v>439</v>
      </c>
      <c r="H283" s="30">
        <v>148</v>
      </c>
      <c r="I283" s="30">
        <v>58468</v>
      </c>
      <c r="J283" s="30">
        <v>39629</v>
      </c>
      <c r="K283" s="30">
        <v>163</v>
      </c>
      <c r="L283" s="27" t="s">
        <v>379</v>
      </c>
      <c r="M283" s="27" t="s">
        <v>42</v>
      </c>
      <c r="N283" s="28" t="s">
        <v>18</v>
      </c>
      <c r="O283" s="43">
        <f t="shared" si="4"/>
        <v>3191</v>
      </c>
    </row>
    <row r="284" spans="1:15" ht="15.75" customHeight="1">
      <c r="A284" s="27" t="s">
        <v>323</v>
      </c>
      <c r="B284" s="28" t="s">
        <v>14</v>
      </c>
      <c r="C284" s="29">
        <v>45531</v>
      </c>
      <c r="D284" s="28" t="s">
        <v>15</v>
      </c>
      <c r="E284" s="28" t="s">
        <v>32</v>
      </c>
      <c r="F284" s="30">
        <v>4197</v>
      </c>
      <c r="G284" s="30">
        <v>359</v>
      </c>
      <c r="H284" s="30">
        <v>280</v>
      </c>
      <c r="I284" s="30">
        <v>56048</v>
      </c>
      <c r="J284" s="30">
        <v>70930</v>
      </c>
      <c r="K284" s="30">
        <v>295</v>
      </c>
      <c r="L284" s="27" t="s">
        <v>21</v>
      </c>
      <c r="M284" s="27"/>
      <c r="N284" s="28" t="s">
        <v>22</v>
      </c>
      <c r="O284" s="43">
        <f t="shared" si="4"/>
        <v>4836</v>
      </c>
    </row>
    <row r="285" spans="1:15" ht="15.75" customHeight="1">
      <c r="A285" s="27" t="s">
        <v>324</v>
      </c>
      <c r="B285" s="28" t="s">
        <v>14</v>
      </c>
      <c r="C285" s="29">
        <v>45589</v>
      </c>
      <c r="D285" s="28" t="s">
        <v>25</v>
      </c>
      <c r="E285" s="28" t="s">
        <v>41</v>
      </c>
      <c r="F285" s="30">
        <v>1914</v>
      </c>
      <c r="G285" s="30">
        <v>255</v>
      </c>
      <c r="H285" s="30">
        <v>156</v>
      </c>
      <c r="I285" s="30">
        <v>27660</v>
      </c>
      <c r="J285" s="30">
        <v>47776</v>
      </c>
      <c r="K285" s="30">
        <v>111</v>
      </c>
      <c r="L285" s="27" t="s">
        <v>42</v>
      </c>
      <c r="M285" s="27"/>
      <c r="N285" s="28" t="s">
        <v>55</v>
      </c>
      <c r="O285" s="43">
        <f t="shared" si="4"/>
        <v>2325</v>
      </c>
    </row>
    <row r="286" spans="1:15" ht="15.75" customHeight="1">
      <c r="A286" s="27" t="s">
        <v>325</v>
      </c>
      <c r="B286" s="28" t="s">
        <v>31</v>
      </c>
      <c r="C286" s="29">
        <v>45686</v>
      </c>
      <c r="D286" s="28" t="s">
        <v>15</v>
      </c>
      <c r="E286" s="28" t="s">
        <v>26</v>
      </c>
      <c r="F286" s="30">
        <v>1334</v>
      </c>
      <c r="G286" s="30">
        <v>357</v>
      </c>
      <c r="H286" s="30">
        <v>257</v>
      </c>
      <c r="I286" s="30">
        <v>56910</v>
      </c>
      <c r="J286" s="30">
        <v>70606</v>
      </c>
      <c r="K286" s="30">
        <v>228</v>
      </c>
      <c r="L286" s="27" t="s">
        <v>21</v>
      </c>
      <c r="M286" s="27" t="s">
        <v>380</v>
      </c>
      <c r="N286" s="28" t="s">
        <v>22</v>
      </c>
      <c r="O286" s="43">
        <f t="shared" si="4"/>
        <v>1948</v>
      </c>
    </row>
    <row r="287" spans="1:15" ht="15.75" customHeight="1">
      <c r="A287" s="27" t="s">
        <v>326</v>
      </c>
      <c r="B287" s="28" t="s">
        <v>14</v>
      </c>
      <c r="C287" s="29">
        <v>45413</v>
      </c>
      <c r="D287" s="28" t="s">
        <v>15</v>
      </c>
      <c r="E287" s="28" t="s">
        <v>37</v>
      </c>
      <c r="F287" s="30">
        <v>3359</v>
      </c>
      <c r="G287" s="30">
        <v>137</v>
      </c>
      <c r="H287" s="30">
        <v>387</v>
      </c>
      <c r="I287" s="30">
        <v>33861</v>
      </c>
      <c r="J287" s="30">
        <v>47257</v>
      </c>
      <c r="K287" s="30">
        <v>198</v>
      </c>
      <c r="L287" s="27" t="s">
        <v>21</v>
      </c>
      <c r="M287" s="27"/>
      <c r="N287" s="28" t="s">
        <v>22</v>
      </c>
      <c r="O287" s="43">
        <f t="shared" si="4"/>
        <v>3883</v>
      </c>
    </row>
    <row r="288" spans="1:15" ht="15.75" customHeight="1">
      <c r="A288" s="27" t="s">
        <v>327</v>
      </c>
      <c r="B288" s="28" t="s">
        <v>31</v>
      </c>
      <c r="C288" s="29">
        <v>45468</v>
      </c>
      <c r="D288" s="28" t="s">
        <v>15</v>
      </c>
      <c r="E288" s="28" t="s">
        <v>51</v>
      </c>
      <c r="F288" s="30">
        <v>2172</v>
      </c>
      <c r="G288" s="30">
        <v>338</v>
      </c>
      <c r="H288" s="30">
        <v>70</v>
      </c>
      <c r="I288" s="30">
        <v>30515</v>
      </c>
      <c r="J288" s="30">
        <v>57853</v>
      </c>
      <c r="K288" s="30">
        <v>156</v>
      </c>
      <c r="L288" s="27" t="s">
        <v>21</v>
      </c>
      <c r="M288" s="27" t="s">
        <v>380</v>
      </c>
      <c r="N288" s="28" t="s">
        <v>22</v>
      </c>
      <c r="O288" s="43">
        <f t="shared" si="4"/>
        <v>2580</v>
      </c>
    </row>
    <row r="289" spans="1:15" ht="15.75" customHeight="1">
      <c r="A289" s="27" t="s">
        <v>328</v>
      </c>
      <c r="B289" s="28" t="s">
        <v>24</v>
      </c>
      <c r="C289" s="29">
        <v>45513</v>
      </c>
      <c r="D289" s="28" t="s">
        <v>25</v>
      </c>
      <c r="E289" s="28" t="s">
        <v>49</v>
      </c>
      <c r="F289" s="30">
        <v>4877</v>
      </c>
      <c r="G289" s="30">
        <v>442</v>
      </c>
      <c r="H289" s="30">
        <v>236</v>
      </c>
      <c r="I289" s="30">
        <v>52673</v>
      </c>
      <c r="J289" s="30">
        <v>48241</v>
      </c>
      <c r="K289" s="30">
        <v>114</v>
      </c>
      <c r="L289" s="27" t="s">
        <v>21</v>
      </c>
      <c r="M289" s="27" t="s">
        <v>379</v>
      </c>
      <c r="N289" s="28" t="s">
        <v>18</v>
      </c>
      <c r="O289" s="43">
        <f t="shared" si="4"/>
        <v>5555</v>
      </c>
    </row>
    <row r="290" spans="1:15" ht="15.75" customHeight="1">
      <c r="A290" s="27" t="s">
        <v>329</v>
      </c>
      <c r="B290" s="28" t="s">
        <v>14</v>
      </c>
      <c r="C290" s="29">
        <v>45678</v>
      </c>
      <c r="D290" s="28" t="s">
        <v>25</v>
      </c>
      <c r="E290" s="28" t="s">
        <v>26</v>
      </c>
      <c r="F290" s="30">
        <v>4918</v>
      </c>
      <c r="G290" s="30">
        <v>440</v>
      </c>
      <c r="H290" s="30">
        <v>149</v>
      </c>
      <c r="I290" s="30">
        <v>53269</v>
      </c>
      <c r="J290" s="30">
        <v>64370</v>
      </c>
      <c r="K290" s="30">
        <v>269</v>
      </c>
      <c r="L290" s="27" t="s">
        <v>42</v>
      </c>
      <c r="M290" s="27"/>
      <c r="N290" s="28" t="s">
        <v>55</v>
      </c>
      <c r="O290" s="43">
        <f t="shared" si="4"/>
        <v>5507</v>
      </c>
    </row>
    <row r="291" spans="1:15" ht="15.75" customHeight="1">
      <c r="A291" s="27" t="s">
        <v>330</v>
      </c>
      <c r="B291" s="28" t="s">
        <v>24</v>
      </c>
      <c r="C291" s="29">
        <v>45517</v>
      </c>
      <c r="D291" s="28" t="s">
        <v>15</v>
      </c>
      <c r="E291" s="28" t="s">
        <v>20</v>
      </c>
      <c r="F291" s="30">
        <v>3418</v>
      </c>
      <c r="G291" s="30">
        <v>107</v>
      </c>
      <c r="H291" s="30">
        <v>221</v>
      </c>
      <c r="I291" s="30">
        <v>23927</v>
      </c>
      <c r="J291" s="30">
        <v>26182</v>
      </c>
      <c r="K291" s="30">
        <v>155</v>
      </c>
      <c r="L291" s="27" t="s">
        <v>45</v>
      </c>
      <c r="M291" s="27"/>
      <c r="N291" s="28" t="s">
        <v>22</v>
      </c>
      <c r="O291" s="43">
        <f t="shared" si="4"/>
        <v>3746</v>
      </c>
    </row>
    <row r="292" spans="1:15" ht="15.75" customHeight="1">
      <c r="A292" s="27" t="s">
        <v>331</v>
      </c>
      <c r="B292" s="28" t="s">
        <v>14</v>
      </c>
      <c r="C292" s="29">
        <v>45472</v>
      </c>
      <c r="D292" s="28" t="s">
        <v>15</v>
      </c>
      <c r="E292" s="28" t="s">
        <v>51</v>
      </c>
      <c r="F292" s="30">
        <v>2088</v>
      </c>
      <c r="G292" s="30">
        <v>490</v>
      </c>
      <c r="H292" s="30">
        <v>124</v>
      </c>
      <c r="I292" s="30">
        <v>46544</v>
      </c>
      <c r="J292" s="30">
        <v>69346</v>
      </c>
      <c r="K292" s="30">
        <v>178</v>
      </c>
      <c r="L292" s="27" t="s">
        <v>45</v>
      </c>
      <c r="M292" s="27" t="s">
        <v>42</v>
      </c>
      <c r="N292" s="28" t="s">
        <v>18</v>
      </c>
      <c r="O292" s="43">
        <f t="shared" si="4"/>
        <v>2702</v>
      </c>
    </row>
    <row r="293" spans="1:15" ht="15.75" customHeight="1">
      <c r="A293" s="27" t="s">
        <v>332</v>
      </c>
      <c r="B293" s="28" t="s">
        <v>24</v>
      </c>
      <c r="C293" s="29">
        <v>45599</v>
      </c>
      <c r="D293" s="28" t="s">
        <v>25</v>
      </c>
      <c r="E293" s="28" t="s">
        <v>20</v>
      </c>
      <c r="F293" s="30">
        <v>3061</v>
      </c>
      <c r="G293" s="30">
        <v>320</v>
      </c>
      <c r="H293" s="30">
        <v>76</v>
      </c>
      <c r="I293" s="30">
        <v>26640</v>
      </c>
      <c r="J293" s="30">
        <v>24306</v>
      </c>
      <c r="K293" s="30">
        <v>112</v>
      </c>
      <c r="L293" s="27" t="s">
        <v>379</v>
      </c>
      <c r="M293" s="27" t="s">
        <v>42</v>
      </c>
      <c r="N293" s="28" t="s">
        <v>18</v>
      </c>
      <c r="O293" s="43">
        <f t="shared" si="4"/>
        <v>3457</v>
      </c>
    </row>
    <row r="294" spans="1:15" ht="15.75" customHeight="1">
      <c r="A294" s="27" t="s">
        <v>333</v>
      </c>
      <c r="B294" s="28" t="s">
        <v>31</v>
      </c>
      <c r="C294" s="29">
        <v>45765</v>
      </c>
      <c r="D294" s="28" t="s">
        <v>57</v>
      </c>
      <c r="E294" s="28" t="s">
        <v>51</v>
      </c>
      <c r="F294" s="30">
        <v>1265</v>
      </c>
      <c r="G294" s="30">
        <v>230</v>
      </c>
      <c r="H294" s="30">
        <v>364</v>
      </c>
      <c r="I294" s="30">
        <v>41312</v>
      </c>
      <c r="J294" s="30">
        <v>50382</v>
      </c>
      <c r="K294" s="30">
        <v>106</v>
      </c>
      <c r="L294" s="27" t="s">
        <v>21</v>
      </c>
      <c r="M294" s="27" t="s">
        <v>45</v>
      </c>
      <c r="N294" s="28" t="s">
        <v>59</v>
      </c>
      <c r="O294" s="43">
        <f t="shared" si="4"/>
        <v>1859</v>
      </c>
    </row>
    <row r="295" spans="1:15" ht="15.75" customHeight="1">
      <c r="A295" s="27" t="s">
        <v>334</v>
      </c>
      <c r="B295" s="28" t="s">
        <v>14</v>
      </c>
      <c r="C295" s="29">
        <v>45653</v>
      </c>
      <c r="D295" s="28" t="s">
        <v>15</v>
      </c>
      <c r="E295" s="28" t="s">
        <v>49</v>
      </c>
      <c r="F295" s="30">
        <v>1436</v>
      </c>
      <c r="G295" s="30">
        <v>219</v>
      </c>
      <c r="H295" s="30">
        <v>229</v>
      </c>
      <c r="I295" s="30">
        <v>58488</v>
      </c>
      <c r="J295" s="30">
        <v>24314</v>
      </c>
      <c r="K295" s="30">
        <v>147</v>
      </c>
      <c r="L295" s="27" t="s">
        <v>21</v>
      </c>
      <c r="M295" s="27"/>
      <c r="N295" s="28" t="s">
        <v>22</v>
      </c>
      <c r="O295" s="43">
        <f t="shared" si="4"/>
        <v>1884</v>
      </c>
    </row>
    <row r="296" spans="1:15" ht="15.75" customHeight="1">
      <c r="A296" s="27" t="s">
        <v>335</v>
      </c>
      <c r="B296" s="28" t="s">
        <v>14</v>
      </c>
      <c r="C296" s="29">
        <v>45724</v>
      </c>
      <c r="D296" s="28" t="s">
        <v>25</v>
      </c>
      <c r="E296" s="28" t="s">
        <v>41</v>
      </c>
      <c r="F296" s="30">
        <v>2244</v>
      </c>
      <c r="G296" s="30">
        <v>392</v>
      </c>
      <c r="H296" s="30">
        <v>231</v>
      </c>
      <c r="I296" s="30">
        <v>25834</v>
      </c>
      <c r="J296" s="30">
        <v>50906</v>
      </c>
      <c r="K296" s="30">
        <v>165</v>
      </c>
      <c r="L296" s="27" t="s">
        <v>42</v>
      </c>
      <c r="M296" s="27"/>
      <c r="N296" s="28" t="s">
        <v>55</v>
      </c>
      <c r="O296" s="43">
        <f t="shared" si="4"/>
        <v>2867</v>
      </c>
    </row>
    <row r="297" spans="1:15" ht="15.75" customHeight="1">
      <c r="A297" s="27" t="s">
        <v>336</v>
      </c>
      <c r="B297" s="28" t="s">
        <v>24</v>
      </c>
      <c r="C297" s="29">
        <v>45736</v>
      </c>
      <c r="D297" s="28" t="s">
        <v>25</v>
      </c>
      <c r="E297" s="28" t="s">
        <v>51</v>
      </c>
      <c r="F297" s="30">
        <v>3393</v>
      </c>
      <c r="G297" s="30">
        <v>104</v>
      </c>
      <c r="H297" s="30">
        <v>79</v>
      </c>
      <c r="I297" s="30">
        <v>30025</v>
      </c>
      <c r="J297" s="30">
        <v>21593</v>
      </c>
      <c r="K297" s="30">
        <v>165</v>
      </c>
      <c r="L297" s="27" t="s">
        <v>379</v>
      </c>
      <c r="M297" s="27" t="s">
        <v>42</v>
      </c>
      <c r="N297" s="28" t="s">
        <v>18</v>
      </c>
      <c r="O297" s="43">
        <f t="shared" si="4"/>
        <v>3576</v>
      </c>
    </row>
    <row r="298" spans="1:15" ht="15.75" customHeight="1">
      <c r="A298" s="27" t="s">
        <v>337</v>
      </c>
      <c r="B298" s="28" t="s">
        <v>24</v>
      </c>
      <c r="C298" s="29">
        <v>45612</v>
      </c>
      <c r="D298" s="28" t="s">
        <v>15</v>
      </c>
      <c r="E298" s="28" t="s">
        <v>20</v>
      </c>
      <c r="F298" s="30">
        <v>2901</v>
      </c>
      <c r="G298" s="30">
        <v>108</v>
      </c>
      <c r="H298" s="30">
        <v>86</v>
      </c>
      <c r="I298" s="30">
        <v>51777</v>
      </c>
      <c r="J298" s="30">
        <v>23773</v>
      </c>
      <c r="K298" s="30">
        <v>160</v>
      </c>
      <c r="L298" s="27" t="s">
        <v>45</v>
      </c>
      <c r="M298" s="27"/>
      <c r="N298" s="28" t="s">
        <v>22</v>
      </c>
      <c r="O298" s="43">
        <f t="shared" si="4"/>
        <v>3095</v>
      </c>
    </row>
    <row r="299" spans="1:15" ht="15.75" customHeight="1">
      <c r="A299" s="27" t="s">
        <v>338</v>
      </c>
      <c r="B299" s="28" t="s">
        <v>24</v>
      </c>
      <c r="C299" s="29">
        <v>45838</v>
      </c>
      <c r="D299" s="28" t="s">
        <v>15</v>
      </c>
      <c r="E299" s="28" t="s">
        <v>35</v>
      </c>
      <c r="F299" s="30">
        <v>2275</v>
      </c>
      <c r="G299" s="30">
        <v>285</v>
      </c>
      <c r="H299" s="30">
        <v>125</v>
      </c>
      <c r="I299" s="30">
        <v>43970</v>
      </c>
      <c r="J299" s="30">
        <v>74761</v>
      </c>
      <c r="K299" s="30">
        <v>83</v>
      </c>
      <c r="L299" s="27" t="s">
        <v>42</v>
      </c>
      <c r="M299" s="27"/>
      <c r="N299" s="28" t="s">
        <v>18</v>
      </c>
      <c r="O299" s="43">
        <f t="shared" si="4"/>
        <v>2685</v>
      </c>
    </row>
    <row r="300" spans="1:15" ht="15.75" customHeight="1">
      <c r="A300" s="27" t="s">
        <v>339</v>
      </c>
      <c r="B300" s="28" t="s">
        <v>24</v>
      </c>
      <c r="C300" s="29">
        <v>45303</v>
      </c>
      <c r="D300" s="28" t="s">
        <v>25</v>
      </c>
      <c r="E300" s="28" t="s">
        <v>29</v>
      </c>
      <c r="F300" s="30">
        <v>2227</v>
      </c>
      <c r="G300" s="30">
        <v>494</v>
      </c>
      <c r="H300" s="30">
        <v>161</v>
      </c>
      <c r="I300" s="30">
        <v>51651</v>
      </c>
      <c r="J300" s="30">
        <v>68074</v>
      </c>
      <c r="K300" s="30">
        <v>240</v>
      </c>
      <c r="L300" s="27" t="s">
        <v>21</v>
      </c>
      <c r="M300" s="27" t="s">
        <v>379</v>
      </c>
      <c r="N300" s="28" t="s">
        <v>18</v>
      </c>
      <c r="O300" s="43">
        <f t="shared" si="4"/>
        <v>2882</v>
      </c>
    </row>
    <row r="301" spans="1:15" ht="15.75" customHeight="1">
      <c r="A301" s="27" t="s">
        <v>340</v>
      </c>
      <c r="B301" s="28" t="s">
        <v>14</v>
      </c>
      <c r="C301" s="29">
        <v>45329</v>
      </c>
      <c r="D301" s="28" t="s">
        <v>15</v>
      </c>
      <c r="E301" s="28" t="s">
        <v>32</v>
      </c>
      <c r="F301" s="30">
        <v>1883</v>
      </c>
      <c r="G301" s="30">
        <v>432</v>
      </c>
      <c r="H301" s="30">
        <v>397</v>
      </c>
      <c r="I301" s="30">
        <v>28759</v>
      </c>
      <c r="J301" s="30">
        <v>18691</v>
      </c>
      <c r="K301" s="30">
        <v>270</v>
      </c>
      <c r="L301" s="27" t="s">
        <v>45</v>
      </c>
      <c r="M301" s="27" t="s">
        <v>42</v>
      </c>
      <c r="N301" s="28" t="s">
        <v>18</v>
      </c>
      <c r="O301" s="43">
        <f t="shared" si="4"/>
        <v>2712</v>
      </c>
    </row>
    <row r="302" spans="1:15" ht="15.75" customHeight="1"/>
    <row r="303" spans="1:15" ht="15.75" customHeight="1"/>
    <row r="304" spans="1:15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1A2B-C79B-4BB5-B215-E9146466F355}">
  <sheetPr codeName="Sheet1"/>
  <dimension ref="A1:O1000"/>
  <sheetViews>
    <sheetView topLeftCell="D1" zoomScaleNormal="100" workbookViewId="0">
      <selection activeCell="I1" sqref="I1"/>
    </sheetView>
  </sheetViews>
  <sheetFormatPr defaultColWidth="14.44140625" defaultRowHeight="15" customHeight="1"/>
  <cols>
    <col min="1" max="1" width="17.88671875" style="12" bestFit="1" customWidth="1"/>
    <col min="2" max="2" width="12.88671875" style="12" customWidth="1"/>
    <col min="3" max="3" width="16.109375" style="12" bestFit="1" customWidth="1"/>
    <col min="4" max="4" width="10.6640625" style="12" bestFit="1" customWidth="1"/>
    <col min="5" max="5" width="16.5546875" style="12" bestFit="1" customWidth="1"/>
    <col min="6" max="6" width="19.109375" style="15" customWidth="1"/>
    <col min="7" max="7" width="12.77734375" style="20" bestFit="1" customWidth="1"/>
    <col min="8" max="8" width="19.109375" style="20" customWidth="1"/>
    <col min="9" max="9" width="19.109375" style="22" customWidth="1"/>
    <col min="10" max="11" width="8.6640625" style="9" customWidth="1"/>
    <col min="12" max="12" width="12.5546875" style="9" bestFit="1" customWidth="1"/>
    <col min="13" max="13" width="26.33203125" style="9" bestFit="1" customWidth="1"/>
    <col min="14" max="14" width="13.6640625" style="9" customWidth="1"/>
    <col min="15" max="15" width="5.88671875" style="9" customWidth="1"/>
    <col min="16" max="23" width="8.6640625" style="9" customWidth="1"/>
    <col min="24" max="16384" width="14.44140625" style="9"/>
  </cols>
  <sheetData>
    <row r="1" spans="1:15" ht="18" customHeight="1">
      <c r="A1" s="8" t="s">
        <v>341</v>
      </c>
      <c r="B1" s="8" t="s">
        <v>1</v>
      </c>
      <c r="C1" s="8" t="s">
        <v>342</v>
      </c>
      <c r="D1" s="8" t="s">
        <v>343</v>
      </c>
      <c r="E1" s="8" t="s">
        <v>344</v>
      </c>
      <c r="F1" s="13" t="s">
        <v>345</v>
      </c>
      <c r="G1" s="18" t="s">
        <v>346</v>
      </c>
      <c r="H1" s="18" t="s">
        <v>374</v>
      </c>
      <c r="I1" s="56" t="s">
        <v>378</v>
      </c>
    </row>
    <row r="2" spans="1:15" ht="14.4">
      <c r="A2" s="10">
        <v>45446</v>
      </c>
      <c r="B2" s="11" t="s">
        <v>14</v>
      </c>
      <c r="C2" s="11">
        <v>1402</v>
      </c>
      <c r="D2" s="11">
        <v>68</v>
      </c>
      <c r="E2" s="11">
        <v>124562</v>
      </c>
      <c r="F2" s="14">
        <v>9.92</v>
      </c>
      <c r="G2" s="19">
        <v>23125</v>
      </c>
      <c r="H2" s="19">
        <f>C2-D2</f>
        <v>1334</v>
      </c>
      <c r="I2" s="21">
        <f>H2/E2</f>
        <v>1.0709526179733787E-2</v>
      </c>
    </row>
    <row r="3" spans="1:15" ht="14.4">
      <c r="A3" s="10">
        <v>45446</v>
      </c>
      <c r="B3" s="11" t="s">
        <v>24</v>
      </c>
      <c r="C3" s="11">
        <v>995</v>
      </c>
      <c r="D3" s="11">
        <v>86</v>
      </c>
      <c r="E3" s="11">
        <v>227958</v>
      </c>
      <c r="F3" s="14">
        <v>8.0500000000000007</v>
      </c>
      <c r="G3" s="19">
        <v>22788</v>
      </c>
      <c r="H3" s="19">
        <f t="shared" ref="H3:H66" si="0">C3-D3</f>
        <v>909</v>
      </c>
      <c r="I3" s="21">
        <f t="shared" ref="I3:I66" si="1">H3/E3</f>
        <v>3.9875766588582107E-3</v>
      </c>
    </row>
    <row r="4" spans="1:15" ht="14.4" customHeight="1">
      <c r="A4" s="10">
        <v>45446</v>
      </c>
      <c r="B4" s="11" t="s">
        <v>31</v>
      </c>
      <c r="C4" s="11">
        <v>1472</v>
      </c>
      <c r="D4" s="11">
        <v>296</v>
      </c>
      <c r="E4" s="11">
        <v>370242</v>
      </c>
      <c r="F4" s="14">
        <v>7.72</v>
      </c>
      <c r="G4" s="19">
        <v>7810</v>
      </c>
      <c r="H4" s="19">
        <f t="shared" si="0"/>
        <v>1176</v>
      </c>
      <c r="I4" s="21">
        <f t="shared" si="1"/>
        <v>3.176300905893983E-3</v>
      </c>
      <c r="K4" s="107" t="s">
        <v>407</v>
      </c>
      <c r="L4" s="107"/>
      <c r="M4" s="107"/>
      <c r="N4" s="107"/>
      <c r="O4" s="107"/>
    </row>
    <row r="5" spans="1:15" ht="14.4" customHeight="1">
      <c r="A5" s="10">
        <v>45453</v>
      </c>
      <c r="B5" s="11" t="s">
        <v>14</v>
      </c>
      <c r="C5" s="11">
        <v>1018</v>
      </c>
      <c r="D5" s="11">
        <v>90</v>
      </c>
      <c r="E5" s="11">
        <v>92474</v>
      </c>
      <c r="F5" s="14">
        <v>9.4</v>
      </c>
      <c r="G5" s="19">
        <v>11966</v>
      </c>
      <c r="H5" s="19">
        <f t="shared" si="0"/>
        <v>928</v>
      </c>
      <c r="I5" s="21">
        <f t="shared" si="1"/>
        <v>1.0035253152237385E-2</v>
      </c>
      <c r="K5" s="108"/>
      <c r="L5" s="108"/>
      <c r="M5" s="108"/>
      <c r="N5" s="108"/>
      <c r="O5" s="108"/>
    </row>
    <row r="6" spans="1:15" ht="14.4" customHeight="1">
      <c r="A6" s="10">
        <v>45453</v>
      </c>
      <c r="B6" s="11" t="s">
        <v>24</v>
      </c>
      <c r="C6" s="11">
        <v>1461</v>
      </c>
      <c r="D6" s="11">
        <v>64</v>
      </c>
      <c r="E6" s="11">
        <v>328902</v>
      </c>
      <c r="F6" s="14">
        <v>9.02</v>
      </c>
      <c r="G6" s="19">
        <v>26298</v>
      </c>
      <c r="H6" s="19">
        <f t="shared" si="0"/>
        <v>1397</v>
      </c>
      <c r="I6" s="21">
        <f t="shared" si="1"/>
        <v>4.247465810484582E-3</v>
      </c>
      <c r="K6" s="99" t="s">
        <v>403</v>
      </c>
      <c r="L6" s="100"/>
      <c r="M6" s="103" t="s">
        <v>404</v>
      </c>
      <c r="N6" s="104"/>
      <c r="O6" s="105" t="s">
        <v>406</v>
      </c>
    </row>
    <row r="7" spans="1:15" ht="14.4" customHeight="1">
      <c r="A7" s="10">
        <v>45453</v>
      </c>
      <c r="B7" s="11" t="s">
        <v>31</v>
      </c>
      <c r="C7" s="11">
        <v>545</v>
      </c>
      <c r="D7" s="11">
        <v>93</v>
      </c>
      <c r="E7" s="11">
        <v>391621</v>
      </c>
      <c r="F7" s="14">
        <v>9.9600000000000009</v>
      </c>
      <c r="G7" s="19">
        <v>22029</v>
      </c>
      <c r="H7" s="19">
        <f t="shared" si="0"/>
        <v>452</v>
      </c>
      <c r="I7" s="21">
        <f t="shared" si="1"/>
        <v>1.1541771253329111E-3</v>
      </c>
      <c r="J7" s="49"/>
      <c r="K7" s="101"/>
      <c r="L7" s="102"/>
      <c r="M7" s="103" t="s">
        <v>405</v>
      </c>
      <c r="N7" s="104"/>
      <c r="O7" s="106"/>
    </row>
    <row r="8" spans="1:15" ht="14.4">
      <c r="A8" s="10">
        <v>45460</v>
      </c>
      <c r="B8" s="11" t="s">
        <v>14</v>
      </c>
      <c r="C8" s="11">
        <v>881</v>
      </c>
      <c r="D8" s="11">
        <v>291</v>
      </c>
      <c r="E8" s="11">
        <v>95885</v>
      </c>
      <c r="F8" s="14">
        <v>5.29</v>
      </c>
      <c r="G8" s="19">
        <v>12391</v>
      </c>
      <c r="H8" s="19">
        <f t="shared" si="0"/>
        <v>590</v>
      </c>
      <c r="I8" s="21">
        <f t="shared" si="1"/>
        <v>6.1532043593888509E-3</v>
      </c>
      <c r="K8"/>
      <c r="L8"/>
      <c r="M8"/>
      <c r="N8"/>
      <c r="O8"/>
    </row>
    <row r="9" spans="1:15" ht="14.4">
      <c r="A9" s="10">
        <v>45460</v>
      </c>
      <c r="B9" s="11" t="s">
        <v>24</v>
      </c>
      <c r="C9" s="11">
        <v>1414</v>
      </c>
      <c r="D9" s="11">
        <v>131</v>
      </c>
      <c r="E9" s="11">
        <v>245947</v>
      </c>
      <c r="F9" s="14">
        <v>8.3000000000000007</v>
      </c>
      <c r="G9" s="19">
        <v>14477</v>
      </c>
      <c r="H9" s="19">
        <f t="shared" si="0"/>
        <v>1283</v>
      </c>
      <c r="I9" s="21">
        <f t="shared" si="1"/>
        <v>5.2165710498603361E-3</v>
      </c>
    </row>
    <row r="10" spans="1:15" ht="14.4">
      <c r="A10" s="10">
        <v>45460</v>
      </c>
      <c r="B10" s="11" t="s">
        <v>31</v>
      </c>
      <c r="C10" s="11">
        <v>1472</v>
      </c>
      <c r="D10" s="11">
        <v>170</v>
      </c>
      <c r="E10" s="11">
        <v>250428</v>
      </c>
      <c r="F10" s="14">
        <v>4.66</v>
      </c>
      <c r="G10" s="19">
        <v>25040</v>
      </c>
      <c r="H10" s="19">
        <f t="shared" si="0"/>
        <v>1302</v>
      </c>
      <c r="I10" s="21">
        <f t="shared" si="1"/>
        <v>5.1990991422684362E-3</v>
      </c>
    </row>
    <row r="11" spans="1:15" ht="14.4">
      <c r="A11" s="10">
        <v>45467</v>
      </c>
      <c r="B11" s="11" t="s">
        <v>14</v>
      </c>
      <c r="C11" s="11">
        <v>809</v>
      </c>
      <c r="D11" s="11">
        <v>197</v>
      </c>
      <c r="E11" s="11">
        <v>87186</v>
      </c>
      <c r="F11" s="14">
        <v>9.48</v>
      </c>
      <c r="G11" s="19">
        <v>22619</v>
      </c>
      <c r="H11" s="19">
        <f t="shared" si="0"/>
        <v>612</v>
      </c>
      <c r="I11" s="21">
        <f t="shared" si="1"/>
        <v>7.0194756038813571E-3</v>
      </c>
    </row>
    <row r="12" spans="1:15" ht="14.4">
      <c r="A12" s="10">
        <v>45467</v>
      </c>
      <c r="B12" s="11" t="s">
        <v>24</v>
      </c>
      <c r="C12" s="11">
        <v>1371</v>
      </c>
      <c r="D12" s="11">
        <v>250</v>
      </c>
      <c r="E12" s="11">
        <v>128620</v>
      </c>
      <c r="F12" s="14">
        <v>7.11</v>
      </c>
      <c r="G12" s="19">
        <v>12399</v>
      </c>
      <c r="H12" s="19">
        <f t="shared" si="0"/>
        <v>1121</v>
      </c>
      <c r="I12" s="21">
        <f t="shared" si="1"/>
        <v>8.7155963302752298E-3</v>
      </c>
      <c r="L12"/>
      <c r="M12"/>
      <c r="N12"/>
    </row>
    <row r="13" spans="1:15" ht="14.4">
      <c r="A13" s="10">
        <v>45467</v>
      </c>
      <c r="B13" s="11" t="s">
        <v>31</v>
      </c>
      <c r="C13" s="11">
        <v>844</v>
      </c>
      <c r="D13" s="11">
        <v>144</v>
      </c>
      <c r="E13" s="11">
        <v>126015</v>
      </c>
      <c r="F13" s="14">
        <v>9.65</v>
      </c>
      <c r="G13" s="19">
        <v>22456</v>
      </c>
      <c r="H13" s="19">
        <f t="shared" si="0"/>
        <v>700</v>
      </c>
      <c r="I13" s="21">
        <f t="shared" si="1"/>
        <v>5.5548942586200059E-3</v>
      </c>
      <c r="L13"/>
      <c r="M13"/>
      <c r="N13"/>
    </row>
    <row r="14" spans="1:15" ht="14.4">
      <c r="A14" s="10">
        <v>45474</v>
      </c>
      <c r="B14" s="11" t="s">
        <v>14</v>
      </c>
      <c r="C14" s="11">
        <v>786</v>
      </c>
      <c r="D14" s="11">
        <v>72</v>
      </c>
      <c r="E14" s="11">
        <v>178615</v>
      </c>
      <c r="F14" s="14">
        <v>5.43</v>
      </c>
      <c r="G14" s="19">
        <v>19328</v>
      </c>
      <c r="H14" s="19">
        <f t="shared" si="0"/>
        <v>714</v>
      </c>
      <c r="I14" s="21">
        <f t="shared" si="1"/>
        <v>3.9974246283906723E-3</v>
      </c>
      <c r="L14"/>
      <c r="M14"/>
      <c r="N14"/>
    </row>
    <row r="15" spans="1:15" ht="14.4">
      <c r="A15" s="10">
        <v>45474</v>
      </c>
      <c r="B15" s="11" t="s">
        <v>24</v>
      </c>
      <c r="C15" s="11">
        <v>845</v>
      </c>
      <c r="D15" s="11">
        <v>250</v>
      </c>
      <c r="E15" s="11">
        <v>218228</v>
      </c>
      <c r="F15" s="14">
        <v>4.5199999999999996</v>
      </c>
      <c r="G15" s="19">
        <v>21107</v>
      </c>
      <c r="H15" s="19">
        <f t="shared" si="0"/>
        <v>595</v>
      </c>
      <c r="I15" s="21">
        <f t="shared" si="1"/>
        <v>2.7265062228494967E-3</v>
      </c>
      <c r="L15"/>
      <c r="M15"/>
      <c r="N15"/>
    </row>
    <row r="16" spans="1:15" ht="14.4">
      <c r="A16" s="10">
        <v>45474</v>
      </c>
      <c r="B16" s="11" t="s">
        <v>31</v>
      </c>
      <c r="C16" s="11">
        <v>1218</v>
      </c>
      <c r="D16" s="11">
        <v>101</v>
      </c>
      <c r="E16" s="11">
        <v>300397</v>
      </c>
      <c r="F16" s="14">
        <v>4.33</v>
      </c>
      <c r="G16" s="19">
        <v>12277</v>
      </c>
      <c r="H16" s="19">
        <f t="shared" si="0"/>
        <v>1117</v>
      </c>
      <c r="I16" s="21">
        <f t="shared" si="1"/>
        <v>3.7184126339477423E-3</v>
      </c>
      <c r="L16"/>
      <c r="M16"/>
      <c r="N16"/>
    </row>
    <row r="17" spans="1:14" ht="14.4">
      <c r="A17" s="10">
        <v>45481</v>
      </c>
      <c r="B17" s="11" t="s">
        <v>14</v>
      </c>
      <c r="C17" s="11">
        <v>797</v>
      </c>
      <c r="D17" s="11">
        <v>130</v>
      </c>
      <c r="E17" s="11">
        <v>340121</v>
      </c>
      <c r="F17" s="14">
        <v>8.52</v>
      </c>
      <c r="G17" s="19">
        <v>11684</v>
      </c>
      <c r="H17" s="19">
        <f t="shared" si="0"/>
        <v>667</v>
      </c>
      <c r="I17" s="21">
        <f t="shared" si="1"/>
        <v>1.9610667968164271E-3</v>
      </c>
      <c r="L17"/>
      <c r="M17"/>
      <c r="N17"/>
    </row>
    <row r="18" spans="1:14" ht="14.4">
      <c r="A18" s="10">
        <v>45481</v>
      </c>
      <c r="B18" s="11" t="s">
        <v>24</v>
      </c>
      <c r="C18" s="11">
        <v>1471</v>
      </c>
      <c r="D18" s="11">
        <v>100</v>
      </c>
      <c r="E18" s="11">
        <v>76866</v>
      </c>
      <c r="F18" s="14">
        <v>8.5500000000000007</v>
      </c>
      <c r="G18" s="19">
        <v>14412</v>
      </c>
      <c r="H18" s="19">
        <f t="shared" si="0"/>
        <v>1371</v>
      </c>
      <c r="I18" s="21">
        <f t="shared" si="1"/>
        <v>1.7836234485988603E-2</v>
      </c>
      <c r="L18"/>
      <c r="M18"/>
      <c r="N18"/>
    </row>
    <row r="19" spans="1:14" ht="14.4">
      <c r="A19" s="10">
        <v>45481</v>
      </c>
      <c r="B19" s="11" t="s">
        <v>31</v>
      </c>
      <c r="C19" s="11">
        <v>1253</v>
      </c>
      <c r="D19" s="11">
        <v>136</v>
      </c>
      <c r="E19" s="11">
        <v>193131</v>
      </c>
      <c r="F19" s="14">
        <v>7.99</v>
      </c>
      <c r="G19" s="19">
        <v>15924</v>
      </c>
      <c r="H19" s="19">
        <f t="shared" si="0"/>
        <v>1117</v>
      </c>
      <c r="I19" s="21">
        <f t="shared" si="1"/>
        <v>5.7836390843520723E-3</v>
      </c>
      <c r="L19"/>
      <c r="M19"/>
      <c r="N19"/>
    </row>
    <row r="20" spans="1:14" ht="14.4">
      <c r="A20" s="10">
        <v>45488</v>
      </c>
      <c r="B20" s="11" t="s">
        <v>14</v>
      </c>
      <c r="C20" s="11">
        <v>616</v>
      </c>
      <c r="D20" s="11">
        <v>257</v>
      </c>
      <c r="E20" s="11">
        <v>169665</v>
      </c>
      <c r="F20" s="14">
        <v>6.31</v>
      </c>
      <c r="G20" s="19">
        <v>12390</v>
      </c>
      <c r="H20" s="19">
        <f t="shared" si="0"/>
        <v>359</v>
      </c>
      <c r="I20" s="21">
        <f t="shared" si="1"/>
        <v>2.1159343412017798E-3</v>
      </c>
      <c r="L20"/>
      <c r="M20"/>
      <c r="N20"/>
    </row>
    <row r="21" spans="1:14" ht="14.4">
      <c r="A21" s="10">
        <v>45488</v>
      </c>
      <c r="B21" s="11" t="s">
        <v>24</v>
      </c>
      <c r="C21" s="11">
        <v>1308</v>
      </c>
      <c r="D21" s="11">
        <v>210</v>
      </c>
      <c r="E21" s="11">
        <v>263729</v>
      </c>
      <c r="F21" s="14">
        <v>8.5299999999999994</v>
      </c>
      <c r="G21" s="19">
        <v>25742</v>
      </c>
      <c r="H21" s="19">
        <f t="shared" si="0"/>
        <v>1098</v>
      </c>
      <c r="I21" s="21">
        <f t="shared" si="1"/>
        <v>4.1633646660018432E-3</v>
      </c>
      <c r="L21"/>
      <c r="M21"/>
      <c r="N21"/>
    </row>
    <row r="22" spans="1:14" ht="14.4">
      <c r="A22" s="10">
        <v>45488</v>
      </c>
      <c r="B22" s="11" t="s">
        <v>31</v>
      </c>
      <c r="C22" s="11">
        <v>981</v>
      </c>
      <c r="D22" s="11">
        <v>69</v>
      </c>
      <c r="E22" s="11">
        <v>206921</v>
      </c>
      <c r="F22" s="14">
        <v>8.42</v>
      </c>
      <c r="G22" s="19">
        <v>10495</v>
      </c>
      <c r="H22" s="19">
        <f t="shared" si="0"/>
        <v>912</v>
      </c>
      <c r="I22" s="21">
        <f t="shared" si="1"/>
        <v>4.4074791828765565E-3</v>
      </c>
      <c r="L22"/>
      <c r="M22"/>
      <c r="N22"/>
    </row>
    <row r="23" spans="1:14" ht="14.4">
      <c r="A23" s="10">
        <v>45495</v>
      </c>
      <c r="B23" s="11" t="s">
        <v>14</v>
      </c>
      <c r="C23" s="11">
        <v>866</v>
      </c>
      <c r="D23" s="11">
        <v>74</v>
      </c>
      <c r="E23" s="11">
        <v>204121</v>
      </c>
      <c r="F23" s="14">
        <v>9.34</v>
      </c>
      <c r="G23" s="19">
        <v>7797</v>
      </c>
      <c r="H23" s="19">
        <f t="shared" si="0"/>
        <v>792</v>
      </c>
      <c r="I23" s="21">
        <f t="shared" si="1"/>
        <v>3.8800515380583087E-3</v>
      </c>
      <c r="L23"/>
      <c r="M23"/>
      <c r="N23"/>
    </row>
    <row r="24" spans="1:14" ht="14.4">
      <c r="A24" s="10">
        <v>45495</v>
      </c>
      <c r="B24" s="11" t="s">
        <v>24</v>
      </c>
      <c r="C24" s="11">
        <v>547</v>
      </c>
      <c r="D24" s="11">
        <v>183</v>
      </c>
      <c r="E24" s="11">
        <v>266350</v>
      </c>
      <c r="F24" s="14">
        <v>5.65</v>
      </c>
      <c r="G24" s="19">
        <v>15595</v>
      </c>
      <c r="H24" s="19">
        <f t="shared" si="0"/>
        <v>364</v>
      </c>
      <c r="I24" s="21">
        <f t="shared" si="1"/>
        <v>1.3666228646517741E-3</v>
      </c>
      <c r="L24"/>
      <c r="M24"/>
      <c r="N24"/>
    </row>
    <row r="25" spans="1:14" ht="14.4">
      <c r="A25" s="10">
        <v>45495</v>
      </c>
      <c r="B25" s="11" t="s">
        <v>31</v>
      </c>
      <c r="C25" s="11">
        <v>1241</v>
      </c>
      <c r="D25" s="11">
        <v>116</v>
      </c>
      <c r="E25" s="11">
        <v>380606</v>
      </c>
      <c r="F25" s="14">
        <v>4.2</v>
      </c>
      <c r="G25" s="19">
        <v>24617</v>
      </c>
      <c r="H25" s="19">
        <f t="shared" si="0"/>
        <v>1125</v>
      </c>
      <c r="I25" s="21">
        <f t="shared" si="1"/>
        <v>2.9558125725816196E-3</v>
      </c>
      <c r="L25"/>
      <c r="M25"/>
      <c r="N25"/>
    </row>
    <row r="26" spans="1:14" ht="14.4">
      <c r="A26" s="10">
        <v>45502</v>
      </c>
      <c r="B26" s="11" t="s">
        <v>14</v>
      </c>
      <c r="C26" s="11">
        <v>973</v>
      </c>
      <c r="D26" s="11">
        <v>104</v>
      </c>
      <c r="E26" s="11">
        <v>376358</v>
      </c>
      <c r="F26" s="14">
        <v>3.87</v>
      </c>
      <c r="G26" s="19">
        <v>9847</v>
      </c>
      <c r="H26" s="19">
        <f t="shared" si="0"/>
        <v>869</v>
      </c>
      <c r="I26" s="21">
        <f t="shared" si="1"/>
        <v>2.3089717768720206E-3</v>
      </c>
      <c r="L26"/>
      <c r="M26"/>
      <c r="N26"/>
    </row>
    <row r="27" spans="1:14" ht="14.4">
      <c r="A27" s="10">
        <v>45502</v>
      </c>
      <c r="B27" s="11" t="s">
        <v>24</v>
      </c>
      <c r="C27" s="11">
        <v>611</v>
      </c>
      <c r="D27" s="11">
        <v>197</v>
      </c>
      <c r="E27" s="11">
        <v>79423</v>
      </c>
      <c r="F27" s="14">
        <v>5.82</v>
      </c>
      <c r="G27" s="19">
        <v>13644</v>
      </c>
      <c r="H27" s="19">
        <f t="shared" si="0"/>
        <v>414</v>
      </c>
      <c r="I27" s="21">
        <f t="shared" si="1"/>
        <v>5.2125958475504573E-3</v>
      </c>
      <c r="L27"/>
      <c r="M27"/>
      <c r="N27"/>
    </row>
    <row r="28" spans="1:14" ht="14.4">
      <c r="A28" s="10">
        <v>45502</v>
      </c>
      <c r="B28" s="11" t="s">
        <v>31</v>
      </c>
      <c r="C28" s="11">
        <v>983</v>
      </c>
      <c r="D28" s="11">
        <v>134</v>
      </c>
      <c r="E28" s="11">
        <v>352178</v>
      </c>
      <c r="F28" s="14">
        <v>3.55</v>
      </c>
      <c r="G28" s="19">
        <v>11421</v>
      </c>
      <c r="H28" s="19">
        <f t="shared" si="0"/>
        <v>849</v>
      </c>
      <c r="I28" s="21">
        <f t="shared" si="1"/>
        <v>2.4107127645679174E-3</v>
      </c>
      <c r="L28"/>
      <c r="M28"/>
      <c r="N28"/>
    </row>
    <row r="29" spans="1:14" ht="14.4">
      <c r="A29" s="10">
        <v>45509</v>
      </c>
      <c r="B29" s="11" t="s">
        <v>14</v>
      </c>
      <c r="C29" s="11">
        <v>1449</v>
      </c>
      <c r="D29" s="11">
        <v>96</v>
      </c>
      <c r="E29" s="11">
        <v>200636</v>
      </c>
      <c r="F29" s="14">
        <v>9.92</v>
      </c>
      <c r="G29" s="19">
        <v>15613</v>
      </c>
      <c r="H29" s="19">
        <f t="shared" si="0"/>
        <v>1353</v>
      </c>
      <c r="I29" s="21">
        <f t="shared" si="1"/>
        <v>6.7435554935305723E-3</v>
      </c>
      <c r="L29"/>
      <c r="M29"/>
      <c r="N29"/>
    </row>
    <row r="30" spans="1:14" ht="15.75" customHeight="1">
      <c r="A30" s="10">
        <v>45509</v>
      </c>
      <c r="B30" s="11" t="s">
        <v>24</v>
      </c>
      <c r="C30" s="11">
        <v>752</v>
      </c>
      <c r="D30" s="11">
        <v>170</v>
      </c>
      <c r="E30" s="11">
        <v>132756</v>
      </c>
      <c r="F30" s="14">
        <v>8.17</v>
      </c>
      <c r="G30" s="19">
        <v>23900</v>
      </c>
      <c r="H30" s="19">
        <f t="shared" si="0"/>
        <v>582</v>
      </c>
      <c r="I30" s="21">
        <f t="shared" si="1"/>
        <v>4.3839826448522105E-3</v>
      </c>
    </row>
    <row r="31" spans="1:14" ht="15.75" customHeight="1">
      <c r="A31" s="10">
        <v>45509</v>
      </c>
      <c r="B31" s="11" t="s">
        <v>31</v>
      </c>
      <c r="C31" s="11">
        <v>937</v>
      </c>
      <c r="D31" s="11">
        <v>179</v>
      </c>
      <c r="E31" s="11">
        <v>318098</v>
      </c>
      <c r="F31" s="14">
        <v>5.3</v>
      </c>
      <c r="G31" s="19">
        <v>5836</v>
      </c>
      <c r="H31" s="19">
        <f t="shared" si="0"/>
        <v>758</v>
      </c>
      <c r="I31" s="21">
        <f t="shared" si="1"/>
        <v>2.3829134417695176E-3</v>
      </c>
    </row>
    <row r="32" spans="1:14" ht="15.75" customHeight="1">
      <c r="A32" s="10">
        <v>45516</v>
      </c>
      <c r="B32" s="11" t="s">
        <v>14</v>
      </c>
      <c r="C32" s="11">
        <v>1060</v>
      </c>
      <c r="D32" s="11">
        <v>83</v>
      </c>
      <c r="E32" s="11">
        <v>68724</v>
      </c>
      <c r="F32" s="14">
        <v>5.98</v>
      </c>
      <c r="G32" s="19">
        <v>5624</v>
      </c>
      <c r="H32" s="19">
        <f t="shared" si="0"/>
        <v>977</v>
      </c>
      <c r="I32" s="21">
        <f t="shared" si="1"/>
        <v>1.4216285431581398E-2</v>
      </c>
    </row>
    <row r="33" spans="1:9" ht="15.75" customHeight="1">
      <c r="A33" s="10">
        <v>45516</v>
      </c>
      <c r="B33" s="11" t="s">
        <v>24</v>
      </c>
      <c r="C33" s="11">
        <v>1456</v>
      </c>
      <c r="D33" s="11">
        <v>265</v>
      </c>
      <c r="E33" s="11">
        <v>115505</v>
      </c>
      <c r="F33" s="14">
        <v>7.49</v>
      </c>
      <c r="G33" s="19">
        <v>10311</v>
      </c>
      <c r="H33" s="19">
        <f t="shared" si="0"/>
        <v>1191</v>
      </c>
      <c r="I33" s="21">
        <f t="shared" si="1"/>
        <v>1.031124193757846E-2</v>
      </c>
    </row>
    <row r="34" spans="1:9" ht="15.75" customHeight="1">
      <c r="A34" s="10">
        <v>45516</v>
      </c>
      <c r="B34" s="11" t="s">
        <v>31</v>
      </c>
      <c r="C34" s="11">
        <v>1109</v>
      </c>
      <c r="D34" s="11">
        <v>205</v>
      </c>
      <c r="E34" s="11">
        <v>276722</v>
      </c>
      <c r="F34" s="14">
        <v>9.3800000000000008</v>
      </c>
      <c r="G34" s="19">
        <v>8274</v>
      </c>
      <c r="H34" s="19">
        <f t="shared" si="0"/>
        <v>904</v>
      </c>
      <c r="I34" s="21">
        <f t="shared" si="1"/>
        <v>3.2668165162148292E-3</v>
      </c>
    </row>
    <row r="35" spans="1:9" ht="15.75" customHeight="1">
      <c r="A35" s="10">
        <v>45523</v>
      </c>
      <c r="B35" s="11" t="s">
        <v>14</v>
      </c>
      <c r="C35" s="11">
        <v>1002</v>
      </c>
      <c r="D35" s="11">
        <v>93</v>
      </c>
      <c r="E35" s="11">
        <v>353538</v>
      </c>
      <c r="F35" s="14">
        <v>5.84</v>
      </c>
      <c r="G35" s="19">
        <v>6031</v>
      </c>
      <c r="H35" s="19">
        <f t="shared" si="0"/>
        <v>909</v>
      </c>
      <c r="I35" s="21">
        <f t="shared" si="1"/>
        <v>2.5711521816608116E-3</v>
      </c>
    </row>
    <row r="36" spans="1:9" ht="15.75" customHeight="1">
      <c r="A36" s="10">
        <v>45523</v>
      </c>
      <c r="B36" s="11" t="s">
        <v>24</v>
      </c>
      <c r="C36" s="11">
        <v>571</v>
      </c>
      <c r="D36" s="11">
        <v>189</v>
      </c>
      <c r="E36" s="11">
        <v>61445</v>
      </c>
      <c r="F36" s="14">
        <v>5.41</v>
      </c>
      <c r="G36" s="19">
        <v>27829</v>
      </c>
      <c r="H36" s="19">
        <f t="shared" si="0"/>
        <v>382</v>
      </c>
      <c r="I36" s="21">
        <f t="shared" si="1"/>
        <v>6.2169419806330862E-3</v>
      </c>
    </row>
    <row r="37" spans="1:9" ht="15.75" customHeight="1">
      <c r="A37" s="10">
        <v>45523</v>
      </c>
      <c r="B37" s="11" t="s">
        <v>31</v>
      </c>
      <c r="C37" s="11">
        <v>1240</v>
      </c>
      <c r="D37" s="11">
        <v>231</v>
      </c>
      <c r="E37" s="11">
        <v>165035</v>
      </c>
      <c r="F37" s="14">
        <v>6.05</v>
      </c>
      <c r="G37" s="19">
        <v>18267</v>
      </c>
      <c r="H37" s="19">
        <f t="shared" si="0"/>
        <v>1009</v>
      </c>
      <c r="I37" s="21">
        <f t="shared" si="1"/>
        <v>6.1138546368952043E-3</v>
      </c>
    </row>
    <row r="38" spans="1:9" ht="15.75" customHeight="1">
      <c r="A38" s="10">
        <v>45530</v>
      </c>
      <c r="B38" s="11" t="s">
        <v>14</v>
      </c>
      <c r="C38" s="11">
        <v>1154</v>
      </c>
      <c r="D38" s="11">
        <v>132</v>
      </c>
      <c r="E38" s="11">
        <v>194595</v>
      </c>
      <c r="F38" s="14">
        <v>7.54</v>
      </c>
      <c r="G38" s="19">
        <v>26624</v>
      </c>
      <c r="H38" s="19">
        <f t="shared" si="0"/>
        <v>1022</v>
      </c>
      <c r="I38" s="21">
        <f t="shared" si="1"/>
        <v>5.2519335029163131E-3</v>
      </c>
    </row>
    <row r="39" spans="1:9" ht="15.75" customHeight="1">
      <c r="A39" s="10">
        <v>45530</v>
      </c>
      <c r="B39" s="11" t="s">
        <v>24</v>
      </c>
      <c r="C39" s="11">
        <v>537</v>
      </c>
      <c r="D39" s="11">
        <v>275</v>
      </c>
      <c r="E39" s="11">
        <v>236238</v>
      </c>
      <c r="F39" s="14">
        <v>5.87</v>
      </c>
      <c r="G39" s="19">
        <v>26644</v>
      </c>
      <c r="H39" s="19">
        <f t="shared" si="0"/>
        <v>262</v>
      </c>
      <c r="I39" s="21">
        <f t="shared" si="1"/>
        <v>1.1090510417460359E-3</v>
      </c>
    </row>
    <row r="40" spans="1:9" ht="15.75" customHeight="1">
      <c r="A40" s="10">
        <v>45530</v>
      </c>
      <c r="B40" s="11" t="s">
        <v>31</v>
      </c>
      <c r="C40" s="11">
        <v>1456</v>
      </c>
      <c r="D40" s="11">
        <v>290</v>
      </c>
      <c r="E40" s="11">
        <v>271044</v>
      </c>
      <c r="F40" s="14">
        <v>7.17</v>
      </c>
      <c r="G40" s="19">
        <v>13051</v>
      </c>
      <c r="H40" s="19">
        <f t="shared" si="0"/>
        <v>1166</v>
      </c>
      <c r="I40" s="21">
        <f t="shared" si="1"/>
        <v>4.3018845648676966E-3</v>
      </c>
    </row>
    <row r="41" spans="1:9" ht="15.75" customHeight="1">
      <c r="A41" s="10">
        <v>45537</v>
      </c>
      <c r="B41" s="11" t="s">
        <v>14</v>
      </c>
      <c r="C41" s="11">
        <v>721</v>
      </c>
      <c r="D41" s="11">
        <v>206</v>
      </c>
      <c r="E41" s="11">
        <v>334887</v>
      </c>
      <c r="F41" s="14">
        <v>6.05</v>
      </c>
      <c r="G41" s="19">
        <v>14217</v>
      </c>
      <c r="H41" s="19">
        <f t="shared" si="0"/>
        <v>515</v>
      </c>
      <c r="I41" s="21">
        <f t="shared" si="1"/>
        <v>1.5378321642822803E-3</v>
      </c>
    </row>
    <row r="42" spans="1:9" ht="15.75" customHeight="1">
      <c r="A42" s="10">
        <v>45537</v>
      </c>
      <c r="B42" s="11" t="s">
        <v>24</v>
      </c>
      <c r="C42" s="11">
        <v>1098</v>
      </c>
      <c r="D42" s="11">
        <v>142</v>
      </c>
      <c r="E42" s="11">
        <v>359150</v>
      </c>
      <c r="F42" s="14">
        <v>7.51</v>
      </c>
      <c r="G42" s="19">
        <v>16385</v>
      </c>
      <c r="H42" s="19">
        <f t="shared" si="0"/>
        <v>956</v>
      </c>
      <c r="I42" s="21">
        <f t="shared" si="1"/>
        <v>2.6618404566337186E-3</v>
      </c>
    </row>
    <row r="43" spans="1:9" ht="15.75" customHeight="1">
      <c r="A43" s="10">
        <v>45537</v>
      </c>
      <c r="B43" s="11" t="s">
        <v>31</v>
      </c>
      <c r="C43" s="11">
        <v>1096</v>
      </c>
      <c r="D43" s="11">
        <v>65</v>
      </c>
      <c r="E43" s="11">
        <v>358295</v>
      </c>
      <c r="F43" s="14">
        <v>7.66</v>
      </c>
      <c r="G43" s="19">
        <v>24548</v>
      </c>
      <c r="H43" s="19">
        <f t="shared" si="0"/>
        <v>1031</v>
      </c>
      <c r="I43" s="21">
        <f t="shared" si="1"/>
        <v>2.8775171297394605E-3</v>
      </c>
    </row>
    <row r="44" spans="1:9" ht="15.75" customHeight="1">
      <c r="A44" s="10">
        <v>45544</v>
      </c>
      <c r="B44" s="11" t="s">
        <v>14</v>
      </c>
      <c r="C44" s="11">
        <v>912</v>
      </c>
      <c r="D44" s="11">
        <v>275</v>
      </c>
      <c r="E44" s="11">
        <v>368454</v>
      </c>
      <c r="F44" s="14">
        <v>6.03</v>
      </c>
      <c r="G44" s="19">
        <v>9195</v>
      </c>
      <c r="H44" s="19">
        <f t="shared" si="0"/>
        <v>637</v>
      </c>
      <c r="I44" s="21">
        <f t="shared" si="1"/>
        <v>1.7288453918263881E-3</v>
      </c>
    </row>
    <row r="45" spans="1:9" ht="15.75" customHeight="1">
      <c r="A45" s="10">
        <v>45544</v>
      </c>
      <c r="B45" s="11" t="s">
        <v>24</v>
      </c>
      <c r="C45" s="11">
        <v>1430</v>
      </c>
      <c r="D45" s="11">
        <v>162</v>
      </c>
      <c r="E45" s="11">
        <v>269082</v>
      </c>
      <c r="F45" s="14">
        <v>3.4</v>
      </c>
      <c r="G45" s="19">
        <v>18071</v>
      </c>
      <c r="H45" s="19">
        <f t="shared" si="0"/>
        <v>1268</v>
      </c>
      <c r="I45" s="21">
        <f t="shared" si="1"/>
        <v>4.7123181781018424E-3</v>
      </c>
    </row>
    <row r="46" spans="1:9" ht="15.75" customHeight="1">
      <c r="A46" s="10">
        <v>45544</v>
      </c>
      <c r="B46" s="11" t="s">
        <v>31</v>
      </c>
      <c r="C46" s="11">
        <v>854</v>
      </c>
      <c r="D46" s="11">
        <v>129</v>
      </c>
      <c r="E46" s="11">
        <v>310903</v>
      </c>
      <c r="F46" s="14">
        <v>7.83</v>
      </c>
      <c r="G46" s="19">
        <v>16875</v>
      </c>
      <c r="H46" s="19">
        <f t="shared" si="0"/>
        <v>725</v>
      </c>
      <c r="I46" s="21">
        <f t="shared" si="1"/>
        <v>2.3319170287838973E-3</v>
      </c>
    </row>
    <row r="47" spans="1:9" ht="15.75" customHeight="1">
      <c r="A47" s="10">
        <v>45551</v>
      </c>
      <c r="B47" s="11" t="s">
        <v>14</v>
      </c>
      <c r="C47" s="11">
        <v>681</v>
      </c>
      <c r="D47" s="11">
        <v>210</v>
      </c>
      <c r="E47" s="11">
        <v>248581</v>
      </c>
      <c r="F47" s="14">
        <v>8.76</v>
      </c>
      <c r="G47" s="19">
        <v>9567</v>
      </c>
      <c r="H47" s="19">
        <f t="shared" si="0"/>
        <v>471</v>
      </c>
      <c r="I47" s="21">
        <f t="shared" si="1"/>
        <v>1.8947546272643525E-3</v>
      </c>
    </row>
    <row r="48" spans="1:9" ht="15.75" customHeight="1">
      <c r="A48" s="10">
        <v>45551</v>
      </c>
      <c r="B48" s="11" t="s">
        <v>24</v>
      </c>
      <c r="C48" s="11">
        <v>1373</v>
      </c>
      <c r="D48" s="11">
        <v>82</v>
      </c>
      <c r="E48" s="11">
        <v>371015</v>
      </c>
      <c r="F48" s="14">
        <v>9.52</v>
      </c>
      <c r="G48" s="19">
        <v>20306</v>
      </c>
      <c r="H48" s="19">
        <f t="shared" si="0"/>
        <v>1291</v>
      </c>
      <c r="I48" s="21">
        <f t="shared" si="1"/>
        <v>3.4796436801746559E-3</v>
      </c>
    </row>
    <row r="49" spans="1:9" ht="15.75" customHeight="1">
      <c r="A49" s="10">
        <v>45551</v>
      </c>
      <c r="B49" s="11" t="s">
        <v>31</v>
      </c>
      <c r="C49" s="11">
        <v>685</v>
      </c>
      <c r="D49" s="11">
        <v>285</v>
      </c>
      <c r="E49" s="11">
        <v>177452</v>
      </c>
      <c r="F49" s="14">
        <v>3.36</v>
      </c>
      <c r="G49" s="19">
        <v>21134</v>
      </c>
      <c r="H49" s="19">
        <f t="shared" si="0"/>
        <v>400</v>
      </c>
      <c r="I49" s="21">
        <f t="shared" si="1"/>
        <v>2.2541306944976669E-3</v>
      </c>
    </row>
    <row r="50" spans="1:9" ht="15.75" customHeight="1">
      <c r="A50" s="10">
        <v>45558</v>
      </c>
      <c r="B50" s="11" t="s">
        <v>14</v>
      </c>
      <c r="C50" s="11">
        <v>1290</v>
      </c>
      <c r="D50" s="11">
        <v>177</v>
      </c>
      <c r="E50" s="11">
        <v>80745</v>
      </c>
      <c r="F50" s="14">
        <v>9.2200000000000006</v>
      </c>
      <c r="G50" s="19">
        <v>26872</v>
      </c>
      <c r="H50" s="19">
        <f t="shared" si="0"/>
        <v>1113</v>
      </c>
      <c r="I50" s="21">
        <f t="shared" si="1"/>
        <v>1.3784135240572171E-2</v>
      </c>
    </row>
    <row r="51" spans="1:9" ht="15.75" customHeight="1">
      <c r="A51" s="10">
        <v>45558</v>
      </c>
      <c r="B51" s="11" t="s">
        <v>24</v>
      </c>
      <c r="C51" s="11">
        <v>1437</v>
      </c>
      <c r="D51" s="11">
        <v>239</v>
      </c>
      <c r="E51" s="11">
        <v>362441</v>
      </c>
      <c r="F51" s="14">
        <v>5.57</v>
      </c>
      <c r="G51" s="19">
        <v>10253</v>
      </c>
      <c r="H51" s="19">
        <f t="shared" si="0"/>
        <v>1198</v>
      </c>
      <c r="I51" s="21">
        <f t="shared" si="1"/>
        <v>3.305365562946797E-3</v>
      </c>
    </row>
    <row r="52" spans="1:9" ht="15.75" customHeight="1">
      <c r="A52" s="10">
        <v>45558</v>
      </c>
      <c r="B52" s="11" t="s">
        <v>31</v>
      </c>
      <c r="C52" s="11">
        <v>769</v>
      </c>
      <c r="D52" s="11">
        <v>295</v>
      </c>
      <c r="E52" s="11">
        <v>344771</v>
      </c>
      <c r="F52" s="14">
        <v>8.06</v>
      </c>
      <c r="G52" s="19">
        <v>23963</v>
      </c>
      <c r="H52" s="19">
        <f t="shared" si="0"/>
        <v>474</v>
      </c>
      <c r="I52" s="21">
        <f t="shared" si="1"/>
        <v>1.3748256088824177E-3</v>
      </c>
    </row>
    <row r="53" spans="1:9" ht="15.75" customHeight="1">
      <c r="A53" s="10">
        <v>45565</v>
      </c>
      <c r="B53" s="11" t="s">
        <v>14</v>
      </c>
      <c r="C53" s="11">
        <v>1416</v>
      </c>
      <c r="D53" s="11">
        <v>284</v>
      </c>
      <c r="E53" s="11">
        <v>374952</v>
      </c>
      <c r="F53" s="14">
        <v>3.45</v>
      </c>
      <c r="G53" s="19">
        <v>11335</v>
      </c>
      <c r="H53" s="19">
        <f t="shared" si="0"/>
        <v>1132</v>
      </c>
      <c r="I53" s="21">
        <f t="shared" si="1"/>
        <v>3.0190531054641659E-3</v>
      </c>
    </row>
    <row r="54" spans="1:9" ht="15.75" customHeight="1">
      <c r="A54" s="10">
        <v>45565</v>
      </c>
      <c r="B54" s="11" t="s">
        <v>24</v>
      </c>
      <c r="C54" s="11">
        <v>998</v>
      </c>
      <c r="D54" s="11">
        <v>154</v>
      </c>
      <c r="E54" s="11">
        <v>179781</v>
      </c>
      <c r="F54" s="14">
        <v>9.58</v>
      </c>
      <c r="G54" s="19">
        <v>12115</v>
      </c>
      <c r="H54" s="19">
        <f t="shared" si="0"/>
        <v>844</v>
      </c>
      <c r="I54" s="21">
        <f t="shared" si="1"/>
        <v>4.6946006530167259E-3</v>
      </c>
    </row>
    <row r="55" spans="1:9" ht="15.75" customHeight="1">
      <c r="A55" s="10">
        <v>45565</v>
      </c>
      <c r="B55" s="11" t="s">
        <v>31</v>
      </c>
      <c r="C55" s="11">
        <v>1421</v>
      </c>
      <c r="D55" s="11">
        <v>246</v>
      </c>
      <c r="E55" s="11">
        <v>358581</v>
      </c>
      <c r="F55" s="14">
        <v>8.8800000000000008</v>
      </c>
      <c r="G55" s="19">
        <v>24358</v>
      </c>
      <c r="H55" s="19">
        <f t="shared" si="0"/>
        <v>1175</v>
      </c>
      <c r="I55" s="21">
        <f t="shared" si="1"/>
        <v>3.2768049617799048E-3</v>
      </c>
    </row>
    <row r="56" spans="1:9" ht="15.75" customHeight="1">
      <c r="A56" s="10">
        <v>45572</v>
      </c>
      <c r="B56" s="11" t="s">
        <v>14</v>
      </c>
      <c r="C56" s="11">
        <v>764</v>
      </c>
      <c r="D56" s="11">
        <v>205</v>
      </c>
      <c r="E56" s="11">
        <v>319294</v>
      </c>
      <c r="F56" s="14">
        <v>6.23</v>
      </c>
      <c r="G56" s="19">
        <v>12181</v>
      </c>
      <c r="H56" s="19">
        <f t="shared" si="0"/>
        <v>559</v>
      </c>
      <c r="I56" s="21">
        <f t="shared" si="1"/>
        <v>1.7507375647522346E-3</v>
      </c>
    </row>
    <row r="57" spans="1:9" ht="15.75" customHeight="1">
      <c r="A57" s="10">
        <v>45572</v>
      </c>
      <c r="B57" s="11" t="s">
        <v>24</v>
      </c>
      <c r="C57" s="11">
        <v>678</v>
      </c>
      <c r="D57" s="11">
        <v>124</v>
      </c>
      <c r="E57" s="11">
        <v>192022</v>
      </c>
      <c r="F57" s="14">
        <v>8.4499999999999993</v>
      </c>
      <c r="G57" s="19">
        <v>17729</v>
      </c>
      <c r="H57" s="19">
        <f t="shared" si="0"/>
        <v>554</v>
      </c>
      <c r="I57" s="21">
        <f t="shared" si="1"/>
        <v>2.8850860838862216E-3</v>
      </c>
    </row>
    <row r="58" spans="1:9" ht="15.75" customHeight="1">
      <c r="A58" s="10">
        <v>45572</v>
      </c>
      <c r="B58" s="11" t="s">
        <v>31</v>
      </c>
      <c r="C58" s="11">
        <v>1328</v>
      </c>
      <c r="D58" s="11">
        <v>103</v>
      </c>
      <c r="E58" s="11">
        <v>151462</v>
      </c>
      <c r="F58" s="14">
        <v>8.4</v>
      </c>
      <c r="G58" s="19">
        <v>10881</v>
      </c>
      <c r="H58" s="19">
        <f t="shared" si="0"/>
        <v>1225</v>
      </c>
      <c r="I58" s="21">
        <f t="shared" si="1"/>
        <v>8.0878372132944243E-3</v>
      </c>
    </row>
    <row r="59" spans="1:9" ht="15.75" customHeight="1">
      <c r="A59" s="10">
        <v>45579</v>
      </c>
      <c r="B59" s="11" t="s">
        <v>14</v>
      </c>
      <c r="C59" s="11">
        <v>1161</v>
      </c>
      <c r="D59" s="11">
        <v>269</v>
      </c>
      <c r="E59" s="11">
        <v>188193</v>
      </c>
      <c r="F59" s="14">
        <v>7.34</v>
      </c>
      <c r="G59" s="19">
        <v>18576</v>
      </c>
      <c r="H59" s="19">
        <f t="shared" si="0"/>
        <v>892</v>
      </c>
      <c r="I59" s="21">
        <f t="shared" si="1"/>
        <v>4.7398149771776844E-3</v>
      </c>
    </row>
    <row r="60" spans="1:9" ht="15.75" customHeight="1">
      <c r="A60" s="10">
        <v>45579</v>
      </c>
      <c r="B60" s="11" t="s">
        <v>24</v>
      </c>
      <c r="C60" s="11">
        <v>588</v>
      </c>
      <c r="D60" s="11">
        <v>52</v>
      </c>
      <c r="E60" s="11">
        <v>292040</v>
      </c>
      <c r="F60" s="14">
        <v>8.14</v>
      </c>
      <c r="G60" s="19">
        <v>9383</v>
      </c>
      <c r="H60" s="19">
        <f t="shared" si="0"/>
        <v>536</v>
      </c>
      <c r="I60" s="21">
        <f t="shared" si="1"/>
        <v>1.8353650184906177E-3</v>
      </c>
    </row>
    <row r="61" spans="1:9" ht="15.75" customHeight="1">
      <c r="A61" s="10">
        <v>45579</v>
      </c>
      <c r="B61" s="11" t="s">
        <v>31</v>
      </c>
      <c r="C61" s="11">
        <v>1457</v>
      </c>
      <c r="D61" s="11">
        <v>215</v>
      </c>
      <c r="E61" s="11">
        <v>325325</v>
      </c>
      <c r="F61" s="14">
        <v>9.58</v>
      </c>
      <c r="G61" s="19">
        <v>14178</v>
      </c>
      <c r="H61" s="19">
        <f t="shared" si="0"/>
        <v>1242</v>
      </c>
      <c r="I61" s="21">
        <f t="shared" si="1"/>
        <v>3.8177207407976638E-3</v>
      </c>
    </row>
    <row r="62" spans="1:9" ht="15.75" customHeight="1">
      <c r="A62" s="10">
        <v>45586</v>
      </c>
      <c r="B62" s="11" t="s">
        <v>14</v>
      </c>
      <c r="C62" s="11">
        <v>1190</v>
      </c>
      <c r="D62" s="11">
        <v>242</v>
      </c>
      <c r="E62" s="11">
        <v>86849</v>
      </c>
      <c r="F62" s="14">
        <v>8.06</v>
      </c>
      <c r="G62" s="19">
        <v>21254</v>
      </c>
      <c r="H62" s="19">
        <f t="shared" si="0"/>
        <v>948</v>
      </c>
      <c r="I62" s="21">
        <f t="shared" si="1"/>
        <v>1.0915497012055407E-2</v>
      </c>
    </row>
    <row r="63" spans="1:9" ht="15.75" customHeight="1">
      <c r="A63" s="10">
        <v>45586</v>
      </c>
      <c r="B63" s="11" t="s">
        <v>24</v>
      </c>
      <c r="C63" s="11">
        <v>886</v>
      </c>
      <c r="D63" s="11">
        <v>124</v>
      </c>
      <c r="E63" s="11">
        <v>141161</v>
      </c>
      <c r="F63" s="14">
        <v>8.19</v>
      </c>
      <c r="G63" s="19">
        <v>14215</v>
      </c>
      <c r="H63" s="19">
        <f t="shared" si="0"/>
        <v>762</v>
      </c>
      <c r="I63" s="21">
        <f t="shared" si="1"/>
        <v>5.3980915408646862E-3</v>
      </c>
    </row>
    <row r="64" spans="1:9" ht="15.75" customHeight="1">
      <c r="A64" s="10">
        <v>45586</v>
      </c>
      <c r="B64" s="11" t="s">
        <v>31</v>
      </c>
      <c r="C64" s="11">
        <v>1237</v>
      </c>
      <c r="D64" s="11">
        <v>155</v>
      </c>
      <c r="E64" s="11">
        <v>149916</v>
      </c>
      <c r="F64" s="14">
        <v>4.4800000000000004</v>
      </c>
      <c r="G64" s="19">
        <v>16921</v>
      </c>
      <c r="H64" s="19">
        <f t="shared" si="0"/>
        <v>1082</v>
      </c>
      <c r="I64" s="21">
        <f t="shared" si="1"/>
        <v>7.2173750633688196E-3</v>
      </c>
    </row>
    <row r="65" spans="1:9" ht="15.75" customHeight="1">
      <c r="A65" s="10">
        <v>45593</v>
      </c>
      <c r="B65" s="11" t="s">
        <v>14</v>
      </c>
      <c r="C65" s="11">
        <v>1435</v>
      </c>
      <c r="D65" s="11">
        <v>261</v>
      </c>
      <c r="E65" s="11">
        <v>308533</v>
      </c>
      <c r="F65" s="14">
        <v>4.5199999999999996</v>
      </c>
      <c r="G65" s="19">
        <v>25130</v>
      </c>
      <c r="H65" s="19">
        <f t="shared" si="0"/>
        <v>1174</v>
      </c>
      <c r="I65" s="21">
        <f t="shared" si="1"/>
        <v>3.8051035059458792E-3</v>
      </c>
    </row>
    <row r="66" spans="1:9" ht="15.75" customHeight="1">
      <c r="A66" s="10">
        <v>45593</v>
      </c>
      <c r="B66" s="11" t="s">
        <v>24</v>
      </c>
      <c r="C66" s="11">
        <v>746</v>
      </c>
      <c r="D66" s="11">
        <v>282</v>
      </c>
      <c r="E66" s="11">
        <v>293894</v>
      </c>
      <c r="F66" s="14">
        <v>5.42</v>
      </c>
      <c r="G66" s="19">
        <v>25537</v>
      </c>
      <c r="H66" s="19">
        <f t="shared" si="0"/>
        <v>464</v>
      </c>
      <c r="I66" s="21">
        <f t="shared" si="1"/>
        <v>1.5788005199153436E-3</v>
      </c>
    </row>
    <row r="67" spans="1:9" ht="15.75" customHeight="1">
      <c r="A67" s="10">
        <v>45593</v>
      </c>
      <c r="B67" s="11" t="s">
        <v>31</v>
      </c>
      <c r="C67" s="11">
        <v>759</v>
      </c>
      <c r="D67" s="11">
        <v>216</v>
      </c>
      <c r="E67" s="11">
        <v>147656</v>
      </c>
      <c r="F67" s="14">
        <v>4.08</v>
      </c>
      <c r="G67" s="19">
        <v>24943</v>
      </c>
      <c r="H67" s="19">
        <f t="shared" ref="H67:H130" si="2">C67-D67</f>
        <v>543</v>
      </c>
      <c r="I67" s="21">
        <f t="shared" ref="I67:I130" si="3">H67/E67</f>
        <v>3.6774665438586984E-3</v>
      </c>
    </row>
    <row r="68" spans="1:9" ht="15.75" customHeight="1">
      <c r="A68" s="10">
        <v>45600</v>
      </c>
      <c r="B68" s="11" t="s">
        <v>14</v>
      </c>
      <c r="C68" s="11">
        <v>1437</v>
      </c>
      <c r="D68" s="11">
        <v>235</v>
      </c>
      <c r="E68" s="11">
        <v>326791</v>
      </c>
      <c r="F68" s="14">
        <v>4.0599999999999996</v>
      </c>
      <c r="G68" s="19">
        <v>14563</v>
      </c>
      <c r="H68" s="19">
        <f t="shared" si="2"/>
        <v>1202</v>
      </c>
      <c r="I68" s="21">
        <f t="shared" si="3"/>
        <v>3.6781918718691762E-3</v>
      </c>
    </row>
    <row r="69" spans="1:9" ht="15.75" customHeight="1">
      <c r="A69" s="10">
        <v>45600</v>
      </c>
      <c r="B69" s="11" t="s">
        <v>24</v>
      </c>
      <c r="C69" s="11">
        <v>1463</v>
      </c>
      <c r="D69" s="11">
        <v>73</v>
      </c>
      <c r="E69" s="11">
        <v>348877</v>
      </c>
      <c r="F69" s="14">
        <v>9.91</v>
      </c>
      <c r="G69" s="19">
        <v>26273</v>
      </c>
      <c r="H69" s="19">
        <f t="shared" si="2"/>
        <v>1390</v>
      </c>
      <c r="I69" s="21">
        <f t="shared" si="3"/>
        <v>3.9842122008616216E-3</v>
      </c>
    </row>
    <row r="70" spans="1:9" ht="15.75" customHeight="1">
      <c r="A70" s="10">
        <v>45600</v>
      </c>
      <c r="B70" s="11" t="s">
        <v>31</v>
      </c>
      <c r="C70" s="11">
        <v>1208</v>
      </c>
      <c r="D70" s="11">
        <v>224</v>
      </c>
      <c r="E70" s="11">
        <v>122730</v>
      </c>
      <c r="F70" s="14">
        <v>8.7200000000000006</v>
      </c>
      <c r="G70" s="19">
        <v>10858</v>
      </c>
      <c r="H70" s="19">
        <f t="shared" si="2"/>
        <v>984</v>
      </c>
      <c r="I70" s="21">
        <f t="shared" si="3"/>
        <v>8.0175996088975802E-3</v>
      </c>
    </row>
    <row r="71" spans="1:9" ht="15.75" customHeight="1">
      <c r="A71" s="10">
        <v>45607</v>
      </c>
      <c r="B71" s="11" t="s">
        <v>14</v>
      </c>
      <c r="C71" s="11">
        <v>1391</v>
      </c>
      <c r="D71" s="11">
        <v>187</v>
      </c>
      <c r="E71" s="11">
        <v>306508</v>
      </c>
      <c r="F71" s="14">
        <v>8.3800000000000008</v>
      </c>
      <c r="G71" s="19">
        <v>25038</v>
      </c>
      <c r="H71" s="19">
        <f t="shared" si="2"/>
        <v>1204</v>
      </c>
      <c r="I71" s="21">
        <f t="shared" si="3"/>
        <v>3.9281193313061976E-3</v>
      </c>
    </row>
    <row r="72" spans="1:9" ht="15.75" customHeight="1">
      <c r="A72" s="10">
        <v>45607</v>
      </c>
      <c r="B72" s="11" t="s">
        <v>24</v>
      </c>
      <c r="C72" s="11">
        <v>655</v>
      </c>
      <c r="D72" s="11">
        <v>123</v>
      </c>
      <c r="E72" s="11">
        <v>202472</v>
      </c>
      <c r="F72" s="14">
        <v>7.56</v>
      </c>
      <c r="G72" s="19">
        <v>9092</v>
      </c>
      <c r="H72" s="19">
        <f t="shared" si="2"/>
        <v>532</v>
      </c>
      <c r="I72" s="21">
        <f t="shared" si="3"/>
        <v>2.6275238057607967E-3</v>
      </c>
    </row>
    <row r="73" spans="1:9" ht="15.75" customHeight="1">
      <c r="A73" s="10">
        <v>45607</v>
      </c>
      <c r="B73" s="11" t="s">
        <v>31</v>
      </c>
      <c r="C73" s="11">
        <v>1148</v>
      </c>
      <c r="D73" s="11">
        <v>90</v>
      </c>
      <c r="E73" s="11">
        <v>227249</v>
      </c>
      <c r="F73" s="14">
        <v>7.24</v>
      </c>
      <c r="G73" s="19">
        <v>17662</v>
      </c>
      <c r="H73" s="19">
        <f t="shared" si="2"/>
        <v>1058</v>
      </c>
      <c r="I73" s="21">
        <f t="shared" si="3"/>
        <v>4.6556860536239985E-3</v>
      </c>
    </row>
    <row r="74" spans="1:9" ht="15.75" customHeight="1">
      <c r="A74" s="10">
        <v>45614</v>
      </c>
      <c r="B74" s="11" t="s">
        <v>14</v>
      </c>
      <c r="C74" s="11">
        <v>946</v>
      </c>
      <c r="D74" s="11">
        <v>270</v>
      </c>
      <c r="E74" s="11">
        <v>246567</v>
      </c>
      <c r="F74" s="14">
        <v>4.53</v>
      </c>
      <c r="G74" s="19">
        <v>5924</v>
      </c>
      <c r="H74" s="19">
        <f t="shared" si="2"/>
        <v>676</v>
      </c>
      <c r="I74" s="21">
        <f t="shared" si="3"/>
        <v>2.741648314656868E-3</v>
      </c>
    </row>
    <row r="75" spans="1:9" ht="15.75" customHeight="1">
      <c r="A75" s="10">
        <v>45614</v>
      </c>
      <c r="B75" s="11" t="s">
        <v>24</v>
      </c>
      <c r="C75" s="11">
        <v>791</v>
      </c>
      <c r="D75" s="11">
        <v>214</v>
      </c>
      <c r="E75" s="11">
        <v>114738</v>
      </c>
      <c r="F75" s="14">
        <v>6.62</v>
      </c>
      <c r="G75" s="19">
        <v>25347</v>
      </c>
      <c r="H75" s="19">
        <f t="shared" si="2"/>
        <v>577</v>
      </c>
      <c r="I75" s="21">
        <f t="shared" si="3"/>
        <v>5.0288483327232481E-3</v>
      </c>
    </row>
    <row r="76" spans="1:9" ht="15.75" customHeight="1">
      <c r="A76" s="10">
        <v>45614</v>
      </c>
      <c r="B76" s="11" t="s">
        <v>31</v>
      </c>
      <c r="C76" s="11">
        <v>793</v>
      </c>
      <c r="D76" s="11">
        <v>111</v>
      </c>
      <c r="E76" s="11">
        <v>333500</v>
      </c>
      <c r="F76" s="14">
        <v>6.36</v>
      </c>
      <c r="G76" s="19">
        <v>8910</v>
      </c>
      <c r="H76" s="19">
        <f t="shared" si="2"/>
        <v>682</v>
      </c>
      <c r="I76" s="21">
        <f t="shared" si="3"/>
        <v>2.0449775112443779E-3</v>
      </c>
    </row>
    <row r="77" spans="1:9" ht="15.75" customHeight="1">
      <c r="A77" s="10">
        <v>45621</v>
      </c>
      <c r="B77" s="11" t="s">
        <v>14</v>
      </c>
      <c r="C77" s="11">
        <v>663</v>
      </c>
      <c r="D77" s="11">
        <v>213</v>
      </c>
      <c r="E77" s="11">
        <v>352677</v>
      </c>
      <c r="F77" s="14">
        <v>9</v>
      </c>
      <c r="G77" s="19">
        <v>20438</v>
      </c>
      <c r="H77" s="19">
        <f t="shared" si="2"/>
        <v>450</v>
      </c>
      <c r="I77" s="21">
        <f t="shared" si="3"/>
        <v>1.2759550523566889E-3</v>
      </c>
    </row>
    <row r="78" spans="1:9" ht="15.75" customHeight="1">
      <c r="A78" s="10">
        <v>45621</v>
      </c>
      <c r="B78" s="11" t="s">
        <v>24</v>
      </c>
      <c r="C78" s="11">
        <v>954</v>
      </c>
      <c r="D78" s="11">
        <v>271</v>
      </c>
      <c r="E78" s="11">
        <v>160936</v>
      </c>
      <c r="F78" s="14">
        <v>8.83</v>
      </c>
      <c r="G78" s="19">
        <v>8760</v>
      </c>
      <c r="H78" s="19">
        <f t="shared" si="2"/>
        <v>683</v>
      </c>
      <c r="I78" s="21">
        <f t="shared" si="3"/>
        <v>4.2439230501565839E-3</v>
      </c>
    </row>
    <row r="79" spans="1:9" ht="15.75" customHeight="1">
      <c r="A79" s="10">
        <v>45621</v>
      </c>
      <c r="B79" s="11" t="s">
        <v>31</v>
      </c>
      <c r="C79" s="11">
        <v>1313</v>
      </c>
      <c r="D79" s="11">
        <v>159</v>
      </c>
      <c r="E79" s="11">
        <v>197183</v>
      </c>
      <c r="F79" s="14">
        <v>9.7100000000000009</v>
      </c>
      <c r="G79" s="19">
        <v>6625</v>
      </c>
      <c r="H79" s="19">
        <f t="shared" si="2"/>
        <v>1154</v>
      </c>
      <c r="I79" s="21">
        <f t="shared" si="3"/>
        <v>5.8524314976443207E-3</v>
      </c>
    </row>
    <row r="80" spans="1:9" ht="15.75" customHeight="1">
      <c r="A80" s="10">
        <v>45628</v>
      </c>
      <c r="B80" s="11" t="s">
        <v>14</v>
      </c>
      <c r="C80" s="11">
        <v>895</v>
      </c>
      <c r="D80" s="11">
        <v>87</v>
      </c>
      <c r="E80" s="11">
        <v>171271</v>
      </c>
      <c r="F80" s="14">
        <v>6.68</v>
      </c>
      <c r="G80" s="19">
        <v>23329</v>
      </c>
      <c r="H80" s="19">
        <f t="shared" si="2"/>
        <v>808</v>
      </c>
      <c r="I80" s="21">
        <f t="shared" si="3"/>
        <v>4.7176696580273365E-3</v>
      </c>
    </row>
    <row r="81" spans="1:9" ht="15.75" customHeight="1">
      <c r="A81" s="10">
        <v>45628</v>
      </c>
      <c r="B81" s="11" t="s">
        <v>24</v>
      </c>
      <c r="C81" s="11">
        <v>1027</v>
      </c>
      <c r="D81" s="11">
        <v>156</v>
      </c>
      <c r="E81" s="11">
        <v>111293</v>
      </c>
      <c r="F81" s="14">
        <v>5.51</v>
      </c>
      <c r="G81" s="19">
        <v>7299</v>
      </c>
      <c r="H81" s="19">
        <f t="shared" si="2"/>
        <v>871</v>
      </c>
      <c r="I81" s="21">
        <f t="shared" si="3"/>
        <v>7.8261885293774095E-3</v>
      </c>
    </row>
    <row r="82" spans="1:9" ht="15.75" customHeight="1">
      <c r="A82" s="10">
        <v>45628</v>
      </c>
      <c r="B82" s="11" t="s">
        <v>31</v>
      </c>
      <c r="C82" s="11">
        <v>990</v>
      </c>
      <c r="D82" s="11">
        <v>286</v>
      </c>
      <c r="E82" s="11">
        <v>351493</v>
      </c>
      <c r="F82" s="14">
        <v>7.97</v>
      </c>
      <c r="G82" s="19">
        <v>14496</v>
      </c>
      <c r="H82" s="19">
        <f t="shared" si="2"/>
        <v>704</v>
      </c>
      <c r="I82" s="21">
        <f t="shared" si="3"/>
        <v>2.0028848369668811E-3</v>
      </c>
    </row>
    <row r="83" spans="1:9" ht="15.75" customHeight="1">
      <c r="A83" s="10">
        <v>45635</v>
      </c>
      <c r="B83" s="11" t="s">
        <v>14</v>
      </c>
      <c r="C83" s="11">
        <v>875</v>
      </c>
      <c r="D83" s="11">
        <v>264</v>
      </c>
      <c r="E83" s="11">
        <v>345631</v>
      </c>
      <c r="F83" s="14">
        <v>9.18</v>
      </c>
      <c r="G83" s="19">
        <v>25703</v>
      </c>
      <c r="H83" s="19">
        <f t="shared" si="2"/>
        <v>611</v>
      </c>
      <c r="I83" s="21">
        <f t="shared" si="3"/>
        <v>1.7677812464738406E-3</v>
      </c>
    </row>
    <row r="84" spans="1:9" ht="15.75" customHeight="1">
      <c r="A84" s="10">
        <v>45635</v>
      </c>
      <c r="B84" s="11" t="s">
        <v>24</v>
      </c>
      <c r="C84" s="11">
        <v>599</v>
      </c>
      <c r="D84" s="11">
        <v>194</v>
      </c>
      <c r="E84" s="11">
        <v>105622</v>
      </c>
      <c r="F84" s="14">
        <v>6.44</v>
      </c>
      <c r="G84" s="19">
        <v>15108</v>
      </c>
      <c r="H84" s="19">
        <f t="shared" si="2"/>
        <v>405</v>
      </c>
      <c r="I84" s="21">
        <f t="shared" si="3"/>
        <v>3.8344284334702996E-3</v>
      </c>
    </row>
    <row r="85" spans="1:9" ht="15.75" customHeight="1">
      <c r="A85" s="10">
        <v>45635</v>
      </c>
      <c r="B85" s="11" t="s">
        <v>31</v>
      </c>
      <c r="C85" s="11">
        <v>630</v>
      </c>
      <c r="D85" s="11">
        <v>248</v>
      </c>
      <c r="E85" s="11">
        <v>119054</v>
      </c>
      <c r="F85" s="14">
        <v>5.0199999999999996</v>
      </c>
      <c r="G85" s="19">
        <v>18867</v>
      </c>
      <c r="H85" s="19">
        <f t="shared" si="2"/>
        <v>382</v>
      </c>
      <c r="I85" s="21">
        <f t="shared" si="3"/>
        <v>3.2086280175382597E-3</v>
      </c>
    </row>
    <row r="86" spans="1:9" ht="15.75" customHeight="1">
      <c r="A86" s="10">
        <v>45642</v>
      </c>
      <c r="B86" s="11" t="s">
        <v>14</v>
      </c>
      <c r="C86" s="11">
        <v>1350</v>
      </c>
      <c r="D86" s="11">
        <v>233</v>
      </c>
      <c r="E86" s="11">
        <v>171670</v>
      </c>
      <c r="F86" s="14">
        <v>4.53</v>
      </c>
      <c r="G86" s="19">
        <v>17574</v>
      </c>
      <c r="H86" s="19">
        <f t="shared" si="2"/>
        <v>1117</v>
      </c>
      <c r="I86" s="21">
        <f t="shared" si="3"/>
        <v>6.506669773402458E-3</v>
      </c>
    </row>
    <row r="87" spans="1:9" ht="15.75" customHeight="1">
      <c r="A87" s="10">
        <v>45642</v>
      </c>
      <c r="B87" s="11" t="s">
        <v>24</v>
      </c>
      <c r="C87" s="11">
        <v>632</v>
      </c>
      <c r="D87" s="11">
        <v>155</v>
      </c>
      <c r="E87" s="11">
        <v>170432</v>
      </c>
      <c r="F87" s="14">
        <v>9.17</v>
      </c>
      <c r="G87" s="19">
        <v>12840</v>
      </c>
      <c r="H87" s="19">
        <f t="shared" si="2"/>
        <v>477</v>
      </c>
      <c r="I87" s="21">
        <f t="shared" si="3"/>
        <v>2.7987701840030041E-3</v>
      </c>
    </row>
    <row r="88" spans="1:9" ht="15.75" customHeight="1">
      <c r="A88" s="10">
        <v>45642</v>
      </c>
      <c r="B88" s="11" t="s">
        <v>31</v>
      </c>
      <c r="C88" s="11">
        <v>1182</v>
      </c>
      <c r="D88" s="11">
        <v>83</v>
      </c>
      <c r="E88" s="11">
        <v>140300</v>
      </c>
      <c r="F88" s="14">
        <v>3.27</v>
      </c>
      <c r="G88" s="19">
        <v>21079</v>
      </c>
      <c r="H88" s="19">
        <f t="shared" si="2"/>
        <v>1099</v>
      </c>
      <c r="I88" s="21">
        <f t="shared" si="3"/>
        <v>7.8332145402708487E-3</v>
      </c>
    </row>
    <row r="89" spans="1:9" ht="15.75" customHeight="1">
      <c r="A89" s="10">
        <v>45649</v>
      </c>
      <c r="B89" s="11" t="s">
        <v>14</v>
      </c>
      <c r="C89" s="11">
        <v>661</v>
      </c>
      <c r="D89" s="11">
        <v>94</v>
      </c>
      <c r="E89" s="11">
        <v>116538</v>
      </c>
      <c r="F89" s="14">
        <v>5.31</v>
      </c>
      <c r="G89" s="19">
        <v>23486</v>
      </c>
      <c r="H89" s="19">
        <f t="shared" si="2"/>
        <v>567</v>
      </c>
      <c r="I89" s="21">
        <f t="shared" si="3"/>
        <v>4.8653658034289241E-3</v>
      </c>
    </row>
    <row r="90" spans="1:9" ht="15.75" customHeight="1">
      <c r="A90" s="10">
        <v>45649</v>
      </c>
      <c r="B90" s="11" t="s">
        <v>24</v>
      </c>
      <c r="C90" s="11">
        <v>1360</v>
      </c>
      <c r="D90" s="11">
        <v>227</v>
      </c>
      <c r="E90" s="11">
        <v>176902</v>
      </c>
      <c r="F90" s="14">
        <v>6.03</v>
      </c>
      <c r="G90" s="19">
        <v>5960</v>
      </c>
      <c r="H90" s="19">
        <f t="shared" si="2"/>
        <v>1133</v>
      </c>
      <c r="I90" s="21">
        <f t="shared" si="3"/>
        <v>6.4046760353189906E-3</v>
      </c>
    </row>
    <row r="91" spans="1:9" ht="15.75" customHeight="1">
      <c r="A91" s="10">
        <v>45649</v>
      </c>
      <c r="B91" s="11" t="s">
        <v>31</v>
      </c>
      <c r="C91" s="11">
        <v>935</v>
      </c>
      <c r="D91" s="11">
        <v>85</v>
      </c>
      <c r="E91" s="11">
        <v>326821</v>
      </c>
      <c r="F91" s="14">
        <v>8.89</v>
      </c>
      <c r="G91" s="19">
        <v>13301</v>
      </c>
      <c r="H91" s="19">
        <f t="shared" si="2"/>
        <v>850</v>
      </c>
      <c r="I91" s="21">
        <f t="shared" si="3"/>
        <v>2.60081206532016E-3</v>
      </c>
    </row>
    <row r="92" spans="1:9" ht="15.75" customHeight="1">
      <c r="A92" s="10">
        <v>45656</v>
      </c>
      <c r="B92" s="11" t="s">
        <v>14</v>
      </c>
      <c r="C92" s="11">
        <v>664</v>
      </c>
      <c r="D92" s="11">
        <v>251</v>
      </c>
      <c r="E92" s="11">
        <v>240598</v>
      </c>
      <c r="F92" s="14">
        <v>4.79</v>
      </c>
      <c r="G92" s="19">
        <v>10563</v>
      </c>
      <c r="H92" s="19">
        <f t="shared" si="2"/>
        <v>413</v>
      </c>
      <c r="I92" s="21">
        <f t="shared" si="3"/>
        <v>1.7165562473503519E-3</v>
      </c>
    </row>
    <row r="93" spans="1:9" ht="15.75" customHeight="1">
      <c r="A93" s="10">
        <v>45656</v>
      </c>
      <c r="B93" s="11" t="s">
        <v>24</v>
      </c>
      <c r="C93" s="11">
        <v>1490</v>
      </c>
      <c r="D93" s="11">
        <v>103</v>
      </c>
      <c r="E93" s="11">
        <v>373274</v>
      </c>
      <c r="F93" s="14">
        <v>4.8</v>
      </c>
      <c r="G93" s="19">
        <v>19949</v>
      </c>
      <c r="H93" s="19">
        <f t="shared" si="2"/>
        <v>1387</v>
      </c>
      <c r="I93" s="21">
        <f t="shared" si="3"/>
        <v>3.7157691133055076E-3</v>
      </c>
    </row>
    <row r="94" spans="1:9" ht="15.75" customHeight="1">
      <c r="A94" s="10">
        <v>45656</v>
      </c>
      <c r="B94" s="11" t="s">
        <v>31</v>
      </c>
      <c r="C94" s="11">
        <v>601</v>
      </c>
      <c r="D94" s="11">
        <v>64</v>
      </c>
      <c r="E94" s="11">
        <v>123272</v>
      </c>
      <c r="F94" s="14">
        <v>4.07</v>
      </c>
      <c r="G94" s="19">
        <v>14273</v>
      </c>
      <c r="H94" s="19">
        <f t="shared" si="2"/>
        <v>537</v>
      </c>
      <c r="I94" s="21">
        <f t="shared" si="3"/>
        <v>4.3562203906807708E-3</v>
      </c>
    </row>
    <row r="95" spans="1:9" ht="15.75" customHeight="1">
      <c r="A95" s="10">
        <v>45663</v>
      </c>
      <c r="B95" s="11" t="s">
        <v>14</v>
      </c>
      <c r="C95" s="11">
        <v>613</v>
      </c>
      <c r="D95" s="11">
        <v>170</v>
      </c>
      <c r="E95" s="11">
        <v>139266</v>
      </c>
      <c r="F95" s="14">
        <v>6.06</v>
      </c>
      <c r="G95" s="19">
        <v>9247</v>
      </c>
      <c r="H95" s="19">
        <f t="shared" si="2"/>
        <v>443</v>
      </c>
      <c r="I95" s="21">
        <f t="shared" si="3"/>
        <v>3.1809630491290049E-3</v>
      </c>
    </row>
    <row r="96" spans="1:9" ht="15.75" customHeight="1">
      <c r="A96" s="10">
        <v>45663</v>
      </c>
      <c r="B96" s="11" t="s">
        <v>24</v>
      </c>
      <c r="C96" s="11">
        <v>1340</v>
      </c>
      <c r="D96" s="11">
        <v>57</v>
      </c>
      <c r="E96" s="11">
        <v>155927</v>
      </c>
      <c r="F96" s="14">
        <v>7.79</v>
      </c>
      <c r="G96" s="19">
        <v>11972</v>
      </c>
      <c r="H96" s="19">
        <f t="shared" si="2"/>
        <v>1283</v>
      </c>
      <c r="I96" s="21">
        <f t="shared" si="3"/>
        <v>8.2282093543773697E-3</v>
      </c>
    </row>
    <row r="97" spans="1:9" ht="15.75" customHeight="1">
      <c r="A97" s="10">
        <v>45663</v>
      </c>
      <c r="B97" s="11" t="s">
        <v>31</v>
      </c>
      <c r="C97" s="11">
        <v>953</v>
      </c>
      <c r="D97" s="11">
        <v>228</v>
      </c>
      <c r="E97" s="11">
        <v>258398</v>
      </c>
      <c r="F97" s="14">
        <v>9.0500000000000007</v>
      </c>
      <c r="G97" s="19">
        <v>13314</v>
      </c>
      <c r="H97" s="19">
        <f t="shared" si="2"/>
        <v>725</v>
      </c>
      <c r="I97" s="21">
        <f t="shared" si="3"/>
        <v>2.8057492705051896E-3</v>
      </c>
    </row>
    <row r="98" spans="1:9" ht="15.75" customHeight="1">
      <c r="A98" s="10">
        <v>45670</v>
      </c>
      <c r="B98" s="11" t="s">
        <v>14</v>
      </c>
      <c r="C98" s="11">
        <v>532</v>
      </c>
      <c r="D98" s="11">
        <v>65</v>
      </c>
      <c r="E98" s="11">
        <v>338561</v>
      </c>
      <c r="F98" s="14">
        <v>3.5</v>
      </c>
      <c r="G98" s="19">
        <v>14749</v>
      </c>
      <c r="H98" s="19">
        <f t="shared" si="2"/>
        <v>467</v>
      </c>
      <c r="I98" s="21">
        <f t="shared" si="3"/>
        <v>1.3793673813581599E-3</v>
      </c>
    </row>
    <row r="99" spans="1:9" ht="15.75" customHeight="1">
      <c r="A99" s="10">
        <v>45670</v>
      </c>
      <c r="B99" s="11" t="s">
        <v>24</v>
      </c>
      <c r="C99" s="11">
        <v>1414</v>
      </c>
      <c r="D99" s="11">
        <v>60</v>
      </c>
      <c r="E99" s="11">
        <v>341856</v>
      </c>
      <c r="F99" s="14">
        <v>8.76</v>
      </c>
      <c r="G99" s="19">
        <v>6868</v>
      </c>
      <c r="H99" s="19">
        <f t="shared" si="2"/>
        <v>1354</v>
      </c>
      <c r="I99" s="21">
        <f t="shared" si="3"/>
        <v>3.960732004118693E-3</v>
      </c>
    </row>
    <row r="100" spans="1:9" ht="15.75" customHeight="1">
      <c r="A100" s="10">
        <v>45670</v>
      </c>
      <c r="B100" s="11" t="s">
        <v>31</v>
      </c>
      <c r="C100" s="11">
        <v>685</v>
      </c>
      <c r="D100" s="11">
        <v>165</v>
      </c>
      <c r="E100" s="11">
        <v>175860</v>
      </c>
      <c r="F100" s="14">
        <v>6.26</v>
      </c>
      <c r="G100" s="19">
        <v>6027</v>
      </c>
      <c r="H100" s="19">
        <f t="shared" si="2"/>
        <v>520</v>
      </c>
      <c r="I100" s="21">
        <f t="shared" si="3"/>
        <v>2.9568975321278288E-3</v>
      </c>
    </row>
    <row r="101" spans="1:9" ht="15.75" customHeight="1">
      <c r="A101" s="10">
        <v>45677</v>
      </c>
      <c r="B101" s="11" t="s">
        <v>14</v>
      </c>
      <c r="C101" s="11">
        <v>601</v>
      </c>
      <c r="D101" s="11">
        <v>159</v>
      </c>
      <c r="E101" s="11">
        <v>327722</v>
      </c>
      <c r="F101" s="14">
        <v>3.33</v>
      </c>
      <c r="G101" s="19">
        <v>25267</v>
      </c>
      <c r="H101" s="19">
        <f t="shared" si="2"/>
        <v>442</v>
      </c>
      <c r="I101" s="21">
        <f t="shared" si="3"/>
        <v>1.3487040845594743E-3</v>
      </c>
    </row>
    <row r="102" spans="1:9" ht="15.75" customHeight="1">
      <c r="A102" s="10">
        <v>45677</v>
      </c>
      <c r="B102" s="11" t="s">
        <v>24</v>
      </c>
      <c r="C102" s="11">
        <v>841</v>
      </c>
      <c r="D102" s="11">
        <v>295</v>
      </c>
      <c r="E102" s="11">
        <v>271638</v>
      </c>
      <c r="F102" s="14">
        <v>9.15</v>
      </c>
      <c r="G102" s="19">
        <v>5900</v>
      </c>
      <c r="H102" s="19">
        <f t="shared" si="2"/>
        <v>546</v>
      </c>
      <c r="I102" s="21">
        <f t="shared" si="3"/>
        <v>2.0100280520398473E-3</v>
      </c>
    </row>
    <row r="103" spans="1:9" ht="15.75" customHeight="1">
      <c r="A103" s="10">
        <v>45677</v>
      </c>
      <c r="B103" s="11" t="s">
        <v>31</v>
      </c>
      <c r="C103" s="11">
        <v>1105</v>
      </c>
      <c r="D103" s="11">
        <v>261</v>
      </c>
      <c r="E103" s="11">
        <v>333851</v>
      </c>
      <c r="F103" s="14">
        <v>6.03</v>
      </c>
      <c r="G103" s="19">
        <v>11181</v>
      </c>
      <c r="H103" s="19">
        <f t="shared" si="2"/>
        <v>844</v>
      </c>
      <c r="I103" s="21">
        <f t="shared" si="3"/>
        <v>2.5280739012313877E-3</v>
      </c>
    </row>
    <row r="104" spans="1:9" ht="15.75" customHeight="1">
      <c r="A104" s="10">
        <v>45684</v>
      </c>
      <c r="B104" s="11" t="s">
        <v>14</v>
      </c>
      <c r="C104" s="11">
        <v>566</v>
      </c>
      <c r="D104" s="11">
        <v>225</v>
      </c>
      <c r="E104" s="11">
        <v>368984</v>
      </c>
      <c r="F104" s="14">
        <v>9.82</v>
      </c>
      <c r="G104" s="19">
        <v>9592</v>
      </c>
      <c r="H104" s="19">
        <f t="shared" si="2"/>
        <v>341</v>
      </c>
      <c r="I104" s="21">
        <f t="shared" si="3"/>
        <v>9.2415931314094918E-4</v>
      </c>
    </row>
    <row r="105" spans="1:9" ht="15.75" customHeight="1">
      <c r="A105" s="10">
        <v>45684</v>
      </c>
      <c r="B105" s="11" t="s">
        <v>24</v>
      </c>
      <c r="C105" s="11">
        <v>1149</v>
      </c>
      <c r="D105" s="11">
        <v>280</v>
      </c>
      <c r="E105" s="11">
        <v>167310</v>
      </c>
      <c r="F105" s="14">
        <v>3.7</v>
      </c>
      <c r="G105" s="19">
        <v>5291</v>
      </c>
      <c r="H105" s="19">
        <f t="shared" si="2"/>
        <v>869</v>
      </c>
      <c r="I105" s="21">
        <f t="shared" si="3"/>
        <v>5.1939513477975013E-3</v>
      </c>
    </row>
    <row r="106" spans="1:9" ht="15.75" customHeight="1">
      <c r="A106" s="10">
        <v>45684</v>
      </c>
      <c r="B106" s="11" t="s">
        <v>31</v>
      </c>
      <c r="C106" s="11">
        <v>819</v>
      </c>
      <c r="D106" s="11">
        <v>101</v>
      </c>
      <c r="E106" s="11">
        <v>194811</v>
      </c>
      <c r="F106" s="14">
        <v>3.35</v>
      </c>
      <c r="G106" s="19">
        <v>22244</v>
      </c>
      <c r="H106" s="19">
        <f t="shared" si="2"/>
        <v>718</v>
      </c>
      <c r="I106" s="21">
        <f t="shared" si="3"/>
        <v>3.685623501752981E-3</v>
      </c>
    </row>
    <row r="107" spans="1:9" ht="15.75" customHeight="1">
      <c r="A107" s="10">
        <v>45691</v>
      </c>
      <c r="B107" s="11" t="s">
        <v>14</v>
      </c>
      <c r="C107" s="11">
        <v>795</v>
      </c>
      <c r="D107" s="11">
        <v>60</v>
      </c>
      <c r="E107" s="11">
        <v>314982</v>
      </c>
      <c r="F107" s="14">
        <v>7.31</v>
      </c>
      <c r="G107" s="19">
        <v>6824</v>
      </c>
      <c r="H107" s="19">
        <f t="shared" si="2"/>
        <v>735</v>
      </c>
      <c r="I107" s="21">
        <f t="shared" si="3"/>
        <v>2.3334666742861497E-3</v>
      </c>
    </row>
    <row r="108" spans="1:9" ht="15.75" customHeight="1">
      <c r="A108" s="10">
        <v>45691</v>
      </c>
      <c r="B108" s="11" t="s">
        <v>24</v>
      </c>
      <c r="C108" s="11">
        <v>681</v>
      </c>
      <c r="D108" s="11">
        <v>158</v>
      </c>
      <c r="E108" s="11">
        <v>75960</v>
      </c>
      <c r="F108" s="14">
        <v>3.13</v>
      </c>
      <c r="G108" s="19">
        <v>24112</v>
      </c>
      <c r="H108" s="19">
        <f t="shared" si="2"/>
        <v>523</v>
      </c>
      <c r="I108" s="21">
        <f t="shared" si="3"/>
        <v>6.8852027382833069E-3</v>
      </c>
    </row>
    <row r="109" spans="1:9" ht="15.75" customHeight="1">
      <c r="A109" s="10">
        <v>45691</v>
      </c>
      <c r="B109" s="11" t="s">
        <v>31</v>
      </c>
      <c r="C109" s="11">
        <v>534</v>
      </c>
      <c r="D109" s="11">
        <v>112</v>
      </c>
      <c r="E109" s="11">
        <v>360759</v>
      </c>
      <c r="F109" s="14">
        <v>4.8899999999999997</v>
      </c>
      <c r="G109" s="19">
        <v>25478</v>
      </c>
      <c r="H109" s="19">
        <f t="shared" si="2"/>
        <v>422</v>
      </c>
      <c r="I109" s="21">
        <f t="shared" si="3"/>
        <v>1.1697559866836308E-3</v>
      </c>
    </row>
    <row r="110" spans="1:9" ht="15.75" customHeight="1">
      <c r="A110" s="10">
        <v>45698</v>
      </c>
      <c r="B110" s="11" t="s">
        <v>14</v>
      </c>
      <c r="C110" s="11">
        <v>1066</v>
      </c>
      <c r="D110" s="11">
        <v>151</v>
      </c>
      <c r="E110" s="11">
        <v>297090</v>
      </c>
      <c r="F110" s="14">
        <v>8.6300000000000008</v>
      </c>
      <c r="G110" s="19">
        <v>11235</v>
      </c>
      <c r="H110" s="19">
        <f t="shared" si="2"/>
        <v>915</v>
      </c>
      <c r="I110" s="21">
        <f t="shared" si="3"/>
        <v>3.0798747854185599E-3</v>
      </c>
    </row>
    <row r="111" spans="1:9" ht="15.75" customHeight="1">
      <c r="A111" s="10">
        <v>45698</v>
      </c>
      <c r="B111" s="11" t="s">
        <v>24</v>
      </c>
      <c r="C111" s="11">
        <v>1270</v>
      </c>
      <c r="D111" s="11">
        <v>162</v>
      </c>
      <c r="E111" s="11">
        <v>92040</v>
      </c>
      <c r="F111" s="14">
        <v>8.0299999999999994</v>
      </c>
      <c r="G111" s="19">
        <v>6120</v>
      </c>
      <c r="H111" s="19">
        <f t="shared" si="2"/>
        <v>1108</v>
      </c>
      <c r="I111" s="21">
        <f t="shared" si="3"/>
        <v>1.2038244241634072E-2</v>
      </c>
    </row>
    <row r="112" spans="1:9" ht="15.75" customHeight="1">
      <c r="A112" s="10">
        <v>45698</v>
      </c>
      <c r="B112" s="11" t="s">
        <v>31</v>
      </c>
      <c r="C112" s="11">
        <v>536</v>
      </c>
      <c r="D112" s="11">
        <v>198</v>
      </c>
      <c r="E112" s="11">
        <v>174610</v>
      </c>
      <c r="F112" s="14">
        <v>7.85</v>
      </c>
      <c r="G112" s="19">
        <v>20572</v>
      </c>
      <c r="H112" s="19">
        <f t="shared" si="2"/>
        <v>338</v>
      </c>
      <c r="I112" s="21">
        <f t="shared" si="3"/>
        <v>1.9357425118836263E-3</v>
      </c>
    </row>
    <row r="113" spans="1:9" ht="15.75" customHeight="1">
      <c r="A113" s="10">
        <v>45705</v>
      </c>
      <c r="B113" s="11" t="s">
        <v>14</v>
      </c>
      <c r="C113" s="11">
        <v>819</v>
      </c>
      <c r="D113" s="11">
        <v>95</v>
      </c>
      <c r="E113" s="11">
        <v>177376</v>
      </c>
      <c r="F113" s="14">
        <v>6.12</v>
      </c>
      <c r="G113" s="19">
        <v>14975</v>
      </c>
      <c r="H113" s="19">
        <f t="shared" si="2"/>
        <v>724</v>
      </c>
      <c r="I113" s="21">
        <f t="shared" si="3"/>
        <v>4.0817246978170664E-3</v>
      </c>
    </row>
    <row r="114" spans="1:9" ht="15.75" customHeight="1">
      <c r="A114" s="10">
        <v>45705</v>
      </c>
      <c r="B114" s="11" t="s">
        <v>24</v>
      </c>
      <c r="C114" s="11">
        <v>681</v>
      </c>
      <c r="D114" s="11">
        <v>218</v>
      </c>
      <c r="E114" s="11">
        <v>198882</v>
      </c>
      <c r="F114" s="14">
        <v>7.16</v>
      </c>
      <c r="G114" s="19">
        <v>22234</v>
      </c>
      <c r="H114" s="19">
        <f t="shared" si="2"/>
        <v>463</v>
      </c>
      <c r="I114" s="21">
        <f t="shared" si="3"/>
        <v>2.3280135960016494E-3</v>
      </c>
    </row>
    <row r="115" spans="1:9" ht="15.75" customHeight="1">
      <c r="A115" s="10">
        <v>45705</v>
      </c>
      <c r="B115" s="11" t="s">
        <v>31</v>
      </c>
      <c r="C115" s="11">
        <v>646</v>
      </c>
      <c r="D115" s="11">
        <v>290</v>
      </c>
      <c r="E115" s="11">
        <v>336383</v>
      </c>
      <c r="F115" s="14">
        <v>7.04</v>
      </c>
      <c r="G115" s="19">
        <v>6532</v>
      </c>
      <c r="H115" s="19">
        <f t="shared" si="2"/>
        <v>356</v>
      </c>
      <c r="I115" s="21">
        <f t="shared" si="3"/>
        <v>1.0583174536168594E-3</v>
      </c>
    </row>
    <row r="116" spans="1:9" ht="15.75" customHeight="1">
      <c r="A116" s="10">
        <v>45712</v>
      </c>
      <c r="B116" s="11" t="s">
        <v>14</v>
      </c>
      <c r="C116" s="11">
        <v>645</v>
      </c>
      <c r="D116" s="11">
        <v>267</v>
      </c>
      <c r="E116" s="11">
        <v>346890</v>
      </c>
      <c r="F116" s="14">
        <v>3.71</v>
      </c>
      <c r="G116" s="19">
        <v>24858</v>
      </c>
      <c r="H116" s="19">
        <f t="shared" si="2"/>
        <v>378</v>
      </c>
      <c r="I116" s="21">
        <f t="shared" si="3"/>
        <v>1.0896826083196401E-3</v>
      </c>
    </row>
    <row r="117" spans="1:9" ht="15.75" customHeight="1">
      <c r="A117" s="10">
        <v>45712</v>
      </c>
      <c r="B117" s="11" t="s">
        <v>24</v>
      </c>
      <c r="C117" s="11">
        <v>886</v>
      </c>
      <c r="D117" s="11">
        <v>250</v>
      </c>
      <c r="E117" s="11">
        <v>168170</v>
      </c>
      <c r="F117" s="14">
        <v>4.12</v>
      </c>
      <c r="G117" s="19">
        <v>13883</v>
      </c>
      <c r="H117" s="19">
        <f t="shared" si="2"/>
        <v>636</v>
      </c>
      <c r="I117" s="21">
        <f t="shared" si="3"/>
        <v>3.7818873758696555E-3</v>
      </c>
    </row>
    <row r="118" spans="1:9" ht="15.75" customHeight="1">
      <c r="A118" s="10">
        <v>45712</v>
      </c>
      <c r="B118" s="11" t="s">
        <v>31</v>
      </c>
      <c r="C118" s="11">
        <v>978</v>
      </c>
      <c r="D118" s="11">
        <v>279</v>
      </c>
      <c r="E118" s="11">
        <v>368872</v>
      </c>
      <c r="F118" s="14">
        <v>6.82</v>
      </c>
      <c r="G118" s="19">
        <v>18654</v>
      </c>
      <c r="H118" s="19">
        <f t="shared" si="2"/>
        <v>699</v>
      </c>
      <c r="I118" s="21">
        <f t="shared" si="3"/>
        <v>1.8949662755644234E-3</v>
      </c>
    </row>
    <row r="119" spans="1:9" ht="15.75" customHeight="1">
      <c r="A119" s="10">
        <v>45719</v>
      </c>
      <c r="B119" s="11" t="s">
        <v>14</v>
      </c>
      <c r="C119" s="11">
        <v>1444</v>
      </c>
      <c r="D119" s="11">
        <v>165</v>
      </c>
      <c r="E119" s="11">
        <v>116436</v>
      </c>
      <c r="F119" s="14">
        <v>8.2200000000000006</v>
      </c>
      <c r="G119" s="19">
        <v>25234</v>
      </c>
      <c r="H119" s="19">
        <f t="shared" si="2"/>
        <v>1279</v>
      </c>
      <c r="I119" s="21">
        <f t="shared" si="3"/>
        <v>1.0984575217286749E-2</v>
      </c>
    </row>
    <row r="120" spans="1:9" ht="15.75" customHeight="1">
      <c r="A120" s="10">
        <v>45719</v>
      </c>
      <c r="B120" s="11" t="s">
        <v>24</v>
      </c>
      <c r="C120" s="11">
        <v>1234</v>
      </c>
      <c r="D120" s="11">
        <v>228</v>
      </c>
      <c r="E120" s="11">
        <v>127502</v>
      </c>
      <c r="F120" s="14">
        <v>7.71</v>
      </c>
      <c r="G120" s="19">
        <v>6772</v>
      </c>
      <c r="H120" s="19">
        <f t="shared" si="2"/>
        <v>1006</v>
      </c>
      <c r="I120" s="21">
        <f t="shared" si="3"/>
        <v>7.8900723125911749E-3</v>
      </c>
    </row>
    <row r="121" spans="1:9" ht="15.75" customHeight="1">
      <c r="A121" s="10">
        <v>45719</v>
      </c>
      <c r="B121" s="11" t="s">
        <v>31</v>
      </c>
      <c r="C121" s="11">
        <v>665</v>
      </c>
      <c r="D121" s="11">
        <v>187</v>
      </c>
      <c r="E121" s="11">
        <v>274567</v>
      </c>
      <c r="F121" s="14">
        <v>7.39</v>
      </c>
      <c r="G121" s="19">
        <v>22428</v>
      </c>
      <c r="H121" s="19">
        <f t="shared" si="2"/>
        <v>478</v>
      </c>
      <c r="I121" s="21">
        <f t="shared" si="3"/>
        <v>1.7409229805475531E-3</v>
      </c>
    </row>
    <row r="122" spans="1:9" ht="15.75" customHeight="1">
      <c r="A122" s="10">
        <v>45726</v>
      </c>
      <c r="B122" s="11" t="s">
        <v>14</v>
      </c>
      <c r="C122" s="11">
        <v>631</v>
      </c>
      <c r="D122" s="11">
        <v>86</v>
      </c>
      <c r="E122" s="11">
        <v>295090</v>
      </c>
      <c r="F122" s="14">
        <v>7.89</v>
      </c>
      <c r="G122" s="19">
        <v>11911</v>
      </c>
      <c r="H122" s="19">
        <f t="shared" si="2"/>
        <v>545</v>
      </c>
      <c r="I122" s="21">
        <f t="shared" si="3"/>
        <v>1.8468941678809856E-3</v>
      </c>
    </row>
    <row r="123" spans="1:9" ht="15.75" customHeight="1">
      <c r="A123" s="10">
        <v>45726</v>
      </c>
      <c r="B123" s="11" t="s">
        <v>24</v>
      </c>
      <c r="C123" s="11">
        <v>1159</v>
      </c>
      <c r="D123" s="11">
        <v>154</v>
      </c>
      <c r="E123" s="11">
        <v>194994</v>
      </c>
      <c r="F123" s="14">
        <v>6.39</v>
      </c>
      <c r="G123" s="19">
        <v>21900</v>
      </c>
      <c r="H123" s="19">
        <f t="shared" si="2"/>
        <v>1005</v>
      </c>
      <c r="I123" s="21">
        <f t="shared" si="3"/>
        <v>5.1540047386073422E-3</v>
      </c>
    </row>
    <row r="124" spans="1:9" ht="15.75" customHeight="1">
      <c r="A124" s="10">
        <v>45726</v>
      </c>
      <c r="B124" s="11" t="s">
        <v>31</v>
      </c>
      <c r="C124" s="11">
        <v>950</v>
      </c>
      <c r="D124" s="11">
        <v>185</v>
      </c>
      <c r="E124" s="11">
        <v>340750</v>
      </c>
      <c r="F124" s="14">
        <v>6.77</v>
      </c>
      <c r="G124" s="19">
        <v>25542</v>
      </c>
      <c r="H124" s="19">
        <f t="shared" si="2"/>
        <v>765</v>
      </c>
      <c r="I124" s="21">
        <f t="shared" si="3"/>
        <v>2.2450476889214967E-3</v>
      </c>
    </row>
    <row r="125" spans="1:9" ht="15.75" customHeight="1">
      <c r="A125" s="10">
        <v>45733</v>
      </c>
      <c r="B125" s="11" t="s">
        <v>14</v>
      </c>
      <c r="C125" s="11">
        <v>693</v>
      </c>
      <c r="D125" s="11">
        <v>129</v>
      </c>
      <c r="E125" s="11">
        <v>296031</v>
      </c>
      <c r="F125" s="14">
        <v>3.41</v>
      </c>
      <c r="G125" s="19">
        <v>7140</v>
      </c>
      <c r="H125" s="19">
        <f t="shared" si="2"/>
        <v>564</v>
      </c>
      <c r="I125" s="21">
        <f t="shared" si="3"/>
        <v>1.9052058737091724E-3</v>
      </c>
    </row>
    <row r="126" spans="1:9" ht="15.75" customHeight="1">
      <c r="A126" s="10">
        <v>45733</v>
      </c>
      <c r="B126" s="11" t="s">
        <v>24</v>
      </c>
      <c r="C126" s="11">
        <v>576</v>
      </c>
      <c r="D126" s="11">
        <v>80</v>
      </c>
      <c r="E126" s="11">
        <v>345688</v>
      </c>
      <c r="F126" s="14">
        <v>4.1100000000000003</v>
      </c>
      <c r="G126" s="19">
        <v>20474</v>
      </c>
      <c r="H126" s="19">
        <f t="shared" si="2"/>
        <v>496</v>
      </c>
      <c r="I126" s="21">
        <f t="shared" si="3"/>
        <v>1.4348198375413667E-3</v>
      </c>
    </row>
    <row r="127" spans="1:9" ht="15.75" customHeight="1">
      <c r="A127" s="10">
        <v>45733</v>
      </c>
      <c r="B127" s="11" t="s">
        <v>31</v>
      </c>
      <c r="C127" s="11">
        <v>1274</v>
      </c>
      <c r="D127" s="11">
        <v>146</v>
      </c>
      <c r="E127" s="11">
        <v>263488</v>
      </c>
      <c r="F127" s="14">
        <v>9.58</v>
      </c>
      <c r="G127" s="19">
        <v>8698</v>
      </c>
      <c r="H127" s="19">
        <f t="shared" si="2"/>
        <v>1128</v>
      </c>
      <c r="I127" s="21">
        <f t="shared" si="3"/>
        <v>4.2810298761233904E-3</v>
      </c>
    </row>
    <row r="128" spans="1:9" ht="15.75" customHeight="1">
      <c r="A128" s="10">
        <v>45740</v>
      </c>
      <c r="B128" s="11" t="s">
        <v>14</v>
      </c>
      <c r="C128" s="11">
        <v>818</v>
      </c>
      <c r="D128" s="11">
        <v>253</v>
      </c>
      <c r="E128" s="11">
        <v>184911</v>
      </c>
      <c r="F128" s="14">
        <v>3.39</v>
      </c>
      <c r="G128" s="19">
        <v>10402</v>
      </c>
      <c r="H128" s="19">
        <f t="shared" si="2"/>
        <v>565</v>
      </c>
      <c r="I128" s="21">
        <f t="shared" si="3"/>
        <v>3.0555240088474996E-3</v>
      </c>
    </row>
    <row r="129" spans="1:9" ht="15.75" customHeight="1">
      <c r="A129" s="10">
        <v>45740</v>
      </c>
      <c r="B129" s="11" t="s">
        <v>24</v>
      </c>
      <c r="C129" s="11">
        <v>975</v>
      </c>
      <c r="D129" s="11">
        <v>162</v>
      </c>
      <c r="E129" s="11">
        <v>124497</v>
      </c>
      <c r="F129" s="14">
        <v>9.58</v>
      </c>
      <c r="G129" s="19">
        <v>26618</v>
      </c>
      <c r="H129" s="19">
        <f t="shared" si="2"/>
        <v>813</v>
      </c>
      <c r="I129" s="21">
        <f t="shared" si="3"/>
        <v>6.5302778380201933E-3</v>
      </c>
    </row>
    <row r="130" spans="1:9" ht="15.75" customHeight="1">
      <c r="A130" s="10">
        <v>45740</v>
      </c>
      <c r="B130" s="11" t="s">
        <v>31</v>
      </c>
      <c r="C130" s="11">
        <v>1398</v>
      </c>
      <c r="D130" s="11">
        <v>97</v>
      </c>
      <c r="E130" s="11">
        <v>397607</v>
      </c>
      <c r="F130" s="14">
        <v>5.09</v>
      </c>
      <c r="G130" s="19">
        <v>7975</v>
      </c>
      <c r="H130" s="19">
        <f t="shared" si="2"/>
        <v>1301</v>
      </c>
      <c r="I130" s="21">
        <f t="shared" si="3"/>
        <v>3.2720751898231166E-3</v>
      </c>
    </row>
    <row r="131" spans="1:9" ht="15.75" customHeight="1">
      <c r="A131" s="10">
        <v>45747</v>
      </c>
      <c r="B131" s="11" t="s">
        <v>14</v>
      </c>
      <c r="C131" s="11">
        <v>591</v>
      </c>
      <c r="D131" s="11">
        <v>155</v>
      </c>
      <c r="E131" s="11">
        <v>138521</v>
      </c>
      <c r="F131" s="14">
        <v>7.85</v>
      </c>
      <c r="G131" s="19">
        <v>19054</v>
      </c>
      <c r="H131" s="19">
        <f t="shared" ref="H131:H194" si="4">C131-D131</f>
        <v>436</v>
      </c>
      <c r="I131" s="21">
        <f t="shared" ref="I131:I194" si="5">H131/E131</f>
        <v>3.1475371965261584E-3</v>
      </c>
    </row>
    <row r="132" spans="1:9" ht="15.75" customHeight="1">
      <c r="A132" s="10">
        <v>45747</v>
      </c>
      <c r="B132" s="11" t="s">
        <v>24</v>
      </c>
      <c r="C132" s="11">
        <v>1232</v>
      </c>
      <c r="D132" s="11">
        <v>254</v>
      </c>
      <c r="E132" s="11">
        <v>107718</v>
      </c>
      <c r="F132" s="14">
        <v>9.7100000000000009</v>
      </c>
      <c r="G132" s="19">
        <v>13740</v>
      </c>
      <c r="H132" s="19">
        <f t="shared" si="4"/>
        <v>978</v>
      </c>
      <c r="I132" s="21">
        <f t="shared" si="5"/>
        <v>9.0792625187990864E-3</v>
      </c>
    </row>
    <row r="133" spans="1:9" ht="15.75" customHeight="1">
      <c r="A133" s="10">
        <v>45747</v>
      </c>
      <c r="B133" s="11" t="s">
        <v>31</v>
      </c>
      <c r="C133" s="11">
        <v>1425</v>
      </c>
      <c r="D133" s="11">
        <v>58</v>
      </c>
      <c r="E133" s="11">
        <v>202234</v>
      </c>
      <c r="F133" s="14">
        <v>6.67</v>
      </c>
      <c r="G133" s="19">
        <v>18442</v>
      </c>
      <c r="H133" s="19">
        <f t="shared" si="4"/>
        <v>1367</v>
      </c>
      <c r="I133" s="21">
        <f t="shared" si="5"/>
        <v>6.7594964249334932E-3</v>
      </c>
    </row>
    <row r="134" spans="1:9" ht="15.75" customHeight="1">
      <c r="A134" s="10">
        <v>45754</v>
      </c>
      <c r="B134" s="11" t="s">
        <v>14</v>
      </c>
      <c r="C134" s="11">
        <v>1417</v>
      </c>
      <c r="D134" s="11">
        <v>80</v>
      </c>
      <c r="E134" s="11">
        <v>340987</v>
      </c>
      <c r="F134" s="14">
        <v>6.13</v>
      </c>
      <c r="G134" s="19">
        <v>10104</v>
      </c>
      <c r="H134" s="19">
        <f t="shared" si="4"/>
        <v>1337</v>
      </c>
      <c r="I134" s="21">
        <f t="shared" si="5"/>
        <v>3.9209705941868752E-3</v>
      </c>
    </row>
    <row r="135" spans="1:9" ht="15.75" customHeight="1">
      <c r="A135" s="10">
        <v>45754</v>
      </c>
      <c r="B135" s="11" t="s">
        <v>24</v>
      </c>
      <c r="C135" s="11">
        <v>1222</v>
      </c>
      <c r="D135" s="11">
        <v>208</v>
      </c>
      <c r="E135" s="11">
        <v>340098</v>
      </c>
      <c r="F135" s="14">
        <v>7.34</v>
      </c>
      <c r="G135" s="19">
        <v>21771</v>
      </c>
      <c r="H135" s="19">
        <f t="shared" si="4"/>
        <v>1014</v>
      </c>
      <c r="I135" s="21">
        <f t="shared" si="5"/>
        <v>2.9814935695005556E-3</v>
      </c>
    </row>
    <row r="136" spans="1:9" ht="15.75" customHeight="1">
      <c r="A136" s="10">
        <v>45754</v>
      </c>
      <c r="B136" s="11" t="s">
        <v>31</v>
      </c>
      <c r="C136" s="11">
        <v>1071</v>
      </c>
      <c r="D136" s="11">
        <v>131</v>
      </c>
      <c r="E136" s="11">
        <v>254727</v>
      </c>
      <c r="F136" s="14">
        <v>6.87</v>
      </c>
      <c r="G136" s="19">
        <v>22191</v>
      </c>
      <c r="H136" s="19">
        <f t="shared" si="4"/>
        <v>940</v>
      </c>
      <c r="I136" s="21">
        <f t="shared" si="5"/>
        <v>3.6902252215116576E-3</v>
      </c>
    </row>
    <row r="137" spans="1:9" ht="15.75" customHeight="1">
      <c r="A137" s="10">
        <v>45761</v>
      </c>
      <c r="B137" s="11" t="s">
        <v>14</v>
      </c>
      <c r="C137" s="11">
        <v>772</v>
      </c>
      <c r="D137" s="11">
        <v>82</v>
      </c>
      <c r="E137" s="11">
        <v>345659</v>
      </c>
      <c r="F137" s="14">
        <v>3.52</v>
      </c>
      <c r="G137" s="19">
        <v>27753</v>
      </c>
      <c r="H137" s="19">
        <f t="shared" si="4"/>
        <v>690</v>
      </c>
      <c r="I137" s="21">
        <f t="shared" si="5"/>
        <v>1.9961869935398759E-3</v>
      </c>
    </row>
    <row r="138" spans="1:9" ht="15.75" customHeight="1">
      <c r="A138" s="10">
        <v>45761</v>
      </c>
      <c r="B138" s="11" t="s">
        <v>24</v>
      </c>
      <c r="C138" s="11">
        <v>1472</v>
      </c>
      <c r="D138" s="11">
        <v>137</v>
      </c>
      <c r="E138" s="11">
        <v>213950</v>
      </c>
      <c r="F138" s="14">
        <v>6.96</v>
      </c>
      <c r="G138" s="19">
        <v>23736</v>
      </c>
      <c r="H138" s="19">
        <f t="shared" si="4"/>
        <v>1335</v>
      </c>
      <c r="I138" s="21">
        <f t="shared" si="5"/>
        <v>6.2397756485160086E-3</v>
      </c>
    </row>
    <row r="139" spans="1:9" ht="15.75" customHeight="1">
      <c r="A139" s="10">
        <v>45761</v>
      </c>
      <c r="B139" s="11" t="s">
        <v>31</v>
      </c>
      <c r="C139" s="11">
        <v>1472</v>
      </c>
      <c r="D139" s="11">
        <v>281</v>
      </c>
      <c r="E139" s="11">
        <v>258115</v>
      </c>
      <c r="F139" s="14">
        <v>7.23</v>
      </c>
      <c r="G139" s="19">
        <v>27393</v>
      </c>
      <c r="H139" s="19">
        <f t="shared" si="4"/>
        <v>1191</v>
      </c>
      <c r="I139" s="21">
        <f t="shared" si="5"/>
        <v>4.6142223427541986E-3</v>
      </c>
    </row>
    <row r="140" spans="1:9" ht="15.75" customHeight="1">
      <c r="A140" s="10">
        <v>45768</v>
      </c>
      <c r="B140" s="11" t="s">
        <v>14</v>
      </c>
      <c r="C140" s="11">
        <v>585</v>
      </c>
      <c r="D140" s="11">
        <v>232</v>
      </c>
      <c r="E140" s="11">
        <v>321258</v>
      </c>
      <c r="F140" s="14">
        <v>7.42</v>
      </c>
      <c r="G140" s="19">
        <v>10343</v>
      </c>
      <c r="H140" s="19">
        <f t="shared" si="4"/>
        <v>353</v>
      </c>
      <c r="I140" s="21">
        <f t="shared" si="5"/>
        <v>1.0988053215795403E-3</v>
      </c>
    </row>
    <row r="141" spans="1:9" ht="15.75" customHeight="1">
      <c r="A141" s="10">
        <v>45768</v>
      </c>
      <c r="B141" s="11" t="s">
        <v>24</v>
      </c>
      <c r="C141" s="11">
        <v>747</v>
      </c>
      <c r="D141" s="11">
        <v>261</v>
      </c>
      <c r="E141" s="11">
        <v>338650</v>
      </c>
      <c r="F141" s="14">
        <v>7.73</v>
      </c>
      <c r="G141" s="19">
        <v>25259</v>
      </c>
      <c r="H141" s="19">
        <f t="shared" si="4"/>
        <v>486</v>
      </c>
      <c r="I141" s="21">
        <f t="shared" si="5"/>
        <v>1.4351099955706482E-3</v>
      </c>
    </row>
    <row r="142" spans="1:9" ht="15.75" customHeight="1">
      <c r="A142" s="10">
        <v>45768</v>
      </c>
      <c r="B142" s="11" t="s">
        <v>31</v>
      </c>
      <c r="C142" s="11">
        <v>1113</v>
      </c>
      <c r="D142" s="11">
        <v>224</v>
      </c>
      <c r="E142" s="11">
        <v>272989</v>
      </c>
      <c r="F142" s="14">
        <v>5.13</v>
      </c>
      <c r="G142" s="19">
        <v>24827</v>
      </c>
      <c r="H142" s="19">
        <f t="shared" si="4"/>
        <v>889</v>
      </c>
      <c r="I142" s="21">
        <f t="shared" si="5"/>
        <v>3.2565414723670183E-3</v>
      </c>
    </row>
    <row r="143" spans="1:9" ht="15.75" customHeight="1">
      <c r="A143" s="10">
        <v>45775</v>
      </c>
      <c r="B143" s="11" t="s">
        <v>14</v>
      </c>
      <c r="C143" s="11">
        <v>1100</v>
      </c>
      <c r="D143" s="11">
        <v>117</v>
      </c>
      <c r="E143" s="11">
        <v>260204</v>
      </c>
      <c r="F143" s="14">
        <v>4.4000000000000004</v>
      </c>
      <c r="G143" s="19">
        <v>11908</v>
      </c>
      <c r="H143" s="19">
        <f t="shared" si="4"/>
        <v>983</v>
      </c>
      <c r="I143" s="21">
        <f t="shared" si="5"/>
        <v>3.7778051067623862E-3</v>
      </c>
    </row>
    <row r="144" spans="1:9" ht="15.75" customHeight="1">
      <c r="A144" s="10">
        <v>45775</v>
      </c>
      <c r="B144" s="11" t="s">
        <v>24</v>
      </c>
      <c r="C144" s="11">
        <v>751</v>
      </c>
      <c r="D144" s="11">
        <v>170</v>
      </c>
      <c r="E144" s="11">
        <v>283278</v>
      </c>
      <c r="F144" s="14">
        <v>3.49</v>
      </c>
      <c r="G144" s="19">
        <v>11005</v>
      </c>
      <c r="H144" s="19">
        <f t="shared" si="4"/>
        <v>581</v>
      </c>
      <c r="I144" s="21">
        <f t="shared" si="5"/>
        <v>2.0509887813384732E-3</v>
      </c>
    </row>
    <row r="145" spans="1:9" ht="15.75" customHeight="1">
      <c r="A145" s="10">
        <v>45775</v>
      </c>
      <c r="B145" s="11" t="s">
        <v>31</v>
      </c>
      <c r="C145" s="11">
        <v>864</v>
      </c>
      <c r="D145" s="11">
        <v>50</v>
      </c>
      <c r="E145" s="11">
        <v>277445</v>
      </c>
      <c r="F145" s="14">
        <v>3.57</v>
      </c>
      <c r="G145" s="19">
        <v>26333</v>
      </c>
      <c r="H145" s="19">
        <f t="shared" si="4"/>
        <v>814</v>
      </c>
      <c r="I145" s="21">
        <f t="shared" si="5"/>
        <v>2.9339148299662998E-3</v>
      </c>
    </row>
    <row r="146" spans="1:9" ht="15.75" customHeight="1">
      <c r="A146" s="10">
        <v>45782</v>
      </c>
      <c r="B146" s="11" t="s">
        <v>14</v>
      </c>
      <c r="C146" s="11">
        <v>1146</v>
      </c>
      <c r="D146" s="11">
        <v>227</v>
      </c>
      <c r="E146" s="11">
        <v>353781</v>
      </c>
      <c r="F146" s="14">
        <v>6.41</v>
      </c>
      <c r="G146" s="19">
        <v>5495</v>
      </c>
      <c r="H146" s="19">
        <f t="shared" si="4"/>
        <v>919</v>
      </c>
      <c r="I146" s="21">
        <f t="shared" si="5"/>
        <v>2.5976522198761379E-3</v>
      </c>
    </row>
    <row r="147" spans="1:9" ht="15.75" customHeight="1">
      <c r="A147" s="10">
        <v>45782</v>
      </c>
      <c r="B147" s="11" t="s">
        <v>24</v>
      </c>
      <c r="C147" s="11">
        <v>883</v>
      </c>
      <c r="D147" s="11">
        <v>207</v>
      </c>
      <c r="E147" s="11">
        <v>265019</v>
      </c>
      <c r="F147" s="14">
        <v>6.04</v>
      </c>
      <c r="G147" s="19">
        <v>15655</v>
      </c>
      <c r="H147" s="19">
        <f t="shared" si="4"/>
        <v>676</v>
      </c>
      <c r="I147" s="21">
        <f t="shared" si="5"/>
        <v>2.5507605115104954E-3</v>
      </c>
    </row>
    <row r="148" spans="1:9" ht="15.75" customHeight="1">
      <c r="A148" s="10">
        <v>45782</v>
      </c>
      <c r="B148" s="11" t="s">
        <v>31</v>
      </c>
      <c r="C148" s="11">
        <v>622</v>
      </c>
      <c r="D148" s="11">
        <v>163</v>
      </c>
      <c r="E148" s="11">
        <v>231925</v>
      </c>
      <c r="F148" s="14">
        <v>9.18</v>
      </c>
      <c r="G148" s="19">
        <v>13763</v>
      </c>
      <c r="H148" s="19">
        <f t="shared" si="4"/>
        <v>459</v>
      </c>
      <c r="I148" s="21">
        <f t="shared" si="5"/>
        <v>1.9790880672631238E-3</v>
      </c>
    </row>
    <row r="149" spans="1:9" ht="15.75" customHeight="1">
      <c r="A149" s="10">
        <v>45789</v>
      </c>
      <c r="B149" s="11" t="s">
        <v>14</v>
      </c>
      <c r="C149" s="11">
        <v>837</v>
      </c>
      <c r="D149" s="11">
        <v>261</v>
      </c>
      <c r="E149" s="11">
        <v>366149</v>
      </c>
      <c r="F149" s="14">
        <v>6.54</v>
      </c>
      <c r="G149" s="19">
        <v>26073</v>
      </c>
      <c r="H149" s="19">
        <f t="shared" si="4"/>
        <v>576</v>
      </c>
      <c r="I149" s="21">
        <f t="shared" si="5"/>
        <v>1.5731300645365684E-3</v>
      </c>
    </row>
    <row r="150" spans="1:9" ht="15.75" customHeight="1">
      <c r="A150" s="10">
        <v>45789</v>
      </c>
      <c r="B150" s="11" t="s">
        <v>24</v>
      </c>
      <c r="C150" s="11">
        <v>544</v>
      </c>
      <c r="D150" s="11">
        <v>97</v>
      </c>
      <c r="E150" s="11">
        <v>168375</v>
      </c>
      <c r="F150" s="14">
        <v>8.66</v>
      </c>
      <c r="G150" s="19">
        <v>12774</v>
      </c>
      <c r="H150" s="19">
        <f t="shared" si="4"/>
        <v>447</v>
      </c>
      <c r="I150" s="21">
        <f t="shared" si="5"/>
        <v>2.6547884187082403E-3</v>
      </c>
    </row>
    <row r="151" spans="1:9" ht="15.75" customHeight="1">
      <c r="A151" s="10">
        <v>45789</v>
      </c>
      <c r="B151" s="11" t="s">
        <v>31</v>
      </c>
      <c r="C151" s="11">
        <v>624</v>
      </c>
      <c r="D151" s="11">
        <v>247</v>
      </c>
      <c r="E151" s="11">
        <v>252763</v>
      </c>
      <c r="F151" s="14">
        <v>3.89</v>
      </c>
      <c r="G151" s="19">
        <v>19000</v>
      </c>
      <c r="H151" s="19">
        <f t="shared" si="4"/>
        <v>377</v>
      </c>
      <c r="I151" s="21">
        <f t="shared" si="5"/>
        <v>1.4915157677349929E-3</v>
      </c>
    </row>
    <row r="152" spans="1:9" ht="15.75" customHeight="1">
      <c r="A152" s="10">
        <v>45796</v>
      </c>
      <c r="B152" s="11" t="s">
        <v>14</v>
      </c>
      <c r="C152" s="11">
        <v>1073</v>
      </c>
      <c r="D152" s="11">
        <v>141</v>
      </c>
      <c r="E152" s="11">
        <v>118393</v>
      </c>
      <c r="F152" s="14">
        <v>7.95</v>
      </c>
      <c r="G152" s="19">
        <v>14051</v>
      </c>
      <c r="H152" s="19">
        <f t="shared" si="4"/>
        <v>932</v>
      </c>
      <c r="I152" s="21">
        <f t="shared" si="5"/>
        <v>7.872087032172511E-3</v>
      </c>
    </row>
    <row r="153" spans="1:9" ht="15.75" customHeight="1">
      <c r="A153" s="10">
        <v>45796</v>
      </c>
      <c r="B153" s="11" t="s">
        <v>24</v>
      </c>
      <c r="C153" s="11">
        <v>1430</v>
      </c>
      <c r="D153" s="11">
        <v>74</v>
      </c>
      <c r="E153" s="11">
        <v>327012</v>
      </c>
      <c r="F153" s="14">
        <v>6.66</v>
      </c>
      <c r="G153" s="19">
        <v>27782</v>
      </c>
      <c r="H153" s="19">
        <f t="shared" si="4"/>
        <v>1356</v>
      </c>
      <c r="I153" s="21">
        <f t="shared" si="5"/>
        <v>4.1466368206671319E-3</v>
      </c>
    </row>
    <row r="154" spans="1:9" ht="15.75" customHeight="1">
      <c r="A154" s="10">
        <v>45796</v>
      </c>
      <c r="B154" s="11" t="s">
        <v>31</v>
      </c>
      <c r="C154" s="11">
        <v>1358</v>
      </c>
      <c r="D154" s="11">
        <v>77</v>
      </c>
      <c r="E154" s="11">
        <v>169688</v>
      </c>
      <c r="F154" s="14">
        <v>5.25</v>
      </c>
      <c r="G154" s="19">
        <v>7859</v>
      </c>
      <c r="H154" s="19">
        <f t="shared" si="4"/>
        <v>1281</v>
      </c>
      <c r="I154" s="21">
        <f t="shared" si="5"/>
        <v>7.5491490264485411E-3</v>
      </c>
    </row>
    <row r="155" spans="1:9" ht="15.75" customHeight="1">
      <c r="A155" s="10">
        <v>45803</v>
      </c>
      <c r="B155" s="11" t="s">
        <v>14</v>
      </c>
      <c r="C155" s="11">
        <v>1242</v>
      </c>
      <c r="D155" s="11">
        <v>201</v>
      </c>
      <c r="E155" s="11">
        <v>271935</v>
      </c>
      <c r="F155" s="14">
        <v>5.07</v>
      </c>
      <c r="G155" s="19">
        <v>15773</v>
      </c>
      <c r="H155" s="19">
        <f t="shared" si="4"/>
        <v>1041</v>
      </c>
      <c r="I155" s="21">
        <f t="shared" si="5"/>
        <v>3.8281206906062111E-3</v>
      </c>
    </row>
    <row r="156" spans="1:9" ht="15.75" customHeight="1">
      <c r="A156" s="10">
        <v>45803</v>
      </c>
      <c r="B156" s="11" t="s">
        <v>24</v>
      </c>
      <c r="C156" s="11">
        <v>1389</v>
      </c>
      <c r="D156" s="11">
        <v>205</v>
      </c>
      <c r="E156" s="11">
        <v>315981</v>
      </c>
      <c r="F156" s="14">
        <v>7.62</v>
      </c>
      <c r="G156" s="19">
        <v>20595</v>
      </c>
      <c r="H156" s="19">
        <f t="shared" si="4"/>
        <v>1184</v>
      </c>
      <c r="I156" s="21">
        <f t="shared" si="5"/>
        <v>3.7470607409939207E-3</v>
      </c>
    </row>
    <row r="157" spans="1:9" ht="15.75" customHeight="1">
      <c r="A157" s="10">
        <v>45803</v>
      </c>
      <c r="B157" s="11" t="s">
        <v>31</v>
      </c>
      <c r="C157" s="11">
        <v>826</v>
      </c>
      <c r="D157" s="11">
        <v>142</v>
      </c>
      <c r="E157" s="11">
        <v>341016</v>
      </c>
      <c r="F157" s="14">
        <v>7.44</v>
      </c>
      <c r="G157" s="19">
        <v>12031</v>
      </c>
      <c r="H157" s="19">
        <f t="shared" si="4"/>
        <v>684</v>
      </c>
      <c r="I157" s="21">
        <f t="shared" si="5"/>
        <v>2.005770990217468E-3</v>
      </c>
    </row>
    <row r="158" spans="1:9" ht="15.75" customHeight="1">
      <c r="A158" s="10">
        <v>45810</v>
      </c>
      <c r="B158" s="11" t="s">
        <v>14</v>
      </c>
      <c r="C158" s="11">
        <v>618</v>
      </c>
      <c r="D158" s="11">
        <v>264</v>
      </c>
      <c r="E158" s="11">
        <v>285164</v>
      </c>
      <c r="F158" s="14">
        <v>4.8600000000000003</v>
      </c>
      <c r="G158" s="19">
        <v>15128</v>
      </c>
      <c r="H158" s="19">
        <f t="shared" si="4"/>
        <v>354</v>
      </c>
      <c r="I158" s="21">
        <f t="shared" si="5"/>
        <v>1.2413909189098204E-3</v>
      </c>
    </row>
    <row r="159" spans="1:9" ht="15.75" customHeight="1">
      <c r="A159" s="10">
        <v>45810</v>
      </c>
      <c r="B159" s="11" t="s">
        <v>24</v>
      </c>
      <c r="C159" s="11">
        <v>1419</v>
      </c>
      <c r="D159" s="11">
        <v>293</v>
      </c>
      <c r="E159" s="11">
        <v>116632</v>
      </c>
      <c r="F159" s="14">
        <v>6.93</v>
      </c>
      <c r="G159" s="19">
        <v>11826</v>
      </c>
      <c r="H159" s="19">
        <f t="shared" si="4"/>
        <v>1126</v>
      </c>
      <c r="I159" s="21">
        <f t="shared" si="5"/>
        <v>9.6542972769051369E-3</v>
      </c>
    </row>
    <row r="160" spans="1:9" ht="15.75" customHeight="1">
      <c r="A160" s="10">
        <v>45810</v>
      </c>
      <c r="B160" s="11" t="s">
        <v>31</v>
      </c>
      <c r="C160" s="11">
        <v>637</v>
      </c>
      <c r="D160" s="11">
        <v>68</v>
      </c>
      <c r="E160" s="11">
        <v>115694</v>
      </c>
      <c r="F160" s="14">
        <v>9.99</v>
      </c>
      <c r="G160" s="19">
        <v>12562</v>
      </c>
      <c r="H160" s="19">
        <f t="shared" si="4"/>
        <v>569</v>
      </c>
      <c r="I160" s="21">
        <f t="shared" si="5"/>
        <v>4.9181461441388493E-3</v>
      </c>
    </row>
    <row r="161" spans="1:9" ht="15.75" customHeight="1">
      <c r="A161" s="10">
        <v>45817</v>
      </c>
      <c r="B161" s="11" t="s">
        <v>14</v>
      </c>
      <c r="C161" s="11">
        <v>917</v>
      </c>
      <c r="D161" s="11">
        <v>187</v>
      </c>
      <c r="E161" s="11">
        <v>64444</v>
      </c>
      <c r="F161" s="14">
        <v>5.22</v>
      </c>
      <c r="G161" s="19">
        <v>13013</v>
      </c>
      <c r="H161" s="19">
        <f t="shared" si="4"/>
        <v>730</v>
      </c>
      <c r="I161" s="21">
        <f t="shared" si="5"/>
        <v>1.1327664328719508E-2</v>
      </c>
    </row>
    <row r="162" spans="1:9" ht="15.75" customHeight="1">
      <c r="A162" s="10">
        <v>45817</v>
      </c>
      <c r="B162" s="11" t="s">
        <v>24</v>
      </c>
      <c r="C162" s="11">
        <v>810</v>
      </c>
      <c r="D162" s="11">
        <v>232</v>
      </c>
      <c r="E162" s="11">
        <v>362559</v>
      </c>
      <c r="F162" s="14">
        <v>5.17</v>
      </c>
      <c r="G162" s="19">
        <v>12937</v>
      </c>
      <c r="H162" s="19">
        <f t="shared" si="4"/>
        <v>578</v>
      </c>
      <c r="I162" s="21">
        <f t="shared" si="5"/>
        <v>1.5942232850377457E-3</v>
      </c>
    </row>
    <row r="163" spans="1:9" ht="15.75" customHeight="1">
      <c r="A163" s="10">
        <v>45817</v>
      </c>
      <c r="B163" s="11" t="s">
        <v>31</v>
      </c>
      <c r="C163" s="11">
        <v>1183</v>
      </c>
      <c r="D163" s="11">
        <v>248</v>
      </c>
      <c r="E163" s="11">
        <v>226881</v>
      </c>
      <c r="F163" s="14">
        <v>5.17</v>
      </c>
      <c r="G163" s="19">
        <v>14534</v>
      </c>
      <c r="H163" s="19">
        <f t="shared" si="4"/>
        <v>935</v>
      </c>
      <c r="I163" s="21">
        <f t="shared" si="5"/>
        <v>4.1211031333606603E-3</v>
      </c>
    </row>
    <row r="164" spans="1:9" ht="15.75" customHeight="1">
      <c r="A164" s="10">
        <v>45824</v>
      </c>
      <c r="B164" s="11" t="s">
        <v>14</v>
      </c>
      <c r="C164" s="11">
        <v>765</v>
      </c>
      <c r="D164" s="11">
        <v>67</v>
      </c>
      <c r="E164" s="11">
        <v>283537</v>
      </c>
      <c r="F164" s="14">
        <v>6.18</v>
      </c>
      <c r="G164" s="19">
        <v>8182</v>
      </c>
      <c r="H164" s="19">
        <f t="shared" si="4"/>
        <v>698</v>
      </c>
      <c r="I164" s="21">
        <f t="shared" si="5"/>
        <v>2.4617598408673293E-3</v>
      </c>
    </row>
    <row r="165" spans="1:9" ht="15.75" customHeight="1">
      <c r="A165" s="10">
        <v>45824</v>
      </c>
      <c r="B165" s="11" t="s">
        <v>24</v>
      </c>
      <c r="C165" s="11">
        <v>540</v>
      </c>
      <c r="D165" s="11">
        <v>215</v>
      </c>
      <c r="E165" s="11">
        <v>62837</v>
      </c>
      <c r="F165" s="14">
        <v>5.3</v>
      </c>
      <c r="G165" s="19">
        <v>10615</v>
      </c>
      <c r="H165" s="19">
        <f t="shared" si="4"/>
        <v>325</v>
      </c>
      <c r="I165" s="21">
        <f t="shared" si="5"/>
        <v>5.1721119722456512E-3</v>
      </c>
    </row>
    <row r="166" spans="1:9" ht="15.75" customHeight="1">
      <c r="A166" s="10">
        <v>45824</v>
      </c>
      <c r="B166" s="11" t="s">
        <v>31</v>
      </c>
      <c r="C166" s="11">
        <v>1145</v>
      </c>
      <c r="D166" s="11">
        <v>151</v>
      </c>
      <c r="E166" s="11">
        <v>182759</v>
      </c>
      <c r="F166" s="14">
        <v>5.99</v>
      </c>
      <c r="G166" s="19">
        <v>20109</v>
      </c>
      <c r="H166" s="19">
        <f t="shared" si="4"/>
        <v>994</v>
      </c>
      <c r="I166" s="21">
        <f t="shared" si="5"/>
        <v>5.4388566363352828E-3</v>
      </c>
    </row>
    <row r="167" spans="1:9" ht="15.75" customHeight="1">
      <c r="A167" s="10">
        <v>45831</v>
      </c>
      <c r="B167" s="11" t="s">
        <v>14</v>
      </c>
      <c r="C167" s="11">
        <v>564</v>
      </c>
      <c r="D167" s="11">
        <v>244</v>
      </c>
      <c r="E167" s="11">
        <v>279405</v>
      </c>
      <c r="F167" s="14">
        <v>8.43</v>
      </c>
      <c r="G167" s="19">
        <v>26024</v>
      </c>
      <c r="H167" s="19">
        <f t="shared" si="4"/>
        <v>320</v>
      </c>
      <c r="I167" s="21">
        <f t="shared" si="5"/>
        <v>1.1452908859898713E-3</v>
      </c>
    </row>
    <row r="168" spans="1:9" ht="15.75" customHeight="1">
      <c r="A168" s="10">
        <v>45831</v>
      </c>
      <c r="B168" s="11" t="s">
        <v>24</v>
      </c>
      <c r="C168" s="11">
        <v>668</v>
      </c>
      <c r="D168" s="11">
        <v>124</v>
      </c>
      <c r="E168" s="11">
        <v>257485</v>
      </c>
      <c r="F168" s="14">
        <v>7.55</v>
      </c>
      <c r="G168" s="19">
        <v>26730</v>
      </c>
      <c r="H168" s="19">
        <f t="shared" si="4"/>
        <v>544</v>
      </c>
      <c r="I168" s="21">
        <f t="shared" si="5"/>
        <v>2.1127444317144686E-3</v>
      </c>
    </row>
    <row r="169" spans="1:9" ht="15.75" customHeight="1">
      <c r="A169" s="10">
        <v>45831</v>
      </c>
      <c r="B169" s="11" t="s">
        <v>31</v>
      </c>
      <c r="C169" s="11">
        <v>761</v>
      </c>
      <c r="D169" s="11">
        <v>241</v>
      </c>
      <c r="E169" s="11">
        <v>154977</v>
      </c>
      <c r="F169" s="14">
        <v>5.63</v>
      </c>
      <c r="G169" s="19">
        <v>10563</v>
      </c>
      <c r="H169" s="19">
        <f t="shared" si="4"/>
        <v>520</v>
      </c>
      <c r="I169" s="21">
        <f t="shared" si="5"/>
        <v>3.3553365983339462E-3</v>
      </c>
    </row>
    <row r="170" spans="1:9" ht="15.75" customHeight="1">
      <c r="A170" s="10">
        <v>45838</v>
      </c>
      <c r="B170" s="11" t="s">
        <v>14</v>
      </c>
      <c r="C170" s="11">
        <v>593</v>
      </c>
      <c r="D170" s="11">
        <v>108</v>
      </c>
      <c r="E170" s="11">
        <v>216500</v>
      </c>
      <c r="F170" s="14">
        <v>4.71</v>
      </c>
      <c r="G170" s="19">
        <v>27575</v>
      </c>
      <c r="H170" s="19">
        <f t="shared" si="4"/>
        <v>485</v>
      </c>
      <c r="I170" s="21">
        <f t="shared" si="5"/>
        <v>2.2401847575057735E-3</v>
      </c>
    </row>
    <row r="171" spans="1:9" ht="15.75" customHeight="1">
      <c r="A171" s="10">
        <v>45838</v>
      </c>
      <c r="B171" s="11" t="s">
        <v>24</v>
      </c>
      <c r="C171" s="11">
        <v>1349</v>
      </c>
      <c r="D171" s="11">
        <v>115</v>
      </c>
      <c r="E171" s="11">
        <v>102102</v>
      </c>
      <c r="F171" s="14">
        <v>5.28</v>
      </c>
      <c r="G171" s="19">
        <v>14479</v>
      </c>
      <c r="H171" s="19">
        <f t="shared" si="4"/>
        <v>1234</v>
      </c>
      <c r="I171" s="21">
        <f t="shared" si="5"/>
        <v>1.208595326242385E-2</v>
      </c>
    </row>
    <row r="172" spans="1:9" ht="15.75" customHeight="1">
      <c r="A172" s="10">
        <v>45838</v>
      </c>
      <c r="B172" s="11" t="s">
        <v>31</v>
      </c>
      <c r="C172" s="11">
        <v>693</v>
      </c>
      <c r="D172" s="11">
        <v>97</v>
      </c>
      <c r="E172" s="11">
        <v>92025</v>
      </c>
      <c r="F172" s="14">
        <v>5.95</v>
      </c>
      <c r="G172" s="19">
        <v>15915</v>
      </c>
      <c r="H172" s="19">
        <f t="shared" si="4"/>
        <v>596</v>
      </c>
      <c r="I172" s="21">
        <f t="shared" si="5"/>
        <v>6.4765009508285796E-3</v>
      </c>
    </row>
    <row r="173" spans="1:9" ht="15.75" customHeight="1">
      <c r="A173" s="10">
        <v>45845</v>
      </c>
      <c r="B173" s="11" t="s">
        <v>14</v>
      </c>
      <c r="C173" s="11">
        <v>974</v>
      </c>
      <c r="D173" s="11">
        <v>143</v>
      </c>
      <c r="E173" s="11">
        <v>247965</v>
      </c>
      <c r="F173" s="14">
        <v>9.98</v>
      </c>
      <c r="G173" s="19">
        <v>12767</v>
      </c>
      <c r="H173" s="19">
        <f t="shared" si="4"/>
        <v>831</v>
      </c>
      <c r="I173" s="21">
        <f t="shared" si="5"/>
        <v>3.3512794144334888E-3</v>
      </c>
    </row>
    <row r="174" spans="1:9" ht="15.75" customHeight="1">
      <c r="A174" s="10">
        <v>45845</v>
      </c>
      <c r="B174" s="11" t="s">
        <v>24</v>
      </c>
      <c r="C174" s="11">
        <v>1155</v>
      </c>
      <c r="D174" s="11">
        <v>122</v>
      </c>
      <c r="E174" s="11">
        <v>387352</v>
      </c>
      <c r="F174" s="14">
        <v>9.93</v>
      </c>
      <c r="G174" s="19">
        <v>12170</v>
      </c>
      <c r="H174" s="19">
        <f t="shared" si="4"/>
        <v>1033</v>
      </c>
      <c r="I174" s="21">
        <f t="shared" si="5"/>
        <v>2.6668250067122413E-3</v>
      </c>
    </row>
    <row r="175" spans="1:9" ht="15.75" customHeight="1">
      <c r="A175" s="10">
        <v>45845</v>
      </c>
      <c r="B175" s="11" t="s">
        <v>31</v>
      </c>
      <c r="C175" s="11">
        <v>1051</v>
      </c>
      <c r="D175" s="11">
        <v>246</v>
      </c>
      <c r="E175" s="11">
        <v>253985</v>
      </c>
      <c r="F175" s="14">
        <v>9.08</v>
      </c>
      <c r="G175" s="19">
        <v>7245</v>
      </c>
      <c r="H175" s="19">
        <f t="shared" si="4"/>
        <v>805</v>
      </c>
      <c r="I175" s="21">
        <f t="shared" si="5"/>
        <v>3.1694785125105812E-3</v>
      </c>
    </row>
    <row r="176" spans="1:9" ht="15.75" customHeight="1">
      <c r="A176" s="10">
        <v>45852</v>
      </c>
      <c r="B176" s="11" t="s">
        <v>14</v>
      </c>
      <c r="C176" s="11">
        <v>1457</v>
      </c>
      <c r="D176" s="11">
        <v>183</v>
      </c>
      <c r="E176" s="11">
        <v>129640</v>
      </c>
      <c r="F176" s="14">
        <v>7.98</v>
      </c>
      <c r="G176" s="19">
        <v>12985</v>
      </c>
      <c r="H176" s="19">
        <f t="shared" si="4"/>
        <v>1274</v>
      </c>
      <c r="I176" s="21">
        <f t="shared" si="5"/>
        <v>9.827213822894169E-3</v>
      </c>
    </row>
    <row r="177" spans="1:9" ht="15.75" customHeight="1">
      <c r="A177" s="10">
        <v>45852</v>
      </c>
      <c r="B177" s="11" t="s">
        <v>24</v>
      </c>
      <c r="C177" s="11">
        <v>670</v>
      </c>
      <c r="D177" s="11">
        <v>242</v>
      </c>
      <c r="E177" s="11">
        <v>281913</v>
      </c>
      <c r="F177" s="14">
        <v>9.6199999999999992</v>
      </c>
      <c r="G177" s="19">
        <v>16377</v>
      </c>
      <c r="H177" s="19">
        <f t="shared" si="4"/>
        <v>428</v>
      </c>
      <c r="I177" s="21">
        <f t="shared" si="5"/>
        <v>1.5181988769584942E-3</v>
      </c>
    </row>
    <row r="178" spans="1:9" ht="15.75" customHeight="1">
      <c r="A178" s="10">
        <v>45852</v>
      </c>
      <c r="B178" s="11" t="s">
        <v>31</v>
      </c>
      <c r="C178" s="11">
        <v>1111</v>
      </c>
      <c r="D178" s="11">
        <v>159</v>
      </c>
      <c r="E178" s="11">
        <v>360770</v>
      </c>
      <c r="F178" s="14">
        <v>8.7100000000000009</v>
      </c>
      <c r="G178" s="19">
        <v>11453</v>
      </c>
      <c r="H178" s="19">
        <f t="shared" si="4"/>
        <v>952</v>
      </c>
      <c r="I178" s="21">
        <f t="shared" si="5"/>
        <v>2.6388003437092886E-3</v>
      </c>
    </row>
    <row r="179" spans="1:9" ht="15.75" customHeight="1">
      <c r="A179" s="10">
        <v>45859</v>
      </c>
      <c r="B179" s="11" t="s">
        <v>14</v>
      </c>
      <c r="C179" s="11">
        <v>1197</v>
      </c>
      <c r="D179" s="11">
        <v>246</v>
      </c>
      <c r="E179" s="11">
        <v>127273</v>
      </c>
      <c r="F179" s="14">
        <v>6.69</v>
      </c>
      <c r="G179" s="19">
        <v>12323</v>
      </c>
      <c r="H179" s="19">
        <f t="shared" si="4"/>
        <v>951</v>
      </c>
      <c r="I179" s="21">
        <f t="shared" si="5"/>
        <v>7.4721268454424738E-3</v>
      </c>
    </row>
    <row r="180" spans="1:9" ht="15.75" customHeight="1">
      <c r="A180" s="10">
        <v>45859</v>
      </c>
      <c r="B180" s="11" t="s">
        <v>24</v>
      </c>
      <c r="C180" s="11">
        <v>754</v>
      </c>
      <c r="D180" s="11">
        <v>150</v>
      </c>
      <c r="E180" s="11">
        <v>189622</v>
      </c>
      <c r="F180" s="14">
        <v>4.25</v>
      </c>
      <c r="G180" s="19">
        <v>11911</v>
      </c>
      <c r="H180" s="19">
        <f t="shared" si="4"/>
        <v>604</v>
      </c>
      <c r="I180" s="21">
        <f t="shared" si="5"/>
        <v>3.1852844079273504E-3</v>
      </c>
    </row>
    <row r="181" spans="1:9" ht="15.75" customHeight="1">
      <c r="A181" s="10">
        <v>45859</v>
      </c>
      <c r="B181" s="11" t="s">
        <v>31</v>
      </c>
      <c r="C181" s="11">
        <v>1246</v>
      </c>
      <c r="D181" s="11">
        <v>107</v>
      </c>
      <c r="E181" s="11">
        <v>350949</v>
      </c>
      <c r="F181" s="14">
        <v>4.9800000000000004</v>
      </c>
      <c r="G181" s="19">
        <v>27809</v>
      </c>
      <c r="H181" s="19">
        <f t="shared" si="4"/>
        <v>1139</v>
      </c>
      <c r="I181" s="21">
        <f t="shared" si="5"/>
        <v>3.2454858113287115E-3</v>
      </c>
    </row>
    <row r="182" spans="1:9" ht="15.75" customHeight="1">
      <c r="A182" s="10">
        <v>45866</v>
      </c>
      <c r="B182" s="11" t="s">
        <v>14</v>
      </c>
      <c r="C182" s="11">
        <v>780</v>
      </c>
      <c r="D182" s="11">
        <v>213</v>
      </c>
      <c r="E182" s="11">
        <v>121431</v>
      </c>
      <c r="F182" s="14">
        <v>4.97</v>
      </c>
      <c r="G182" s="19">
        <v>21464</v>
      </c>
      <c r="H182" s="19">
        <f t="shared" si="4"/>
        <v>567</v>
      </c>
      <c r="I182" s="21">
        <f t="shared" si="5"/>
        <v>4.669318378338316E-3</v>
      </c>
    </row>
    <row r="183" spans="1:9" ht="15.75" customHeight="1">
      <c r="A183" s="10">
        <v>45866</v>
      </c>
      <c r="B183" s="11" t="s">
        <v>24</v>
      </c>
      <c r="C183" s="11">
        <v>1425</v>
      </c>
      <c r="D183" s="11">
        <v>143</v>
      </c>
      <c r="E183" s="11">
        <v>116742</v>
      </c>
      <c r="F183" s="14">
        <v>3.71</v>
      </c>
      <c r="G183" s="19">
        <v>27126</v>
      </c>
      <c r="H183" s="19">
        <f t="shared" si="4"/>
        <v>1282</v>
      </c>
      <c r="I183" s="21">
        <f t="shared" si="5"/>
        <v>1.0981480529715098E-2</v>
      </c>
    </row>
    <row r="184" spans="1:9" ht="15.75" customHeight="1">
      <c r="A184" s="10">
        <v>45866</v>
      </c>
      <c r="B184" s="11" t="s">
        <v>31</v>
      </c>
      <c r="C184" s="11">
        <v>1490</v>
      </c>
      <c r="D184" s="11">
        <v>103</v>
      </c>
      <c r="E184" s="11">
        <v>81184</v>
      </c>
      <c r="F184" s="14">
        <v>7.79</v>
      </c>
      <c r="G184" s="19">
        <v>10681</v>
      </c>
      <c r="H184" s="19">
        <f t="shared" si="4"/>
        <v>1387</v>
      </c>
      <c r="I184" s="21">
        <f t="shared" si="5"/>
        <v>1.7084647221127316E-2</v>
      </c>
    </row>
    <row r="185" spans="1:9" ht="15.75" customHeight="1">
      <c r="A185" s="10">
        <v>45873</v>
      </c>
      <c r="B185" s="11" t="s">
        <v>14</v>
      </c>
      <c r="C185" s="11">
        <v>949</v>
      </c>
      <c r="D185" s="11">
        <v>282</v>
      </c>
      <c r="E185" s="11">
        <v>87126</v>
      </c>
      <c r="F185" s="14">
        <v>4.96</v>
      </c>
      <c r="G185" s="19">
        <v>5413</v>
      </c>
      <c r="H185" s="19">
        <f t="shared" si="4"/>
        <v>667</v>
      </c>
      <c r="I185" s="21">
        <f t="shared" si="5"/>
        <v>7.6555792759910937E-3</v>
      </c>
    </row>
    <row r="186" spans="1:9" ht="15.75" customHeight="1">
      <c r="A186" s="10">
        <v>45873</v>
      </c>
      <c r="B186" s="11" t="s">
        <v>24</v>
      </c>
      <c r="C186" s="11">
        <v>640</v>
      </c>
      <c r="D186" s="11">
        <v>141</v>
      </c>
      <c r="E186" s="11">
        <v>267546</v>
      </c>
      <c r="F186" s="14">
        <v>8.58</v>
      </c>
      <c r="G186" s="19">
        <v>25058</v>
      </c>
      <c r="H186" s="19">
        <f t="shared" si="4"/>
        <v>499</v>
      </c>
      <c r="I186" s="21">
        <f t="shared" si="5"/>
        <v>1.8650998332996943E-3</v>
      </c>
    </row>
    <row r="187" spans="1:9" ht="15.75" customHeight="1">
      <c r="A187" s="10">
        <v>45873</v>
      </c>
      <c r="B187" s="11" t="s">
        <v>31</v>
      </c>
      <c r="C187" s="11">
        <v>616</v>
      </c>
      <c r="D187" s="11">
        <v>93</v>
      </c>
      <c r="E187" s="11">
        <v>133082</v>
      </c>
      <c r="F187" s="14">
        <v>8.51</v>
      </c>
      <c r="G187" s="19">
        <v>18303</v>
      </c>
      <c r="H187" s="19">
        <f t="shared" si="4"/>
        <v>523</v>
      </c>
      <c r="I187" s="21">
        <f t="shared" si="5"/>
        <v>3.9299078763469142E-3</v>
      </c>
    </row>
    <row r="188" spans="1:9" ht="15.75" customHeight="1">
      <c r="A188" s="10">
        <v>45880</v>
      </c>
      <c r="B188" s="11" t="s">
        <v>14</v>
      </c>
      <c r="C188" s="11">
        <v>1080</v>
      </c>
      <c r="D188" s="11">
        <v>184</v>
      </c>
      <c r="E188" s="11">
        <v>340557</v>
      </c>
      <c r="F188" s="14">
        <v>5.41</v>
      </c>
      <c r="G188" s="19">
        <v>5526</v>
      </c>
      <c r="H188" s="19">
        <f t="shared" si="4"/>
        <v>896</v>
      </c>
      <c r="I188" s="21">
        <f t="shared" si="5"/>
        <v>2.6309839468870114E-3</v>
      </c>
    </row>
    <row r="189" spans="1:9" ht="15.75" customHeight="1">
      <c r="A189" s="10">
        <v>45880</v>
      </c>
      <c r="B189" s="11" t="s">
        <v>24</v>
      </c>
      <c r="C189" s="11">
        <v>938</v>
      </c>
      <c r="D189" s="11">
        <v>236</v>
      </c>
      <c r="E189" s="11">
        <v>116472</v>
      </c>
      <c r="F189" s="14">
        <v>8.7200000000000006</v>
      </c>
      <c r="G189" s="19">
        <v>17460</v>
      </c>
      <c r="H189" s="19">
        <f t="shared" si="4"/>
        <v>702</v>
      </c>
      <c r="I189" s="21">
        <f t="shared" si="5"/>
        <v>6.0271996703070265E-3</v>
      </c>
    </row>
    <row r="190" spans="1:9" ht="15.75" customHeight="1">
      <c r="A190" s="10">
        <v>45880</v>
      </c>
      <c r="B190" s="11" t="s">
        <v>31</v>
      </c>
      <c r="C190" s="11">
        <v>1007</v>
      </c>
      <c r="D190" s="11">
        <v>258</v>
      </c>
      <c r="E190" s="11">
        <v>113412</v>
      </c>
      <c r="F190" s="14">
        <v>7.71</v>
      </c>
      <c r="G190" s="19">
        <v>14475</v>
      </c>
      <c r="H190" s="19">
        <f t="shared" si="4"/>
        <v>749</v>
      </c>
      <c r="I190" s="21">
        <f t="shared" si="5"/>
        <v>6.6042394102916796E-3</v>
      </c>
    </row>
    <row r="191" spans="1:9" ht="15.75" customHeight="1">
      <c r="A191" s="10">
        <v>45887</v>
      </c>
      <c r="B191" s="11" t="s">
        <v>14</v>
      </c>
      <c r="C191" s="11">
        <v>541</v>
      </c>
      <c r="D191" s="11">
        <v>208</v>
      </c>
      <c r="E191" s="11">
        <v>157547</v>
      </c>
      <c r="F191" s="14">
        <v>8.35</v>
      </c>
      <c r="G191" s="19">
        <v>20162</v>
      </c>
      <c r="H191" s="19">
        <f t="shared" si="4"/>
        <v>333</v>
      </c>
      <c r="I191" s="21">
        <f t="shared" si="5"/>
        <v>2.1136549728017671E-3</v>
      </c>
    </row>
    <row r="192" spans="1:9" ht="15.75" customHeight="1">
      <c r="A192" s="10">
        <v>45887</v>
      </c>
      <c r="B192" s="11" t="s">
        <v>24</v>
      </c>
      <c r="C192" s="11">
        <v>745</v>
      </c>
      <c r="D192" s="11">
        <v>98</v>
      </c>
      <c r="E192" s="11">
        <v>354816</v>
      </c>
      <c r="F192" s="14">
        <v>4.03</v>
      </c>
      <c r="G192" s="19">
        <v>17103</v>
      </c>
      <c r="H192" s="19">
        <f t="shared" si="4"/>
        <v>647</v>
      </c>
      <c r="I192" s="21">
        <f t="shared" si="5"/>
        <v>1.823480339105339E-3</v>
      </c>
    </row>
    <row r="193" spans="1:9" ht="15.75" customHeight="1">
      <c r="A193" s="10">
        <v>45887</v>
      </c>
      <c r="B193" s="11" t="s">
        <v>31</v>
      </c>
      <c r="C193" s="11">
        <v>936</v>
      </c>
      <c r="D193" s="11">
        <v>97</v>
      </c>
      <c r="E193" s="11">
        <v>151799</v>
      </c>
      <c r="F193" s="14">
        <v>9.3699999999999992</v>
      </c>
      <c r="G193" s="19">
        <v>15461</v>
      </c>
      <c r="H193" s="19">
        <f t="shared" si="4"/>
        <v>839</v>
      </c>
      <c r="I193" s="21">
        <f t="shared" si="5"/>
        <v>5.5270456327116777E-3</v>
      </c>
    </row>
    <row r="194" spans="1:9" ht="15.75" customHeight="1">
      <c r="A194" s="10">
        <v>45894</v>
      </c>
      <c r="B194" s="11" t="s">
        <v>14</v>
      </c>
      <c r="C194" s="11">
        <v>1183</v>
      </c>
      <c r="D194" s="11">
        <v>223</v>
      </c>
      <c r="E194" s="11">
        <v>143811</v>
      </c>
      <c r="F194" s="14">
        <v>6.07</v>
      </c>
      <c r="G194" s="19">
        <v>22103</v>
      </c>
      <c r="H194" s="19">
        <f t="shared" si="4"/>
        <v>960</v>
      </c>
      <c r="I194" s="21">
        <f t="shared" si="5"/>
        <v>6.6754281661347186E-3</v>
      </c>
    </row>
    <row r="195" spans="1:9" ht="15.75" customHeight="1">
      <c r="A195" s="10">
        <v>45894</v>
      </c>
      <c r="B195" s="11" t="s">
        <v>24</v>
      </c>
      <c r="C195" s="11">
        <v>1413</v>
      </c>
      <c r="D195" s="11">
        <v>245</v>
      </c>
      <c r="E195" s="11">
        <v>296450</v>
      </c>
      <c r="F195" s="14">
        <v>6.52</v>
      </c>
      <c r="G195" s="19">
        <v>11625</v>
      </c>
      <c r="H195" s="19">
        <f t="shared" ref="H195:H201" si="6">C195-D195</f>
        <v>1168</v>
      </c>
      <c r="I195" s="21">
        <f t="shared" ref="I195:I201" si="7">H195/E195</f>
        <v>3.9399561477483558E-3</v>
      </c>
    </row>
    <row r="196" spans="1:9" ht="15.75" customHeight="1">
      <c r="A196" s="10">
        <v>45894</v>
      </c>
      <c r="B196" s="11" t="s">
        <v>31</v>
      </c>
      <c r="C196" s="11">
        <v>791</v>
      </c>
      <c r="D196" s="11">
        <v>273</v>
      </c>
      <c r="E196" s="11">
        <v>144049</v>
      </c>
      <c r="F196" s="14">
        <v>3.08</v>
      </c>
      <c r="G196" s="19">
        <v>5281</v>
      </c>
      <c r="H196" s="19">
        <f t="shared" si="6"/>
        <v>518</v>
      </c>
      <c r="I196" s="21">
        <f t="shared" si="7"/>
        <v>3.5959985838152297E-3</v>
      </c>
    </row>
    <row r="197" spans="1:9" ht="15.75" customHeight="1">
      <c r="A197" s="10">
        <v>45901</v>
      </c>
      <c r="B197" s="11" t="s">
        <v>14</v>
      </c>
      <c r="C197" s="11">
        <v>1052</v>
      </c>
      <c r="D197" s="11">
        <v>180</v>
      </c>
      <c r="E197" s="11">
        <v>272534</v>
      </c>
      <c r="F197" s="14">
        <v>5.34</v>
      </c>
      <c r="G197" s="19">
        <v>13424</v>
      </c>
      <c r="H197" s="19">
        <f t="shared" si="6"/>
        <v>872</v>
      </c>
      <c r="I197" s="21">
        <f t="shared" si="7"/>
        <v>3.1996007837554212E-3</v>
      </c>
    </row>
    <row r="198" spans="1:9" ht="15.75" customHeight="1">
      <c r="A198" s="10">
        <v>45901</v>
      </c>
      <c r="B198" s="11" t="s">
        <v>24</v>
      </c>
      <c r="C198" s="11">
        <v>572</v>
      </c>
      <c r="D198" s="11">
        <v>270</v>
      </c>
      <c r="E198" s="11">
        <v>82265</v>
      </c>
      <c r="F198" s="14">
        <v>3.65</v>
      </c>
      <c r="G198" s="19">
        <v>13140</v>
      </c>
      <c r="H198" s="19">
        <f t="shared" si="6"/>
        <v>302</v>
      </c>
      <c r="I198" s="21">
        <f t="shared" si="7"/>
        <v>3.6710630280192063E-3</v>
      </c>
    </row>
    <row r="199" spans="1:9" ht="15.75" customHeight="1">
      <c r="A199" s="10">
        <v>45901</v>
      </c>
      <c r="B199" s="11" t="s">
        <v>31</v>
      </c>
      <c r="C199" s="11">
        <v>503</v>
      </c>
      <c r="D199" s="11">
        <v>253</v>
      </c>
      <c r="E199" s="11">
        <v>313562</v>
      </c>
      <c r="F199" s="14">
        <v>4.18</v>
      </c>
      <c r="G199" s="19">
        <v>19538</v>
      </c>
      <c r="H199" s="19">
        <f t="shared" si="6"/>
        <v>250</v>
      </c>
      <c r="I199" s="21">
        <f t="shared" si="7"/>
        <v>7.9729048800556194E-4</v>
      </c>
    </row>
    <row r="200" spans="1:9" ht="15.75" customHeight="1">
      <c r="A200" s="10">
        <v>45908</v>
      </c>
      <c r="B200" s="11" t="s">
        <v>14</v>
      </c>
      <c r="C200" s="11">
        <v>1017</v>
      </c>
      <c r="D200" s="11">
        <v>197</v>
      </c>
      <c r="E200" s="11">
        <v>89918</v>
      </c>
      <c r="F200" s="14">
        <v>3.91</v>
      </c>
      <c r="G200" s="19">
        <v>7881</v>
      </c>
      <c r="H200" s="19">
        <f t="shared" si="6"/>
        <v>820</v>
      </c>
      <c r="I200" s="21">
        <f t="shared" si="7"/>
        <v>9.1194199159233963E-3</v>
      </c>
    </row>
    <row r="201" spans="1:9" ht="15.75" customHeight="1">
      <c r="A201" s="10">
        <v>45908</v>
      </c>
      <c r="B201" s="11" t="s">
        <v>24</v>
      </c>
      <c r="C201" s="11">
        <v>860</v>
      </c>
      <c r="D201" s="11">
        <v>244</v>
      </c>
      <c r="E201" s="11">
        <v>348686</v>
      </c>
      <c r="F201" s="14">
        <v>5.12</v>
      </c>
      <c r="G201" s="19">
        <v>11418</v>
      </c>
      <c r="H201" s="19">
        <f t="shared" si="6"/>
        <v>616</v>
      </c>
      <c r="I201" s="21">
        <f t="shared" si="7"/>
        <v>1.7666324429429343E-3</v>
      </c>
    </row>
    <row r="202" spans="1:9" ht="15.75" customHeight="1"/>
    <row r="203" spans="1:9" ht="15.75" customHeight="1"/>
    <row r="204" spans="1:9" ht="15.75" customHeight="1"/>
    <row r="205" spans="1:9" ht="15.75" customHeight="1"/>
    <row r="206" spans="1:9" ht="15.75" customHeight="1"/>
    <row r="207" spans="1:9" ht="15.75" customHeight="1"/>
    <row r="208" spans="1: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K6:L7"/>
    <mergeCell ref="M6:N6"/>
    <mergeCell ref="O6:O7"/>
    <mergeCell ref="K4:O5"/>
    <mergeCell ref="M7:N7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99B4-9B01-4C95-9387-6B15F7715B47}">
  <sheetPr>
    <tabColor theme="4" tint="-0.249977111117893"/>
  </sheetPr>
  <dimension ref="A2:XFC26"/>
  <sheetViews>
    <sheetView zoomScale="110" zoomScaleNormal="110" workbookViewId="0">
      <selection activeCell="O24" sqref="O24"/>
    </sheetView>
  </sheetViews>
  <sheetFormatPr defaultRowHeight="14.4"/>
  <cols>
    <col min="7" max="7" width="22" customWidth="1"/>
    <col min="8" max="8" width="39.77734375" customWidth="1"/>
  </cols>
  <sheetData>
    <row r="2" spans="1:16383" ht="30" customHeight="1">
      <c r="G2" s="110" t="s">
        <v>384</v>
      </c>
      <c r="H2" s="110"/>
    </row>
    <row r="3" spans="1:16383" ht="9" customHeight="1"/>
    <row r="4" spans="1:16383" ht="25.05" customHeight="1">
      <c r="A4" s="54"/>
      <c r="B4" s="54"/>
      <c r="C4" s="54"/>
      <c r="D4" s="54"/>
      <c r="E4" s="54"/>
      <c r="F4" s="54"/>
      <c r="G4" s="50" t="s">
        <v>383</v>
      </c>
      <c r="H4" s="50"/>
      <c r="I4" s="54"/>
      <c r="J4" s="54"/>
      <c r="K4" s="54"/>
      <c r="L4" s="54"/>
      <c r="M4" s="54"/>
      <c r="N4" s="45"/>
      <c r="O4" s="45"/>
      <c r="P4" s="44"/>
      <c r="Q4" s="44"/>
      <c r="R4" s="44"/>
      <c r="S4" s="44"/>
      <c r="T4" s="44"/>
      <c r="U4" s="44"/>
      <c r="V4" s="44"/>
      <c r="W4" s="44"/>
      <c r="X4" s="44"/>
      <c r="Y4" s="44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09"/>
      <c r="DC4" s="109"/>
      <c r="DD4" s="109"/>
      <c r="DE4" s="109"/>
      <c r="DF4" s="109"/>
      <c r="DG4" s="109"/>
      <c r="DH4" s="109"/>
      <c r="DI4" s="109"/>
      <c r="DJ4" s="109"/>
      <c r="DK4" s="109"/>
      <c r="DL4" s="109"/>
      <c r="DM4" s="109"/>
      <c r="DN4" s="109"/>
      <c r="DO4" s="109"/>
      <c r="DP4" s="109"/>
      <c r="DQ4" s="109"/>
      <c r="DR4" s="109"/>
      <c r="DS4" s="109"/>
      <c r="DT4" s="109"/>
      <c r="DU4" s="109"/>
      <c r="DV4" s="109"/>
      <c r="DW4" s="109"/>
      <c r="DX4" s="109"/>
      <c r="DY4" s="109"/>
      <c r="DZ4" s="109"/>
      <c r="EA4" s="109"/>
      <c r="EB4" s="109"/>
      <c r="EC4" s="109"/>
      <c r="ED4" s="109"/>
      <c r="EE4" s="109"/>
      <c r="EF4" s="109"/>
      <c r="EG4" s="109"/>
      <c r="EH4" s="109"/>
      <c r="EI4" s="109"/>
      <c r="EJ4" s="109"/>
      <c r="EK4" s="109"/>
      <c r="EL4" s="109"/>
      <c r="EM4" s="109"/>
      <c r="EN4" s="109"/>
      <c r="EO4" s="109"/>
      <c r="EP4" s="109"/>
      <c r="EQ4" s="109"/>
      <c r="ER4" s="109"/>
      <c r="ES4" s="109"/>
      <c r="ET4" s="109"/>
      <c r="EU4" s="109"/>
      <c r="EV4" s="109"/>
      <c r="EW4" s="109"/>
      <c r="EX4" s="109"/>
      <c r="EY4" s="109"/>
      <c r="EZ4" s="109"/>
      <c r="FA4" s="109"/>
      <c r="FB4" s="109"/>
      <c r="FC4" s="109"/>
      <c r="FD4" s="109"/>
      <c r="FE4" s="109"/>
      <c r="FF4" s="109"/>
      <c r="FG4" s="109"/>
      <c r="FH4" s="109"/>
      <c r="FI4" s="109"/>
      <c r="FJ4" s="109"/>
      <c r="FK4" s="109"/>
      <c r="FL4" s="109"/>
      <c r="FM4" s="109"/>
      <c r="FN4" s="109"/>
      <c r="FO4" s="109"/>
      <c r="FP4" s="109"/>
      <c r="FQ4" s="109"/>
      <c r="FR4" s="109"/>
      <c r="FS4" s="109"/>
      <c r="FT4" s="109"/>
      <c r="FU4" s="109"/>
      <c r="FV4" s="109"/>
      <c r="FW4" s="109"/>
      <c r="FX4" s="109"/>
      <c r="FY4" s="109"/>
      <c r="FZ4" s="109"/>
      <c r="GA4" s="109"/>
      <c r="GB4" s="109"/>
      <c r="GC4" s="109"/>
      <c r="GD4" s="109"/>
      <c r="GE4" s="109"/>
      <c r="GF4" s="109"/>
      <c r="GG4" s="109"/>
      <c r="GH4" s="109"/>
      <c r="GI4" s="109"/>
      <c r="GJ4" s="109"/>
      <c r="GK4" s="109"/>
      <c r="GL4" s="109"/>
      <c r="GM4" s="109"/>
      <c r="GN4" s="109"/>
      <c r="GO4" s="109"/>
      <c r="GP4" s="109"/>
      <c r="GQ4" s="109"/>
      <c r="GR4" s="109"/>
      <c r="GS4" s="109"/>
      <c r="GT4" s="109"/>
      <c r="GU4" s="109"/>
      <c r="GV4" s="109"/>
      <c r="GW4" s="109"/>
      <c r="GX4" s="109"/>
      <c r="GY4" s="109"/>
      <c r="GZ4" s="109"/>
      <c r="HA4" s="109"/>
      <c r="HB4" s="109"/>
      <c r="HC4" s="109"/>
      <c r="HD4" s="109"/>
      <c r="HE4" s="109"/>
      <c r="HF4" s="109"/>
      <c r="HG4" s="109"/>
      <c r="HH4" s="109"/>
      <c r="HI4" s="109"/>
      <c r="HJ4" s="109"/>
      <c r="HK4" s="109"/>
      <c r="HL4" s="109"/>
      <c r="HM4" s="109"/>
      <c r="HN4" s="109"/>
      <c r="HO4" s="109"/>
      <c r="HP4" s="109"/>
      <c r="HQ4" s="109"/>
      <c r="HR4" s="109"/>
      <c r="HS4" s="109"/>
      <c r="HT4" s="109"/>
      <c r="HU4" s="109"/>
      <c r="HV4" s="109"/>
      <c r="HW4" s="109"/>
      <c r="HX4" s="109"/>
      <c r="HY4" s="109"/>
      <c r="HZ4" s="109"/>
      <c r="IA4" s="109"/>
      <c r="IB4" s="109"/>
      <c r="IC4" s="109"/>
      <c r="ID4" s="109"/>
      <c r="IE4" s="109"/>
      <c r="IF4" s="109"/>
      <c r="IG4" s="109"/>
      <c r="IH4" s="109"/>
      <c r="II4" s="109"/>
      <c r="IJ4" s="109"/>
      <c r="IK4" s="109"/>
      <c r="IL4" s="109"/>
      <c r="IM4" s="109"/>
      <c r="IN4" s="109"/>
      <c r="IO4" s="109"/>
      <c r="IP4" s="109"/>
      <c r="IQ4" s="109"/>
      <c r="IR4" s="109"/>
      <c r="IS4" s="109"/>
      <c r="IT4" s="109"/>
      <c r="IU4" s="109"/>
      <c r="IV4" s="109"/>
      <c r="IW4" s="109"/>
      <c r="IX4" s="109"/>
      <c r="IY4" s="109"/>
      <c r="IZ4" s="109"/>
      <c r="JA4" s="109"/>
      <c r="JB4" s="109"/>
      <c r="JC4" s="109"/>
      <c r="JD4" s="109"/>
      <c r="JE4" s="109"/>
      <c r="JF4" s="109"/>
      <c r="JG4" s="109"/>
      <c r="JH4" s="109"/>
      <c r="JI4" s="109"/>
      <c r="JJ4" s="109"/>
      <c r="JK4" s="109"/>
      <c r="JL4" s="109"/>
      <c r="JM4" s="109"/>
      <c r="JN4" s="109"/>
      <c r="JO4" s="109"/>
      <c r="JP4" s="109"/>
      <c r="JQ4" s="109"/>
      <c r="JR4" s="109"/>
      <c r="JS4" s="109"/>
      <c r="JT4" s="109"/>
      <c r="JU4" s="109"/>
      <c r="JV4" s="109"/>
      <c r="JW4" s="109"/>
      <c r="JX4" s="109"/>
      <c r="JY4" s="109"/>
      <c r="JZ4" s="109"/>
      <c r="KA4" s="109"/>
      <c r="KB4" s="109"/>
      <c r="KC4" s="109"/>
      <c r="KD4" s="109"/>
      <c r="KE4" s="109"/>
      <c r="KF4" s="109"/>
      <c r="KG4" s="109"/>
      <c r="KH4" s="109"/>
      <c r="KI4" s="109"/>
      <c r="KJ4" s="109"/>
      <c r="KK4" s="109"/>
      <c r="KL4" s="109"/>
      <c r="KM4" s="109"/>
      <c r="KN4" s="109"/>
      <c r="KO4" s="109"/>
      <c r="KP4" s="109"/>
      <c r="KQ4" s="109"/>
      <c r="KR4" s="109"/>
      <c r="KS4" s="109"/>
      <c r="KT4" s="109"/>
      <c r="KU4" s="109"/>
      <c r="KV4" s="109"/>
      <c r="KW4" s="109"/>
      <c r="KX4" s="109"/>
      <c r="KY4" s="109"/>
      <c r="KZ4" s="109"/>
      <c r="LA4" s="109"/>
      <c r="LB4" s="109"/>
      <c r="LC4" s="109"/>
      <c r="LD4" s="109"/>
      <c r="LE4" s="109"/>
      <c r="LF4" s="109"/>
      <c r="LG4" s="109"/>
      <c r="LH4" s="109"/>
      <c r="LI4" s="109"/>
      <c r="LJ4" s="109"/>
      <c r="LK4" s="109"/>
      <c r="LL4" s="109"/>
      <c r="LM4" s="109"/>
      <c r="LN4" s="109"/>
      <c r="LO4" s="109"/>
      <c r="LP4" s="109"/>
      <c r="LQ4" s="109"/>
      <c r="LR4" s="109"/>
      <c r="LS4" s="109"/>
      <c r="LT4" s="109"/>
      <c r="LU4" s="109"/>
      <c r="LV4" s="109"/>
      <c r="LW4" s="109"/>
      <c r="LX4" s="109"/>
      <c r="LY4" s="109"/>
      <c r="LZ4" s="109"/>
      <c r="MA4" s="109"/>
      <c r="MB4" s="109"/>
      <c r="MC4" s="109"/>
      <c r="MD4" s="109"/>
      <c r="ME4" s="109"/>
      <c r="MF4" s="109"/>
      <c r="MG4" s="109"/>
      <c r="MH4" s="109"/>
      <c r="MI4" s="109"/>
      <c r="MJ4" s="109"/>
      <c r="MK4" s="109"/>
      <c r="ML4" s="109"/>
      <c r="MM4" s="109"/>
      <c r="MN4" s="109"/>
      <c r="MO4" s="109"/>
      <c r="MP4" s="109"/>
      <c r="MQ4" s="109"/>
      <c r="MR4" s="109"/>
      <c r="MS4" s="109"/>
      <c r="MT4" s="109"/>
      <c r="MU4" s="109"/>
      <c r="MV4" s="109"/>
      <c r="MW4" s="109"/>
      <c r="MX4" s="109"/>
      <c r="MY4" s="109"/>
      <c r="MZ4" s="109"/>
      <c r="NA4" s="109"/>
      <c r="NB4" s="109"/>
      <c r="NC4" s="109"/>
      <c r="ND4" s="109"/>
      <c r="NE4" s="109"/>
      <c r="NF4" s="109"/>
      <c r="NG4" s="109"/>
      <c r="NH4" s="109"/>
      <c r="NI4" s="109"/>
      <c r="NJ4" s="109"/>
      <c r="NK4" s="109"/>
      <c r="NL4" s="109"/>
      <c r="NM4" s="109"/>
      <c r="NN4" s="109"/>
      <c r="NO4" s="109"/>
      <c r="NP4" s="109"/>
      <c r="NQ4" s="109"/>
      <c r="NR4" s="109"/>
      <c r="NS4" s="109"/>
      <c r="NT4" s="109"/>
      <c r="NU4" s="109"/>
      <c r="NV4" s="109"/>
      <c r="NW4" s="109"/>
      <c r="NX4" s="109"/>
      <c r="NY4" s="109"/>
      <c r="NZ4" s="109"/>
      <c r="OA4" s="109"/>
      <c r="OB4" s="109"/>
      <c r="OC4" s="109"/>
      <c r="OD4" s="109"/>
      <c r="OE4" s="109"/>
      <c r="OF4" s="109"/>
      <c r="OG4" s="109"/>
      <c r="OH4" s="109"/>
      <c r="OI4" s="109"/>
      <c r="OJ4" s="109"/>
      <c r="OK4" s="109"/>
      <c r="OL4" s="109"/>
      <c r="OM4" s="109"/>
      <c r="ON4" s="109"/>
      <c r="OO4" s="109"/>
      <c r="OP4" s="109"/>
      <c r="OQ4" s="109"/>
      <c r="OR4" s="109"/>
      <c r="OS4" s="109"/>
      <c r="OT4" s="109"/>
      <c r="OU4" s="109"/>
      <c r="OV4" s="109"/>
      <c r="OW4" s="109"/>
      <c r="OX4" s="109"/>
      <c r="OY4" s="109"/>
      <c r="OZ4" s="109"/>
      <c r="PA4" s="109"/>
      <c r="PB4" s="109"/>
      <c r="PC4" s="109"/>
      <c r="PD4" s="109"/>
      <c r="PE4" s="109"/>
      <c r="PF4" s="109"/>
      <c r="PG4" s="109"/>
      <c r="PH4" s="109"/>
      <c r="PI4" s="109"/>
      <c r="PJ4" s="109"/>
      <c r="PK4" s="109"/>
      <c r="PL4" s="109"/>
      <c r="PM4" s="109"/>
      <c r="PN4" s="109"/>
      <c r="PO4" s="109"/>
      <c r="PP4" s="109"/>
      <c r="PQ4" s="109"/>
      <c r="PR4" s="109"/>
      <c r="PS4" s="109"/>
      <c r="PT4" s="109"/>
      <c r="PU4" s="109"/>
      <c r="PV4" s="109"/>
      <c r="PW4" s="109"/>
      <c r="PX4" s="109"/>
      <c r="PY4" s="109"/>
      <c r="PZ4" s="109"/>
      <c r="QA4" s="109"/>
      <c r="QB4" s="109"/>
      <c r="QC4" s="109"/>
      <c r="QD4" s="109"/>
      <c r="QE4" s="109"/>
      <c r="QF4" s="109"/>
      <c r="QG4" s="109"/>
      <c r="QH4" s="109"/>
      <c r="QI4" s="109"/>
      <c r="QJ4" s="109"/>
      <c r="QK4" s="109"/>
      <c r="QL4" s="109"/>
      <c r="QM4" s="109"/>
      <c r="QN4" s="109"/>
      <c r="QO4" s="109"/>
      <c r="QP4" s="109"/>
      <c r="QQ4" s="109"/>
      <c r="QR4" s="109"/>
      <c r="QS4" s="109"/>
      <c r="QT4" s="109"/>
      <c r="QU4" s="109"/>
      <c r="QV4" s="109"/>
      <c r="QW4" s="109"/>
      <c r="QX4" s="109"/>
      <c r="QY4" s="109"/>
      <c r="QZ4" s="109"/>
      <c r="RA4" s="109"/>
      <c r="RB4" s="109"/>
      <c r="RC4" s="109"/>
      <c r="RD4" s="109"/>
      <c r="RE4" s="109"/>
      <c r="RF4" s="109"/>
      <c r="RG4" s="109"/>
      <c r="RH4" s="109"/>
      <c r="RI4" s="109"/>
      <c r="RJ4" s="109"/>
      <c r="RK4" s="109"/>
      <c r="RL4" s="109"/>
      <c r="RM4" s="109"/>
      <c r="RN4" s="109"/>
      <c r="RO4" s="109"/>
      <c r="RP4" s="109"/>
      <c r="RQ4" s="109"/>
      <c r="RR4" s="109"/>
      <c r="RS4" s="109"/>
      <c r="RT4" s="109"/>
      <c r="RU4" s="109"/>
      <c r="RV4" s="109"/>
      <c r="RW4" s="109"/>
      <c r="RX4" s="109"/>
      <c r="RY4" s="109"/>
      <c r="RZ4" s="109"/>
      <c r="SA4" s="109"/>
      <c r="SB4" s="109"/>
      <c r="SC4" s="109"/>
      <c r="SD4" s="109"/>
      <c r="SE4" s="109"/>
      <c r="SF4" s="109"/>
      <c r="SG4" s="109"/>
      <c r="SH4" s="109"/>
      <c r="SI4" s="109"/>
      <c r="SJ4" s="109"/>
      <c r="SK4" s="109"/>
      <c r="SL4" s="109"/>
      <c r="SM4" s="109"/>
      <c r="SN4" s="109"/>
      <c r="SO4" s="109"/>
      <c r="SP4" s="109"/>
      <c r="SQ4" s="109"/>
      <c r="SR4" s="109"/>
      <c r="SS4" s="109"/>
      <c r="ST4" s="109"/>
      <c r="SU4" s="109"/>
      <c r="SV4" s="109"/>
      <c r="SW4" s="109"/>
      <c r="SX4" s="109"/>
      <c r="SY4" s="109"/>
      <c r="SZ4" s="109"/>
      <c r="TA4" s="109"/>
      <c r="TB4" s="109"/>
      <c r="TC4" s="109"/>
      <c r="TD4" s="109"/>
      <c r="TE4" s="109"/>
      <c r="TF4" s="109"/>
      <c r="TG4" s="109"/>
      <c r="TH4" s="109"/>
      <c r="TI4" s="109"/>
      <c r="TJ4" s="109"/>
      <c r="TK4" s="109"/>
      <c r="TL4" s="109"/>
      <c r="TM4" s="109"/>
      <c r="TN4" s="109"/>
      <c r="TO4" s="109"/>
      <c r="TP4" s="109"/>
      <c r="TQ4" s="109"/>
      <c r="TR4" s="109"/>
      <c r="TS4" s="109"/>
      <c r="TT4" s="109"/>
      <c r="TU4" s="109"/>
      <c r="TV4" s="109"/>
      <c r="TW4" s="109"/>
      <c r="TX4" s="109"/>
      <c r="TY4" s="109"/>
      <c r="TZ4" s="109"/>
      <c r="UA4" s="109"/>
      <c r="UB4" s="109"/>
      <c r="UC4" s="109"/>
      <c r="UD4" s="109"/>
      <c r="UE4" s="109"/>
      <c r="UF4" s="109"/>
      <c r="UG4" s="109"/>
      <c r="UH4" s="109"/>
      <c r="UI4" s="109"/>
      <c r="UJ4" s="109"/>
      <c r="UK4" s="109"/>
      <c r="UL4" s="109"/>
      <c r="UM4" s="109"/>
      <c r="UN4" s="109"/>
      <c r="UO4" s="109"/>
      <c r="UP4" s="109"/>
      <c r="UQ4" s="109"/>
      <c r="UR4" s="109"/>
      <c r="US4" s="109"/>
      <c r="UT4" s="109"/>
      <c r="UU4" s="109"/>
      <c r="UV4" s="109"/>
      <c r="UW4" s="109"/>
      <c r="UX4" s="109"/>
      <c r="UY4" s="109"/>
      <c r="UZ4" s="109"/>
      <c r="VA4" s="109"/>
      <c r="VB4" s="109"/>
      <c r="VC4" s="109"/>
      <c r="VD4" s="109"/>
      <c r="VE4" s="109"/>
      <c r="VF4" s="109"/>
      <c r="VG4" s="109"/>
      <c r="VH4" s="109"/>
      <c r="VI4" s="109"/>
      <c r="VJ4" s="109"/>
      <c r="VK4" s="109"/>
      <c r="VL4" s="109"/>
      <c r="VM4" s="109"/>
      <c r="VN4" s="109"/>
      <c r="VO4" s="109"/>
      <c r="VP4" s="109"/>
      <c r="VQ4" s="109"/>
      <c r="VR4" s="109"/>
      <c r="VS4" s="109"/>
      <c r="VT4" s="109"/>
      <c r="VU4" s="109"/>
      <c r="VV4" s="109"/>
      <c r="VW4" s="109"/>
      <c r="VX4" s="109"/>
      <c r="VY4" s="109"/>
      <c r="VZ4" s="109"/>
      <c r="WA4" s="109"/>
      <c r="WB4" s="109"/>
      <c r="WC4" s="109"/>
      <c r="WD4" s="109"/>
      <c r="WE4" s="109"/>
      <c r="WF4" s="109"/>
      <c r="WG4" s="109"/>
      <c r="WH4" s="109"/>
      <c r="WI4" s="109"/>
      <c r="WJ4" s="109"/>
      <c r="WK4" s="109"/>
      <c r="WL4" s="109"/>
      <c r="WM4" s="109"/>
      <c r="WN4" s="109"/>
      <c r="WO4" s="109"/>
      <c r="WP4" s="109"/>
      <c r="WQ4" s="109"/>
      <c r="WR4" s="109"/>
      <c r="WS4" s="109"/>
      <c r="WT4" s="109"/>
      <c r="WU4" s="109"/>
      <c r="WV4" s="109"/>
      <c r="WW4" s="109"/>
      <c r="WX4" s="109"/>
      <c r="WY4" s="109"/>
      <c r="WZ4" s="109"/>
      <c r="XA4" s="109"/>
      <c r="XB4" s="109"/>
      <c r="XC4" s="109"/>
      <c r="XD4" s="109"/>
      <c r="XE4" s="109"/>
      <c r="XF4" s="109"/>
      <c r="XG4" s="109"/>
      <c r="XH4" s="109"/>
      <c r="XI4" s="109"/>
      <c r="XJ4" s="109"/>
      <c r="XK4" s="109"/>
      <c r="XL4" s="109"/>
      <c r="XM4" s="109"/>
      <c r="XN4" s="109"/>
      <c r="XO4" s="109"/>
      <c r="XP4" s="109"/>
      <c r="XQ4" s="109"/>
      <c r="XR4" s="109"/>
      <c r="XS4" s="109"/>
      <c r="XT4" s="109"/>
      <c r="XU4" s="109"/>
      <c r="XV4" s="109"/>
      <c r="XW4" s="109"/>
      <c r="XX4" s="109"/>
      <c r="XY4" s="109"/>
      <c r="XZ4" s="109"/>
      <c r="YA4" s="109"/>
      <c r="YB4" s="109"/>
      <c r="YC4" s="109"/>
      <c r="YD4" s="109"/>
      <c r="YE4" s="109"/>
      <c r="YF4" s="109"/>
      <c r="YG4" s="109"/>
      <c r="YH4" s="109"/>
      <c r="YI4" s="109"/>
      <c r="YJ4" s="109"/>
      <c r="YK4" s="109"/>
      <c r="YL4" s="109"/>
      <c r="YM4" s="109"/>
      <c r="YN4" s="109"/>
      <c r="YO4" s="109"/>
      <c r="YP4" s="109"/>
      <c r="YQ4" s="109"/>
      <c r="YR4" s="109"/>
      <c r="YS4" s="109"/>
      <c r="YT4" s="109"/>
      <c r="YU4" s="109"/>
      <c r="YV4" s="109"/>
      <c r="YW4" s="109"/>
      <c r="YX4" s="109"/>
      <c r="YY4" s="109"/>
      <c r="YZ4" s="109"/>
      <c r="ZA4" s="109"/>
      <c r="ZB4" s="109"/>
      <c r="ZC4" s="109"/>
      <c r="ZD4" s="109"/>
      <c r="ZE4" s="109"/>
      <c r="ZF4" s="109"/>
      <c r="ZG4" s="109"/>
      <c r="ZH4" s="109"/>
      <c r="ZI4" s="109"/>
      <c r="ZJ4" s="109"/>
      <c r="ZK4" s="109"/>
      <c r="ZL4" s="109"/>
      <c r="ZM4" s="109"/>
      <c r="ZN4" s="109"/>
      <c r="ZO4" s="109"/>
      <c r="ZP4" s="109"/>
      <c r="ZQ4" s="109"/>
      <c r="ZR4" s="109"/>
      <c r="ZS4" s="109"/>
      <c r="ZT4" s="109"/>
      <c r="ZU4" s="109"/>
      <c r="ZV4" s="109"/>
      <c r="ZW4" s="109"/>
      <c r="ZX4" s="109"/>
      <c r="ZY4" s="109"/>
      <c r="ZZ4" s="109"/>
      <c r="AAA4" s="109"/>
      <c r="AAB4" s="109"/>
      <c r="AAC4" s="109"/>
      <c r="AAD4" s="109"/>
      <c r="AAE4" s="109"/>
      <c r="AAF4" s="109"/>
      <c r="AAG4" s="109"/>
      <c r="AAH4" s="109"/>
      <c r="AAI4" s="109"/>
      <c r="AAJ4" s="109"/>
      <c r="AAK4" s="109"/>
      <c r="AAL4" s="109"/>
      <c r="AAM4" s="109"/>
      <c r="AAN4" s="109"/>
      <c r="AAO4" s="109"/>
      <c r="AAP4" s="109"/>
      <c r="AAQ4" s="109"/>
      <c r="AAR4" s="109"/>
      <c r="AAS4" s="109"/>
      <c r="AAT4" s="109"/>
      <c r="AAU4" s="109"/>
      <c r="AAV4" s="109"/>
      <c r="AAW4" s="109"/>
      <c r="AAX4" s="109"/>
      <c r="AAY4" s="109"/>
      <c r="AAZ4" s="109"/>
      <c r="ABA4" s="109"/>
      <c r="ABB4" s="109"/>
      <c r="ABC4" s="109"/>
      <c r="ABD4" s="109"/>
      <c r="ABE4" s="109"/>
      <c r="ABF4" s="109"/>
      <c r="ABG4" s="109"/>
      <c r="ABH4" s="109"/>
      <c r="ABI4" s="109"/>
      <c r="ABJ4" s="109"/>
      <c r="ABK4" s="109"/>
      <c r="ABL4" s="109"/>
      <c r="ABM4" s="109"/>
      <c r="ABN4" s="109"/>
      <c r="ABO4" s="109"/>
      <c r="ABP4" s="109"/>
      <c r="ABQ4" s="109"/>
      <c r="ABR4" s="109"/>
      <c r="ABS4" s="109"/>
      <c r="ABT4" s="109"/>
      <c r="ABU4" s="109"/>
      <c r="ABV4" s="109"/>
      <c r="ABW4" s="109"/>
      <c r="ABX4" s="109"/>
      <c r="ABY4" s="109"/>
      <c r="ABZ4" s="109"/>
      <c r="ACA4" s="109"/>
      <c r="ACB4" s="109"/>
      <c r="ACC4" s="109"/>
      <c r="ACD4" s="109"/>
      <c r="ACE4" s="109"/>
      <c r="ACF4" s="109"/>
      <c r="ACG4" s="109"/>
      <c r="ACH4" s="109"/>
      <c r="ACI4" s="109"/>
      <c r="ACJ4" s="109"/>
      <c r="ACK4" s="109"/>
      <c r="ACL4" s="109"/>
      <c r="ACM4" s="109"/>
      <c r="ACN4" s="109"/>
      <c r="ACO4" s="109"/>
      <c r="ACP4" s="109"/>
      <c r="ACQ4" s="109"/>
      <c r="ACR4" s="109"/>
      <c r="ACS4" s="109"/>
      <c r="ACT4" s="109"/>
      <c r="ACU4" s="109"/>
      <c r="ACV4" s="109"/>
      <c r="ACW4" s="109"/>
      <c r="ACX4" s="109"/>
      <c r="ACY4" s="109"/>
      <c r="ACZ4" s="109"/>
      <c r="ADA4" s="109"/>
      <c r="ADB4" s="109"/>
      <c r="ADC4" s="109"/>
      <c r="ADD4" s="109"/>
      <c r="ADE4" s="109"/>
      <c r="ADF4" s="109"/>
      <c r="ADG4" s="109"/>
      <c r="ADH4" s="109"/>
      <c r="ADI4" s="109"/>
      <c r="ADJ4" s="109"/>
      <c r="ADK4" s="109"/>
      <c r="ADL4" s="109"/>
      <c r="ADM4" s="109"/>
      <c r="ADN4" s="109"/>
      <c r="ADO4" s="109"/>
      <c r="ADP4" s="109"/>
      <c r="ADQ4" s="109"/>
      <c r="ADR4" s="109"/>
      <c r="ADS4" s="109"/>
      <c r="ADT4" s="109"/>
      <c r="ADU4" s="109"/>
      <c r="ADV4" s="109"/>
      <c r="ADW4" s="109"/>
      <c r="ADX4" s="109"/>
      <c r="ADY4" s="109"/>
      <c r="ADZ4" s="109"/>
      <c r="AEA4" s="109"/>
      <c r="AEB4" s="109"/>
      <c r="AEC4" s="109"/>
      <c r="AED4" s="109"/>
      <c r="AEE4" s="109"/>
      <c r="AEF4" s="109"/>
      <c r="AEG4" s="109"/>
      <c r="AEH4" s="109"/>
      <c r="AEI4" s="109"/>
      <c r="AEJ4" s="109"/>
      <c r="AEK4" s="109"/>
      <c r="AEL4" s="109"/>
      <c r="AEM4" s="109"/>
      <c r="AEN4" s="109"/>
      <c r="AEO4" s="109"/>
      <c r="AEP4" s="109"/>
      <c r="AEQ4" s="109"/>
      <c r="AER4" s="109"/>
      <c r="AES4" s="109"/>
      <c r="AET4" s="109"/>
      <c r="AEU4" s="109"/>
      <c r="AEV4" s="109"/>
      <c r="AEW4" s="109"/>
      <c r="AEX4" s="109"/>
      <c r="AEY4" s="109"/>
      <c r="AEZ4" s="109"/>
      <c r="AFA4" s="109"/>
      <c r="AFB4" s="109"/>
      <c r="AFC4" s="109"/>
      <c r="AFD4" s="109"/>
      <c r="AFE4" s="109"/>
      <c r="AFF4" s="109"/>
      <c r="AFG4" s="109"/>
      <c r="AFH4" s="109"/>
      <c r="AFI4" s="109"/>
      <c r="AFJ4" s="109"/>
      <c r="AFK4" s="109"/>
      <c r="AFL4" s="109"/>
      <c r="AFM4" s="109"/>
      <c r="AFN4" s="109"/>
      <c r="AFO4" s="109"/>
      <c r="AFP4" s="109"/>
      <c r="AFQ4" s="109"/>
      <c r="AFR4" s="109"/>
      <c r="AFS4" s="109"/>
      <c r="AFT4" s="109"/>
      <c r="AFU4" s="109"/>
      <c r="AFV4" s="109"/>
      <c r="AFW4" s="109"/>
      <c r="AFX4" s="109"/>
      <c r="AFY4" s="109"/>
      <c r="AFZ4" s="109"/>
      <c r="AGA4" s="109"/>
      <c r="AGB4" s="109"/>
      <c r="AGC4" s="109"/>
      <c r="AGD4" s="109"/>
      <c r="AGE4" s="109"/>
      <c r="AGF4" s="109"/>
      <c r="AGG4" s="109"/>
      <c r="AGH4" s="109"/>
      <c r="AGI4" s="109"/>
      <c r="AGJ4" s="109"/>
      <c r="AGK4" s="109"/>
      <c r="AGL4" s="109"/>
      <c r="AGM4" s="109"/>
      <c r="AGN4" s="109"/>
      <c r="AGO4" s="109"/>
      <c r="AGP4" s="109"/>
      <c r="AGQ4" s="109"/>
      <c r="AGR4" s="109"/>
      <c r="AGS4" s="109"/>
      <c r="AGT4" s="109"/>
      <c r="AGU4" s="109"/>
      <c r="AGV4" s="109"/>
      <c r="AGW4" s="109"/>
      <c r="AGX4" s="109"/>
      <c r="AGY4" s="109"/>
      <c r="AGZ4" s="109"/>
      <c r="AHA4" s="109"/>
      <c r="AHB4" s="109"/>
      <c r="AHC4" s="109"/>
      <c r="AHD4" s="109"/>
      <c r="AHE4" s="109"/>
      <c r="AHF4" s="109"/>
      <c r="AHG4" s="109"/>
      <c r="AHH4" s="109"/>
      <c r="AHI4" s="109"/>
      <c r="AHJ4" s="109"/>
      <c r="AHK4" s="109"/>
      <c r="AHL4" s="109"/>
      <c r="AHM4" s="109"/>
      <c r="AHN4" s="109"/>
      <c r="AHO4" s="109"/>
      <c r="AHP4" s="109"/>
      <c r="AHQ4" s="109"/>
      <c r="AHR4" s="109"/>
      <c r="AHS4" s="109"/>
      <c r="AHT4" s="109"/>
      <c r="AHU4" s="109"/>
      <c r="AHV4" s="109"/>
      <c r="AHW4" s="109"/>
      <c r="AHX4" s="109"/>
      <c r="AHY4" s="109"/>
      <c r="AHZ4" s="109"/>
      <c r="AIA4" s="109"/>
      <c r="AIB4" s="109"/>
      <c r="AIC4" s="109"/>
      <c r="AID4" s="109"/>
      <c r="AIE4" s="109"/>
      <c r="AIF4" s="109"/>
      <c r="AIG4" s="109"/>
      <c r="AIH4" s="109"/>
      <c r="AII4" s="109"/>
      <c r="AIJ4" s="109"/>
      <c r="AIK4" s="109"/>
      <c r="AIL4" s="109"/>
      <c r="AIM4" s="109"/>
      <c r="AIN4" s="109"/>
      <c r="AIO4" s="109"/>
      <c r="AIP4" s="109"/>
      <c r="AIQ4" s="109"/>
      <c r="AIR4" s="109"/>
      <c r="AIS4" s="109"/>
      <c r="AIT4" s="109"/>
      <c r="AIU4" s="109"/>
      <c r="AIV4" s="109"/>
      <c r="AIW4" s="109"/>
      <c r="AIX4" s="109"/>
      <c r="AIY4" s="109"/>
      <c r="AIZ4" s="109"/>
      <c r="AJA4" s="109"/>
      <c r="AJB4" s="109"/>
      <c r="AJC4" s="109"/>
      <c r="AJD4" s="109"/>
      <c r="AJE4" s="109"/>
      <c r="AJF4" s="109"/>
      <c r="AJG4" s="109"/>
      <c r="AJH4" s="109"/>
      <c r="AJI4" s="109"/>
      <c r="AJJ4" s="109"/>
      <c r="AJK4" s="109"/>
      <c r="AJL4" s="109"/>
      <c r="AJM4" s="109"/>
      <c r="AJN4" s="109"/>
      <c r="AJO4" s="109"/>
      <c r="AJP4" s="109"/>
      <c r="AJQ4" s="109"/>
      <c r="AJR4" s="109"/>
      <c r="AJS4" s="109"/>
      <c r="AJT4" s="109"/>
      <c r="AJU4" s="109"/>
      <c r="AJV4" s="109"/>
      <c r="AJW4" s="109"/>
      <c r="AJX4" s="109"/>
      <c r="AJY4" s="109"/>
      <c r="AJZ4" s="109"/>
      <c r="AKA4" s="109"/>
      <c r="AKB4" s="109"/>
      <c r="AKC4" s="109"/>
      <c r="AKD4" s="109"/>
      <c r="AKE4" s="109"/>
      <c r="AKF4" s="109"/>
      <c r="AKG4" s="109"/>
      <c r="AKH4" s="109"/>
      <c r="AKI4" s="109"/>
      <c r="AKJ4" s="109"/>
      <c r="AKK4" s="109"/>
      <c r="AKL4" s="109"/>
      <c r="AKM4" s="109"/>
      <c r="AKN4" s="109"/>
      <c r="AKO4" s="109"/>
      <c r="AKP4" s="109"/>
      <c r="AKQ4" s="109"/>
      <c r="AKR4" s="109"/>
      <c r="AKS4" s="109"/>
      <c r="AKT4" s="109"/>
      <c r="AKU4" s="109"/>
      <c r="AKV4" s="109"/>
      <c r="AKW4" s="109"/>
      <c r="AKX4" s="109"/>
      <c r="AKY4" s="109"/>
      <c r="AKZ4" s="109"/>
      <c r="ALA4" s="109"/>
      <c r="ALB4" s="109"/>
      <c r="ALC4" s="109"/>
      <c r="ALD4" s="109"/>
      <c r="ALE4" s="109"/>
      <c r="ALF4" s="109"/>
      <c r="ALG4" s="109"/>
      <c r="ALH4" s="109"/>
      <c r="ALI4" s="109"/>
      <c r="ALJ4" s="109"/>
      <c r="ALK4" s="109"/>
      <c r="ALL4" s="109"/>
      <c r="ALM4" s="109"/>
      <c r="ALN4" s="109"/>
      <c r="ALO4" s="109"/>
      <c r="ALP4" s="109"/>
      <c r="ALQ4" s="109"/>
      <c r="ALR4" s="109"/>
      <c r="ALS4" s="109"/>
      <c r="ALT4" s="109"/>
      <c r="ALU4" s="109"/>
      <c r="ALV4" s="109"/>
      <c r="ALW4" s="109"/>
      <c r="ALX4" s="109"/>
      <c r="ALY4" s="109"/>
      <c r="ALZ4" s="109"/>
      <c r="AMA4" s="109"/>
      <c r="AMB4" s="109"/>
      <c r="AMC4" s="109"/>
      <c r="AMD4" s="109"/>
      <c r="AME4" s="109"/>
      <c r="AMF4" s="109"/>
      <c r="AMG4" s="109"/>
      <c r="AMH4" s="109"/>
      <c r="AMI4" s="109"/>
      <c r="AMJ4" s="109"/>
      <c r="AMK4" s="109"/>
      <c r="AML4" s="109"/>
      <c r="AMM4" s="109"/>
      <c r="AMN4" s="109"/>
      <c r="AMO4" s="109"/>
      <c r="AMP4" s="109"/>
      <c r="AMQ4" s="109"/>
      <c r="AMR4" s="109"/>
      <c r="AMS4" s="109"/>
      <c r="AMT4" s="109"/>
      <c r="AMU4" s="109"/>
      <c r="AMV4" s="109"/>
      <c r="AMW4" s="109"/>
      <c r="AMX4" s="109"/>
      <c r="AMY4" s="109"/>
      <c r="AMZ4" s="109"/>
      <c r="ANA4" s="109"/>
      <c r="ANB4" s="109"/>
      <c r="ANC4" s="109"/>
      <c r="AND4" s="109"/>
      <c r="ANE4" s="109"/>
      <c r="ANF4" s="109"/>
      <c r="ANG4" s="109"/>
      <c r="ANH4" s="109"/>
      <c r="ANI4" s="109"/>
      <c r="ANJ4" s="109"/>
      <c r="ANK4" s="109"/>
      <c r="ANL4" s="109"/>
      <c r="ANM4" s="109"/>
      <c r="ANN4" s="109"/>
      <c r="ANO4" s="109"/>
      <c r="ANP4" s="109"/>
      <c r="ANQ4" s="109"/>
      <c r="ANR4" s="109"/>
      <c r="ANS4" s="109"/>
      <c r="ANT4" s="109"/>
      <c r="ANU4" s="109"/>
      <c r="ANV4" s="109"/>
      <c r="ANW4" s="109"/>
      <c r="ANX4" s="109"/>
      <c r="ANY4" s="109"/>
      <c r="ANZ4" s="109"/>
      <c r="AOA4" s="109"/>
      <c r="AOB4" s="109"/>
      <c r="AOC4" s="109"/>
      <c r="AOD4" s="109"/>
      <c r="AOE4" s="109"/>
      <c r="AOF4" s="109"/>
      <c r="AOG4" s="109"/>
      <c r="AOH4" s="109"/>
      <c r="AOI4" s="109"/>
      <c r="AOJ4" s="109"/>
      <c r="AOK4" s="109"/>
      <c r="AOL4" s="109"/>
      <c r="AOM4" s="109"/>
      <c r="AON4" s="109"/>
      <c r="AOO4" s="109"/>
      <c r="AOP4" s="109"/>
      <c r="AOQ4" s="109"/>
      <c r="AOR4" s="109"/>
      <c r="AOS4" s="109"/>
      <c r="AOT4" s="109"/>
      <c r="AOU4" s="109"/>
      <c r="AOV4" s="109"/>
      <c r="AOW4" s="109"/>
      <c r="AOX4" s="109"/>
      <c r="AOY4" s="109"/>
      <c r="AOZ4" s="109"/>
      <c r="APA4" s="109"/>
      <c r="APB4" s="109"/>
      <c r="APC4" s="109"/>
      <c r="APD4" s="109"/>
      <c r="APE4" s="109"/>
      <c r="APF4" s="109"/>
      <c r="APG4" s="109"/>
      <c r="APH4" s="109"/>
      <c r="API4" s="109"/>
      <c r="APJ4" s="109"/>
      <c r="APK4" s="109"/>
      <c r="APL4" s="109"/>
      <c r="APM4" s="109"/>
      <c r="APN4" s="109"/>
      <c r="APO4" s="109"/>
      <c r="APP4" s="109"/>
      <c r="APQ4" s="109"/>
      <c r="APR4" s="109"/>
      <c r="APS4" s="109"/>
      <c r="APT4" s="109"/>
      <c r="APU4" s="109"/>
      <c r="APV4" s="109"/>
      <c r="APW4" s="109"/>
      <c r="APX4" s="109"/>
      <c r="APY4" s="109"/>
      <c r="APZ4" s="109"/>
      <c r="AQA4" s="109"/>
      <c r="AQB4" s="109"/>
      <c r="AQC4" s="109"/>
      <c r="AQD4" s="109"/>
      <c r="AQE4" s="109"/>
      <c r="AQF4" s="109"/>
      <c r="AQG4" s="109"/>
      <c r="AQH4" s="109"/>
      <c r="AQI4" s="109"/>
      <c r="AQJ4" s="109"/>
      <c r="AQK4" s="109"/>
      <c r="AQL4" s="109"/>
      <c r="AQM4" s="109"/>
      <c r="AQN4" s="109"/>
      <c r="AQO4" s="109"/>
      <c r="AQP4" s="109"/>
      <c r="AQQ4" s="109"/>
      <c r="AQR4" s="109"/>
      <c r="AQS4" s="109"/>
      <c r="AQT4" s="109"/>
      <c r="AQU4" s="109"/>
      <c r="AQV4" s="109"/>
      <c r="AQW4" s="109"/>
      <c r="AQX4" s="109"/>
      <c r="AQY4" s="109"/>
      <c r="AQZ4" s="109"/>
      <c r="ARA4" s="109"/>
      <c r="ARB4" s="109"/>
      <c r="ARC4" s="109"/>
      <c r="ARD4" s="109"/>
      <c r="ARE4" s="109"/>
      <c r="ARF4" s="109"/>
      <c r="ARG4" s="109"/>
      <c r="ARH4" s="109"/>
      <c r="ARI4" s="109"/>
      <c r="ARJ4" s="109"/>
      <c r="ARK4" s="109"/>
      <c r="ARL4" s="109"/>
      <c r="ARM4" s="109"/>
      <c r="ARN4" s="109"/>
      <c r="ARO4" s="109"/>
      <c r="ARP4" s="109"/>
      <c r="ARQ4" s="109"/>
      <c r="ARR4" s="109"/>
      <c r="ARS4" s="109"/>
      <c r="ART4" s="109"/>
      <c r="ARU4" s="109"/>
      <c r="ARV4" s="109"/>
      <c r="ARW4" s="109"/>
      <c r="ARX4" s="109"/>
      <c r="ARY4" s="109"/>
      <c r="ARZ4" s="109"/>
      <c r="ASA4" s="109"/>
      <c r="ASB4" s="109"/>
      <c r="ASC4" s="109"/>
      <c r="ASD4" s="109"/>
      <c r="ASE4" s="109"/>
      <c r="ASF4" s="109"/>
      <c r="ASG4" s="109"/>
      <c r="ASH4" s="109"/>
      <c r="ASI4" s="109"/>
      <c r="ASJ4" s="109"/>
      <c r="ASK4" s="109"/>
      <c r="ASL4" s="109"/>
      <c r="ASM4" s="109"/>
      <c r="ASN4" s="109"/>
      <c r="ASO4" s="109"/>
      <c r="ASP4" s="109"/>
      <c r="ASQ4" s="109"/>
      <c r="ASR4" s="109"/>
      <c r="ASS4" s="109"/>
      <c r="AST4" s="109"/>
      <c r="ASU4" s="109"/>
      <c r="ASV4" s="109"/>
      <c r="ASW4" s="109"/>
      <c r="ASX4" s="109"/>
      <c r="ASY4" s="109"/>
      <c r="ASZ4" s="109"/>
      <c r="ATA4" s="109"/>
      <c r="ATB4" s="109"/>
      <c r="ATC4" s="109"/>
      <c r="ATD4" s="109"/>
      <c r="ATE4" s="109"/>
      <c r="ATF4" s="109"/>
      <c r="ATG4" s="109"/>
      <c r="ATH4" s="109"/>
      <c r="ATI4" s="109"/>
      <c r="ATJ4" s="109"/>
      <c r="ATK4" s="109"/>
      <c r="ATL4" s="109"/>
      <c r="ATM4" s="109"/>
      <c r="ATN4" s="109"/>
      <c r="ATO4" s="109"/>
      <c r="ATP4" s="109"/>
      <c r="ATQ4" s="109"/>
      <c r="ATR4" s="109"/>
      <c r="ATS4" s="109"/>
      <c r="ATT4" s="109"/>
      <c r="ATU4" s="109"/>
      <c r="ATV4" s="109"/>
      <c r="ATW4" s="109"/>
      <c r="ATX4" s="109"/>
      <c r="ATY4" s="109"/>
      <c r="ATZ4" s="109"/>
      <c r="AUA4" s="109"/>
      <c r="AUB4" s="109"/>
      <c r="AUC4" s="109"/>
      <c r="AUD4" s="109"/>
      <c r="AUE4" s="109"/>
      <c r="AUF4" s="109"/>
      <c r="AUG4" s="109"/>
      <c r="AUH4" s="109"/>
      <c r="AUI4" s="109"/>
      <c r="AUJ4" s="109"/>
      <c r="AUK4" s="109"/>
      <c r="AUL4" s="109"/>
      <c r="AUM4" s="109"/>
      <c r="AUN4" s="109"/>
      <c r="AUO4" s="109"/>
      <c r="AUP4" s="109"/>
      <c r="AUQ4" s="109"/>
      <c r="AUR4" s="109"/>
      <c r="AUS4" s="109"/>
      <c r="AUT4" s="109"/>
      <c r="AUU4" s="109"/>
      <c r="AUV4" s="109"/>
      <c r="AUW4" s="109"/>
      <c r="AUX4" s="109"/>
      <c r="AUY4" s="109"/>
      <c r="AUZ4" s="109"/>
      <c r="AVA4" s="109"/>
      <c r="AVB4" s="109"/>
      <c r="AVC4" s="109"/>
      <c r="AVD4" s="109"/>
      <c r="AVE4" s="109"/>
      <c r="AVF4" s="109"/>
      <c r="AVG4" s="109"/>
      <c r="AVH4" s="109"/>
      <c r="AVI4" s="109"/>
      <c r="AVJ4" s="109"/>
      <c r="AVK4" s="109"/>
      <c r="AVL4" s="109"/>
      <c r="AVM4" s="109"/>
      <c r="AVN4" s="109"/>
      <c r="AVO4" s="109"/>
      <c r="AVP4" s="109"/>
      <c r="AVQ4" s="109"/>
      <c r="AVR4" s="109"/>
      <c r="AVS4" s="109"/>
      <c r="AVT4" s="109"/>
      <c r="AVU4" s="109"/>
      <c r="AVV4" s="109"/>
      <c r="AVW4" s="109"/>
      <c r="AVX4" s="109"/>
      <c r="AVY4" s="109"/>
      <c r="AVZ4" s="109"/>
      <c r="AWA4" s="109"/>
      <c r="AWB4" s="109"/>
      <c r="AWC4" s="109"/>
      <c r="AWD4" s="109"/>
      <c r="AWE4" s="109"/>
      <c r="AWF4" s="109"/>
      <c r="AWG4" s="109"/>
      <c r="AWH4" s="109"/>
      <c r="AWI4" s="109"/>
      <c r="AWJ4" s="109"/>
      <c r="AWK4" s="109"/>
      <c r="AWL4" s="109"/>
      <c r="AWM4" s="109"/>
      <c r="AWN4" s="109"/>
      <c r="AWO4" s="109"/>
      <c r="AWP4" s="109"/>
      <c r="AWQ4" s="109"/>
      <c r="AWR4" s="109"/>
      <c r="AWS4" s="109"/>
      <c r="AWT4" s="109"/>
      <c r="AWU4" s="109"/>
      <c r="AWV4" s="109"/>
      <c r="AWW4" s="109"/>
      <c r="AWX4" s="109"/>
      <c r="AWY4" s="109"/>
      <c r="AWZ4" s="109"/>
      <c r="AXA4" s="109"/>
      <c r="AXB4" s="109"/>
      <c r="AXC4" s="109"/>
      <c r="AXD4" s="109"/>
      <c r="AXE4" s="109"/>
      <c r="AXF4" s="109"/>
      <c r="AXG4" s="109"/>
      <c r="AXH4" s="109"/>
      <c r="AXI4" s="109"/>
      <c r="AXJ4" s="109"/>
      <c r="AXK4" s="109"/>
      <c r="AXL4" s="109"/>
      <c r="AXM4" s="109"/>
      <c r="AXN4" s="109"/>
      <c r="AXO4" s="109"/>
      <c r="AXP4" s="109"/>
      <c r="AXQ4" s="109"/>
      <c r="AXR4" s="109"/>
      <c r="AXS4" s="109"/>
      <c r="AXT4" s="109"/>
      <c r="AXU4" s="109"/>
      <c r="AXV4" s="109"/>
      <c r="AXW4" s="109"/>
      <c r="AXX4" s="109"/>
      <c r="AXY4" s="109"/>
      <c r="AXZ4" s="109"/>
      <c r="AYA4" s="109"/>
      <c r="AYB4" s="109"/>
      <c r="AYC4" s="109"/>
      <c r="AYD4" s="109"/>
      <c r="AYE4" s="109"/>
      <c r="AYF4" s="109"/>
      <c r="AYG4" s="109"/>
      <c r="AYH4" s="109"/>
      <c r="AYI4" s="109"/>
      <c r="AYJ4" s="109"/>
      <c r="AYK4" s="109"/>
      <c r="AYL4" s="109"/>
      <c r="AYM4" s="109"/>
      <c r="AYN4" s="109"/>
      <c r="AYO4" s="109"/>
      <c r="AYP4" s="109"/>
      <c r="AYQ4" s="109"/>
      <c r="AYR4" s="109"/>
      <c r="AYS4" s="109"/>
      <c r="AYT4" s="109"/>
      <c r="AYU4" s="109"/>
      <c r="AYV4" s="109"/>
      <c r="AYW4" s="109"/>
      <c r="AYX4" s="109"/>
      <c r="AYY4" s="109"/>
      <c r="AYZ4" s="109"/>
      <c r="AZA4" s="109"/>
      <c r="AZB4" s="109"/>
      <c r="AZC4" s="109"/>
      <c r="AZD4" s="109"/>
      <c r="AZE4" s="109"/>
      <c r="AZF4" s="109"/>
      <c r="AZG4" s="109"/>
      <c r="AZH4" s="109"/>
      <c r="AZI4" s="109"/>
      <c r="AZJ4" s="109"/>
      <c r="AZK4" s="109"/>
      <c r="AZL4" s="109"/>
      <c r="AZM4" s="109"/>
      <c r="AZN4" s="109"/>
      <c r="AZO4" s="109"/>
      <c r="AZP4" s="109"/>
      <c r="AZQ4" s="109"/>
      <c r="AZR4" s="109"/>
      <c r="AZS4" s="109"/>
      <c r="AZT4" s="109"/>
      <c r="AZU4" s="109"/>
      <c r="AZV4" s="109"/>
      <c r="AZW4" s="109"/>
      <c r="AZX4" s="109"/>
      <c r="AZY4" s="109"/>
      <c r="AZZ4" s="109"/>
      <c r="BAA4" s="109"/>
      <c r="BAB4" s="109"/>
      <c r="BAC4" s="109"/>
      <c r="BAD4" s="109"/>
      <c r="BAE4" s="109"/>
      <c r="BAF4" s="109"/>
      <c r="BAG4" s="109"/>
      <c r="BAH4" s="109"/>
      <c r="BAI4" s="109"/>
      <c r="BAJ4" s="109"/>
      <c r="BAK4" s="109"/>
      <c r="BAL4" s="109"/>
      <c r="BAM4" s="109"/>
      <c r="BAN4" s="109"/>
      <c r="BAO4" s="109"/>
      <c r="BAP4" s="109"/>
      <c r="BAQ4" s="109"/>
      <c r="BAR4" s="109"/>
      <c r="BAS4" s="109"/>
      <c r="BAT4" s="109"/>
      <c r="BAU4" s="109"/>
      <c r="BAV4" s="109"/>
      <c r="BAW4" s="109"/>
      <c r="BAX4" s="109"/>
      <c r="BAY4" s="109"/>
      <c r="BAZ4" s="109"/>
      <c r="BBA4" s="109"/>
      <c r="BBB4" s="109"/>
      <c r="BBC4" s="109"/>
      <c r="BBD4" s="109"/>
      <c r="BBE4" s="109"/>
      <c r="BBF4" s="109"/>
      <c r="BBG4" s="109"/>
      <c r="BBH4" s="109"/>
      <c r="BBI4" s="109"/>
      <c r="BBJ4" s="109"/>
      <c r="BBK4" s="109"/>
      <c r="BBL4" s="109"/>
      <c r="BBM4" s="109"/>
      <c r="BBN4" s="109"/>
      <c r="BBO4" s="109"/>
      <c r="BBP4" s="109"/>
      <c r="BBQ4" s="109"/>
      <c r="BBR4" s="109"/>
      <c r="BBS4" s="109"/>
      <c r="BBT4" s="109"/>
      <c r="BBU4" s="109"/>
      <c r="BBV4" s="109"/>
      <c r="BBW4" s="109"/>
      <c r="BBX4" s="109"/>
      <c r="BBY4" s="109"/>
      <c r="BBZ4" s="109"/>
      <c r="BCA4" s="109"/>
      <c r="BCB4" s="109"/>
      <c r="BCC4" s="109"/>
      <c r="BCD4" s="109"/>
      <c r="BCE4" s="109"/>
      <c r="BCF4" s="109"/>
      <c r="BCG4" s="109"/>
      <c r="BCH4" s="109"/>
      <c r="BCI4" s="109"/>
      <c r="BCJ4" s="109"/>
      <c r="BCK4" s="109"/>
      <c r="BCL4" s="109"/>
      <c r="BCM4" s="109"/>
      <c r="BCN4" s="109"/>
      <c r="BCO4" s="109"/>
      <c r="BCP4" s="109"/>
      <c r="BCQ4" s="109"/>
      <c r="BCR4" s="109"/>
      <c r="BCS4" s="109"/>
      <c r="BCT4" s="109"/>
      <c r="BCU4" s="109"/>
      <c r="BCV4" s="109"/>
      <c r="BCW4" s="109"/>
      <c r="BCX4" s="109"/>
      <c r="BCY4" s="109"/>
      <c r="BCZ4" s="109"/>
      <c r="BDA4" s="109"/>
      <c r="BDB4" s="109"/>
      <c r="BDC4" s="109"/>
      <c r="BDD4" s="109"/>
      <c r="BDE4" s="109"/>
      <c r="BDF4" s="109"/>
      <c r="BDG4" s="109"/>
      <c r="BDH4" s="109"/>
      <c r="BDI4" s="109"/>
      <c r="BDJ4" s="109"/>
      <c r="BDK4" s="109"/>
      <c r="BDL4" s="109"/>
      <c r="BDM4" s="109"/>
      <c r="BDN4" s="109"/>
      <c r="BDO4" s="109"/>
      <c r="BDP4" s="109"/>
      <c r="BDQ4" s="109"/>
      <c r="BDR4" s="109"/>
      <c r="BDS4" s="109"/>
      <c r="BDT4" s="109"/>
      <c r="BDU4" s="109"/>
      <c r="BDV4" s="109"/>
      <c r="BDW4" s="109"/>
      <c r="BDX4" s="109"/>
      <c r="BDY4" s="109"/>
      <c r="BDZ4" s="109"/>
      <c r="BEA4" s="109"/>
      <c r="BEB4" s="109"/>
      <c r="BEC4" s="109"/>
      <c r="BED4" s="109"/>
      <c r="BEE4" s="109"/>
      <c r="BEF4" s="109"/>
      <c r="BEG4" s="109"/>
      <c r="BEH4" s="109"/>
      <c r="BEI4" s="109"/>
      <c r="BEJ4" s="109"/>
      <c r="BEK4" s="109"/>
      <c r="BEL4" s="109"/>
      <c r="BEM4" s="109"/>
      <c r="BEN4" s="109"/>
      <c r="BEO4" s="109"/>
      <c r="BEP4" s="109"/>
      <c r="BEQ4" s="109"/>
      <c r="BER4" s="109"/>
      <c r="BES4" s="109"/>
      <c r="BET4" s="109"/>
      <c r="BEU4" s="109"/>
      <c r="BEV4" s="109"/>
      <c r="BEW4" s="109"/>
      <c r="BEX4" s="109"/>
      <c r="BEY4" s="109"/>
      <c r="BEZ4" s="109"/>
      <c r="BFA4" s="109"/>
      <c r="BFB4" s="109"/>
      <c r="BFC4" s="109"/>
      <c r="BFD4" s="109"/>
      <c r="BFE4" s="109"/>
      <c r="BFF4" s="109"/>
      <c r="BFG4" s="109"/>
      <c r="BFH4" s="109"/>
      <c r="BFI4" s="109"/>
      <c r="BFJ4" s="109"/>
      <c r="BFK4" s="109"/>
      <c r="BFL4" s="109"/>
      <c r="BFM4" s="109"/>
      <c r="BFN4" s="109"/>
      <c r="BFO4" s="109"/>
      <c r="BFP4" s="109"/>
      <c r="BFQ4" s="109"/>
      <c r="BFR4" s="109"/>
      <c r="BFS4" s="109"/>
      <c r="BFT4" s="109"/>
      <c r="BFU4" s="109"/>
      <c r="BFV4" s="109"/>
      <c r="BFW4" s="109"/>
      <c r="BFX4" s="109"/>
      <c r="BFY4" s="109"/>
      <c r="BFZ4" s="109"/>
      <c r="BGA4" s="109"/>
      <c r="BGB4" s="109"/>
      <c r="BGC4" s="109"/>
      <c r="BGD4" s="109"/>
      <c r="BGE4" s="109"/>
      <c r="BGF4" s="109"/>
      <c r="BGG4" s="109"/>
      <c r="BGH4" s="109"/>
      <c r="BGI4" s="109"/>
      <c r="BGJ4" s="109"/>
      <c r="BGK4" s="109"/>
      <c r="BGL4" s="109"/>
      <c r="BGM4" s="109"/>
      <c r="BGN4" s="109"/>
      <c r="BGO4" s="109"/>
      <c r="BGP4" s="109"/>
      <c r="BGQ4" s="109"/>
      <c r="BGR4" s="109"/>
      <c r="BGS4" s="109"/>
      <c r="BGT4" s="109"/>
      <c r="BGU4" s="109"/>
      <c r="BGV4" s="109"/>
      <c r="BGW4" s="109"/>
      <c r="BGX4" s="109"/>
      <c r="BGY4" s="109"/>
      <c r="BGZ4" s="109"/>
      <c r="BHA4" s="109"/>
      <c r="BHB4" s="109"/>
      <c r="BHC4" s="109"/>
      <c r="BHD4" s="109"/>
      <c r="BHE4" s="109"/>
      <c r="BHF4" s="109"/>
      <c r="BHG4" s="109"/>
      <c r="BHH4" s="109"/>
      <c r="BHI4" s="109"/>
      <c r="BHJ4" s="109"/>
      <c r="BHK4" s="109"/>
      <c r="BHL4" s="109"/>
      <c r="BHM4" s="109"/>
      <c r="BHN4" s="109"/>
      <c r="BHO4" s="109"/>
      <c r="BHP4" s="109"/>
      <c r="BHQ4" s="109"/>
      <c r="BHR4" s="109"/>
      <c r="BHS4" s="109"/>
      <c r="BHT4" s="109"/>
      <c r="BHU4" s="109"/>
      <c r="BHV4" s="109"/>
      <c r="BHW4" s="109"/>
      <c r="BHX4" s="109"/>
      <c r="BHY4" s="109"/>
      <c r="BHZ4" s="109"/>
      <c r="BIA4" s="109"/>
      <c r="BIB4" s="109"/>
      <c r="BIC4" s="109"/>
      <c r="BID4" s="109"/>
      <c r="BIE4" s="109"/>
      <c r="BIF4" s="109"/>
      <c r="BIG4" s="109"/>
      <c r="BIH4" s="109"/>
      <c r="BII4" s="109"/>
      <c r="BIJ4" s="109"/>
      <c r="BIK4" s="109"/>
      <c r="BIL4" s="109"/>
      <c r="BIM4" s="109"/>
      <c r="BIN4" s="109"/>
      <c r="BIO4" s="109"/>
      <c r="BIP4" s="109"/>
      <c r="BIQ4" s="109"/>
      <c r="BIR4" s="109"/>
      <c r="BIS4" s="109"/>
      <c r="BIT4" s="109"/>
      <c r="BIU4" s="109"/>
      <c r="BIV4" s="109"/>
      <c r="BIW4" s="109"/>
      <c r="BIX4" s="109"/>
      <c r="BIY4" s="109"/>
      <c r="BIZ4" s="109"/>
      <c r="BJA4" s="109"/>
      <c r="BJB4" s="109"/>
      <c r="BJC4" s="109"/>
      <c r="BJD4" s="109"/>
      <c r="BJE4" s="109"/>
      <c r="BJF4" s="109"/>
      <c r="BJG4" s="109"/>
      <c r="BJH4" s="109"/>
      <c r="BJI4" s="109"/>
      <c r="BJJ4" s="109"/>
      <c r="BJK4" s="109"/>
      <c r="BJL4" s="109"/>
      <c r="BJM4" s="109"/>
      <c r="BJN4" s="109"/>
      <c r="BJO4" s="109"/>
      <c r="BJP4" s="109"/>
      <c r="BJQ4" s="109"/>
      <c r="BJR4" s="109"/>
      <c r="BJS4" s="109"/>
      <c r="BJT4" s="109"/>
      <c r="BJU4" s="109"/>
      <c r="BJV4" s="109"/>
      <c r="BJW4" s="109"/>
      <c r="BJX4" s="109"/>
      <c r="BJY4" s="109"/>
      <c r="BJZ4" s="109"/>
      <c r="BKA4" s="109"/>
      <c r="BKB4" s="109"/>
      <c r="BKC4" s="109"/>
      <c r="BKD4" s="109"/>
      <c r="BKE4" s="109"/>
      <c r="BKF4" s="109"/>
      <c r="BKG4" s="109"/>
      <c r="BKH4" s="109"/>
      <c r="BKI4" s="109"/>
      <c r="BKJ4" s="109"/>
      <c r="BKK4" s="109"/>
      <c r="BKL4" s="109"/>
      <c r="BKM4" s="109"/>
      <c r="BKN4" s="109"/>
      <c r="BKO4" s="109"/>
      <c r="BKP4" s="109"/>
      <c r="BKQ4" s="109"/>
      <c r="BKR4" s="109"/>
      <c r="BKS4" s="109"/>
      <c r="BKT4" s="109"/>
      <c r="BKU4" s="109"/>
      <c r="BKV4" s="109"/>
      <c r="BKW4" s="109"/>
      <c r="BKX4" s="109"/>
      <c r="BKY4" s="109"/>
      <c r="BKZ4" s="109"/>
      <c r="BLA4" s="109"/>
      <c r="BLB4" s="109"/>
      <c r="BLC4" s="109"/>
      <c r="BLD4" s="109"/>
      <c r="BLE4" s="109"/>
      <c r="BLF4" s="109"/>
      <c r="BLG4" s="109"/>
      <c r="BLH4" s="109"/>
      <c r="BLI4" s="109"/>
      <c r="BLJ4" s="109"/>
      <c r="BLK4" s="109"/>
      <c r="BLL4" s="109"/>
      <c r="BLM4" s="109"/>
      <c r="BLN4" s="109"/>
      <c r="BLO4" s="109"/>
      <c r="BLP4" s="109"/>
      <c r="BLQ4" s="109"/>
      <c r="BLR4" s="109"/>
      <c r="BLS4" s="109"/>
      <c r="BLT4" s="109"/>
      <c r="BLU4" s="109"/>
      <c r="BLV4" s="109"/>
      <c r="BLW4" s="109"/>
      <c r="BLX4" s="109"/>
      <c r="BLY4" s="109"/>
      <c r="BLZ4" s="109"/>
      <c r="BMA4" s="109"/>
      <c r="BMB4" s="109"/>
      <c r="BMC4" s="109"/>
      <c r="BMD4" s="109"/>
      <c r="BME4" s="109"/>
      <c r="BMF4" s="109"/>
      <c r="BMG4" s="109"/>
      <c r="BMH4" s="109"/>
      <c r="BMI4" s="109"/>
      <c r="BMJ4" s="109"/>
      <c r="BMK4" s="109"/>
      <c r="BML4" s="109"/>
      <c r="BMM4" s="109"/>
      <c r="BMN4" s="109"/>
      <c r="BMO4" s="109"/>
      <c r="BMP4" s="109"/>
      <c r="BMQ4" s="109"/>
      <c r="BMR4" s="109"/>
      <c r="BMS4" s="109"/>
      <c r="BMT4" s="109"/>
      <c r="BMU4" s="109"/>
      <c r="BMV4" s="109"/>
      <c r="BMW4" s="109"/>
      <c r="BMX4" s="109"/>
      <c r="BMY4" s="109"/>
      <c r="BMZ4" s="109"/>
      <c r="BNA4" s="109"/>
      <c r="BNB4" s="109"/>
      <c r="BNC4" s="109"/>
      <c r="BND4" s="109"/>
      <c r="BNE4" s="109"/>
      <c r="BNF4" s="109"/>
      <c r="BNG4" s="109"/>
      <c r="BNH4" s="109"/>
      <c r="BNI4" s="109"/>
      <c r="BNJ4" s="109"/>
      <c r="BNK4" s="109"/>
      <c r="BNL4" s="109"/>
      <c r="BNM4" s="109"/>
      <c r="BNN4" s="109"/>
      <c r="BNO4" s="109"/>
      <c r="BNP4" s="109"/>
      <c r="BNQ4" s="109"/>
      <c r="BNR4" s="109"/>
      <c r="BNS4" s="109"/>
      <c r="BNT4" s="109"/>
      <c r="BNU4" s="109"/>
      <c r="BNV4" s="109"/>
      <c r="BNW4" s="109"/>
      <c r="BNX4" s="109"/>
      <c r="BNY4" s="109"/>
      <c r="BNZ4" s="109"/>
      <c r="BOA4" s="109"/>
      <c r="BOB4" s="109"/>
      <c r="BOC4" s="109"/>
      <c r="BOD4" s="109"/>
      <c r="BOE4" s="109"/>
      <c r="BOF4" s="109"/>
      <c r="BOG4" s="109"/>
      <c r="BOH4" s="109"/>
      <c r="BOI4" s="109"/>
      <c r="BOJ4" s="109"/>
      <c r="BOK4" s="109"/>
      <c r="BOL4" s="109"/>
      <c r="BOM4" s="109"/>
      <c r="BON4" s="109"/>
      <c r="BOO4" s="109"/>
      <c r="BOP4" s="109"/>
      <c r="BOQ4" s="109"/>
      <c r="BOR4" s="109"/>
      <c r="BOS4" s="109"/>
      <c r="BOT4" s="109"/>
      <c r="BOU4" s="109"/>
      <c r="BOV4" s="109"/>
      <c r="BOW4" s="109"/>
      <c r="BOX4" s="109"/>
      <c r="BOY4" s="109"/>
      <c r="BOZ4" s="109"/>
      <c r="BPA4" s="109"/>
      <c r="BPB4" s="109"/>
      <c r="BPC4" s="109"/>
      <c r="BPD4" s="109"/>
      <c r="BPE4" s="109"/>
      <c r="BPF4" s="109"/>
      <c r="BPG4" s="109"/>
      <c r="BPH4" s="109"/>
      <c r="BPI4" s="109"/>
      <c r="BPJ4" s="109"/>
      <c r="BPK4" s="109"/>
      <c r="BPL4" s="109"/>
      <c r="BPM4" s="109"/>
      <c r="BPN4" s="109"/>
      <c r="BPO4" s="109"/>
      <c r="BPP4" s="109"/>
      <c r="BPQ4" s="109"/>
      <c r="BPR4" s="109"/>
      <c r="BPS4" s="109"/>
      <c r="BPT4" s="109"/>
      <c r="BPU4" s="109"/>
      <c r="BPV4" s="109"/>
      <c r="BPW4" s="109"/>
      <c r="BPX4" s="109"/>
      <c r="BPY4" s="109"/>
      <c r="BPZ4" s="109"/>
      <c r="BQA4" s="109"/>
      <c r="BQB4" s="109"/>
      <c r="BQC4" s="109"/>
      <c r="BQD4" s="109"/>
      <c r="BQE4" s="109"/>
      <c r="BQF4" s="109"/>
      <c r="BQG4" s="109"/>
      <c r="BQH4" s="109"/>
      <c r="BQI4" s="109"/>
      <c r="BQJ4" s="109"/>
      <c r="BQK4" s="109"/>
      <c r="BQL4" s="109"/>
      <c r="BQM4" s="109"/>
      <c r="BQN4" s="109"/>
      <c r="BQO4" s="109"/>
      <c r="BQP4" s="109"/>
      <c r="BQQ4" s="109"/>
      <c r="BQR4" s="109"/>
      <c r="BQS4" s="109"/>
      <c r="BQT4" s="109"/>
      <c r="BQU4" s="109"/>
      <c r="BQV4" s="109"/>
      <c r="BQW4" s="109"/>
      <c r="BQX4" s="109"/>
      <c r="BQY4" s="109"/>
      <c r="BQZ4" s="109"/>
      <c r="BRA4" s="109"/>
      <c r="BRB4" s="109"/>
      <c r="BRC4" s="109"/>
      <c r="BRD4" s="109"/>
      <c r="BRE4" s="109"/>
      <c r="BRF4" s="109"/>
      <c r="BRG4" s="109"/>
      <c r="BRH4" s="109"/>
      <c r="BRI4" s="109"/>
      <c r="BRJ4" s="109"/>
      <c r="BRK4" s="109"/>
      <c r="BRL4" s="109"/>
      <c r="BRM4" s="109"/>
      <c r="BRN4" s="109"/>
      <c r="BRO4" s="109"/>
      <c r="BRP4" s="109"/>
      <c r="BRQ4" s="109"/>
      <c r="BRR4" s="109"/>
      <c r="BRS4" s="109"/>
      <c r="BRT4" s="109"/>
      <c r="BRU4" s="109"/>
      <c r="BRV4" s="109"/>
      <c r="BRW4" s="109"/>
      <c r="BRX4" s="109"/>
      <c r="BRY4" s="109"/>
      <c r="BRZ4" s="109"/>
      <c r="BSA4" s="109"/>
      <c r="BSB4" s="109"/>
      <c r="BSC4" s="109"/>
      <c r="BSD4" s="109"/>
      <c r="BSE4" s="109"/>
      <c r="BSF4" s="109"/>
      <c r="BSG4" s="109"/>
      <c r="BSH4" s="109"/>
      <c r="BSI4" s="109"/>
      <c r="BSJ4" s="109"/>
      <c r="BSK4" s="109"/>
      <c r="BSL4" s="109"/>
      <c r="BSM4" s="109"/>
      <c r="BSN4" s="109"/>
      <c r="BSO4" s="109"/>
      <c r="BSP4" s="109"/>
      <c r="BSQ4" s="109"/>
      <c r="BSR4" s="109"/>
      <c r="BSS4" s="109"/>
      <c r="BST4" s="109"/>
      <c r="BSU4" s="109"/>
      <c r="BSV4" s="109"/>
      <c r="BSW4" s="109"/>
      <c r="BSX4" s="109"/>
      <c r="BSY4" s="109"/>
      <c r="BSZ4" s="109"/>
      <c r="BTA4" s="109"/>
      <c r="BTB4" s="109"/>
      <c r="BTC4" s="109"/>
      <c r="BTD4" s="109"/>
      <c r="BTE4" s="109"/>
      <c r="BTF4" s="109"/>
      <c r="BTG4" s="109"/>
      <c r="BTH4" s="109"/>
      <c r="BTI4" s="109"/>
      <c r="BTJ4" s="109"/>
      <c r="BTK4" s="109"/>
      <c r="BTL4" s="109"/>
      <c r="BTM4" s="109"/>
      <c r="BTN4" s="109"/>
      <c r="BTO4" s="109"/>
      <c r="BTP4" s="109"/>
      <c r="BTQ4" s="109"/>
      <c r="BTR4" s="109"/>
      <c r="BTS4" s="109"/>
      <c r="BTT4" s="109"/>
      <c r="BTU4" s="109"/>
      <c r="BTV4" s="109"/>
      <c r="BTW4" s="109"/>
      <c r="BTX4" s="109"/>
      <c r="BTY4" s="109"/>
      <c r="BTZ4" s="109"/>
      <c r="BUA4" s="109"/>
      <c r="BUB4" s="109"/>
      <c r="BUC4" s="109"/>
      <c r="BUD4" s="109"/>
      <c r="BUE4" s="109"/>
      <c r="BUF4" s="109"/>
      <c r="BUG4" s="109"/>
      <c r="BUH4" s="109"/>
      <c r="BUI4" s="109"/>
      <c r="BUJ4" s="109"/>
      <c r="BUK4" s="109"/>
      <c r="BUL4" s="109"/>
      <c r="BUM4" s="109"/>
      <c r="BUN4" s="109"/>
      <c r="BUO4" s="109"/>
      <c r="BUP4" s="109"/>
      <c r="BUQ4" s="109"/>
      <c r="BUR4" s="109"/>
      <c r="BUS4" s="109"/>
      <c r="BUT4" s="109"/>
      <c r="BUU4" s="109"/>
      <c r="BUV4" s="109"/>
      <c r="BUW4" s="109"/>
      <c r="BUX4" s="109"/>
      <c r="BUY4" s="109"/>
      <c r="BUZ4" s="109"/>
      <c r="BVA4" s="109"/>
      <c r="BVB4" s="109"/>
      <c r="BVC4" s="109"/>
      <c r="BVD4" s="109"/>
      <c r="BVE4" s="109"/>
      <c r="BVF4" s="109"/>
      <c r="BVG4" s="109"/>
      <c r="BVH4" s="109"/>
      <c r="BVI4" s="109"/>
      <c r="BVJ4" s="109"/>
      <c r="BVK4" s="109"/>
      <c r="BVL4" s="109"/>
      <c r="BVM4" s="109"/>
      <c r="BVN4" s="109"/>
      <c r="BVO4" s="109"/>
      <c r="BVP4" s="109"/>
      <c r="BVQ4" s="109"/>
      <c r="BVR4" s="109"/>
      <c r="BVS4" s="109"/>
      <c r="BVT4" s="109"/>
      <c r="BVU4" s="109"/>
      <c r="BVV4" s="109"/>
      <c r="BVW4" s="109"/>
      <c r="BVX4" s="109"/>
      <c r="BVY4" s="109"/>
      <c r="BVZ4" s="109"/>
      <c r="BWA4" s="109"/>
      <c r="BWB4" s="109"/>
      <c r="BWC4" s="109"/>
      <c r="BWD4" s="109"/>
      <c r="BWE4" s="109"/>
      <c r="BWF4" s="109"/>
      <c r="BWG4" s="109"/>
      <c r="BWH4" s="109"/>
      <c r="BWI4" s="109"/>
      <c r="BWJ4" s="109"/>
      <c r="BWK4" s="109"/>
      <c r="BWL4" s="109"/>
      <c r="BWM4" s="109"/>
      <c r="BWN4" s="109"/>
      <c r="BWO4" s="109"/>
      <c r="BWP4" s="109"/>
      <c r="BWQ4" s="109"/>
      <c r="BWR4" s="109"/>
      <c r="BWS4" s="109"/>
      <c r="BWT4" s="109"/>
      <c r="BWU4" s="109"/>
      <c r="BWV4" s="109"/>
      <c r="BWW4" s="109"/>
      <c r="BWX4" s="109"/>
      <c r="BWY4" s="109"/>
      <c r="BWZ4" s="109"/>
      <c r="BXA4" s="109"/>
      <c r="BXB4" s="109"/>
      <c r="BXC4" s="109"/>
      <c r="BXD4" s="109"/>
      <c r="BXE4" s="109"/>
      <c r="BXF4" s="109"/>
      <c r="BXG4" s="109"/>
      <c r="BXH4" s="109"/>
      <c r="BXI4" s="109"/>
      <c r="BXJ4" s="109"/>
      <c r="BXK4" s="109"/>
      <c r="BXL4" s="109"/>
      <c r="BXM4" s="109"/>
      <c r="BXN4" s="109"/>
      <c r="BXO4" s="109"/>
      <c r="BXP4" s="109"/>
      <c r="BXQ4" s="109"/>
      <c r="BXR4" s="109"/>
      <c r="BXS4" s="109"/>
      <c r="BXT4" s="109"/>
      <c r="BXU4" s="109"/>
      <c r="BXV4" s="109"/>
      <c r="BXW4" s="109"/>
      <c r="BXX4" s="109"/>
      <c r="BXY4" s="109"/>
      <c r="BXZ4" s="109"/>
      <c r="BYA4" s="109"/>
      <c r="BYB4" s="109"/>
      <c r="BYC4" s="109"/>
      <c r="BYD4" s="109"/>
      <c r="BYE4" s="109"/>
      <c r="BYF4" s="109"/>
      <c r="BYG4" s="109"/>
      <c r="BYH4" s="109"/>
      <c r="BYI4" s="109"/>
      <c r="BYJ4" s="109"/>
      <c r="BYK4" s="109"/>
      <c r="BYL4" s="109"/>
      <c r="BYM4" s="109"/>
      <c r="BYN4" s="109"/>
      <c r="BYO4" s="109"/>
      <c r="BYP4" s="109"/>
      <c r="BYQ4" s="109"/>
      <c r="BYR4" s="109"/>
      <c r="BYS4" s="109"/>
      <c r="BYT4" s="109"/>
      <c r="BYU4" s="109"/>
      <c r="BYV4" s="109"/>
      <c r="BYW4" s="109"/>
      <c r="BYX4" s="109"/>
      <c r="BYY4" s="109"/>
      <c r="BYZ4" s="109"/>
      <c r="BZA4" s="109"/>
      <c r="BZB4" s="109"/>
      <c r="BZC4" s="109"/>
      <c r="BZD4" s="109"/>
      <c r="BZE4" s="109"/>
      <c r="BZF4" s="109"/>
      <c r="BZG4" s="109"/>
      <c r="BZH4" s="109"/>
      <c r="BZI4" s="109"/>
      <c r="BZJ4" s="109"/>
      <c r="BZK4" s="109"/>
      <c r="BZL4" s="109"/>
      <c r="BZM4" s="109"/>
      <c r="BZN4" s="109"/>
      <c r="BZO4" s="109"/>
      <c r="BZP4" s="109"/>
      <c r="BZQ4" s="109"/>
      <c r="BZR4" s="109"/>
      <c r="BZS4" s="109"/>
      <c r="BZT4" s="109"/>
      <c r="BZU4" s="109"/>
      <c r="BZV4" s="109"/>
      <c r="BZW4" s="109"/>
      <c r="BZX4" s="109"/>
      <c r="BZY4" s="109"/>
      <c r="BZZ4" s="109"/>
      <c r="CAA4" s="109"/>
      <c r="CAB4" s="109"/>
      <c r="CAC4" s="109"/>
      <c r="CAD4" s="109"/>
      <c r="CAE4" s="109"/>
      <c r="CAF4" s="109"/>
      <c r="CAG4" s="109"/>
      <c r="CAH4" s="109"/>
      <c r="CAI4" s="109"/>
      <c r="CAJ4" s="109"/>
      <c r="CAK4" s="109"/>
      <c r="CAL4" s="109"/>
      <c r="CAM4" s="109"/>
      <c r="CAN4" s="109"/>
      <c r="CAO4" s="109"/>
      <c r="CAP4" s="109"/>
      <c r="CAQ4" s="109"/>
      <c r="CAR4" s="109"/>
      <c r="CAS4" s="109"/>
      <c r="CAT4" s="109"/>
      <c r="CAU4" s="109"/>
      <c r="CAV4" s="109"/>
      <c r="CAW4" s="109"/>
      <c r="CAX4" s="109"/>
      <c r="CAY4" s="109"/>
      <c r="CAZ4" s="109"/>
      <c r="CBA4" s="109"/>
      <c r="CBB4" s="109"/>
      <c r="CBC4" s="109"/>
      <c r="CBD4" s="109"/>
      <c r="CBE4" s="109"/>
      <c r="CBF4" s="109"/>
      <c r="CBG4" s="109"/>
      <c r="CBH4" s="109"/>
      <c r="CBI4" s="109"/>
      <c r="CBJ4" s="109"/>
      <c r="CBK4" s="109"/>
      <c r="CBL4" s="109"/>
      <c r="CBM4" s="109"/>
      <c r="CBN4" s="109"/>
      <c r="CBO4" s="109"/>
      <c r="CBP4" s="109"/>
      <c r="CBQ4" s="109"/>
      <c r="CBR4" s="109"/>
      <c r="CBS4" s="109"/>
      <c r="CBT4" s="109"/>
      <c r="CBU4" s="109"/>
      <c r="CBV4" s="109"/>
      <c r="CBW4" s="109"/>
      <c r="CBX4" s="109"/>
      <c r="CBY4" s="109"/>
      <c r="CBZ4" s="109"/>
      <c r="CCA4" s="109"/>
      <c r="CCB4" s="109"/>
      <c r="CCC4" s="109"/>
      <c r="CCD4" s="109"/>
      <c r="CCE4" s="109"/>
      <c r="CCF4" s="109"/>
      <c r="CCG4" s="109"/>
      <c r="CCH4" s="109"/>
      <c r="CCI4" s="109"/>
      <c r="CCJ4" s="109"/>
      <c r="CCK4" s="109"/>
      <c r="CCL4" s="109"/>
      <c r="CCM4" s="109"/>
      <c r="CCN4" s="109"/>
      <c r="CCO4" s="109"/>
      <c r="CCP4" s="109"/>
      <c r="CCQ4" s="109"/>
      <c r="CCR4" s="109"/>
      <c r="CCS4" s="109"/>
      <c r="CCT4" s="109"/>
      <c r="CCU4" s="109"/>
      <c r="CCV4" s="109"/>
      <c r="CCW4" s="109"/>
      <c r="CCX4" s="109"/>
      <c r="CCY4" s="109"/>
      <c r="CCZ4" s="109"/>
      <c r="CDA4" s="109"/>
      <c r="CDB4" s="109"/>
      <c r="CDC4" s="109"/>
      <c r="CDD4" s="109"/>
      <c r="CDE4" s="109"/>
      <c r="CDF4" s="109"/>
      <c r="CDG4" s="109"/>
      <c r="CDH4" s="109"/>
      <c r="CDI4" s="109"/>
      <c r="CDJ4" s="109"/>
      <c r="CDK4" s="109"/>
      <c r="CDL4" s="109"/>
      <c r="CDM4" s="109"/>
      <c r="CDN4" s="109"/>
      <c r="CDO4" s="109"/>
      <c r="CDP4" s="109"/>
      <c r="CDQ4" s="109"/>
      <c r="CDR4" s="109"/>
      <c r="CDS4" s="109"/>
      <c r="CDT4" s="109"/>
      <c r="CDU4" s="109"/>
      <c r="CDV4" s="109"/>
      <c r="CDW4" s="109"/>
      <c r="CDX4" s="109"/>
      <c r="CDY4" s="109"/>
      <c r="CDZ4" s="109"/>
      <c r="CEA4" s="109"/>
      <c r="CEB4" s="109"/>
      <c r="CEC4" s="109"/>
      <c r="CED4" s="109"/>
      <c r="CEE4" s="109"/>
      <c r="CEF4" s="109"/>
      <c r="CEG4" s="109"/>
      <c r="CEH4" s="109"/>
      <c r="CEI4" s="109"/>
      <c r="CEJ4" s="109"/>
      <c r="CEK4" s="109"/>
      <c r="CEL4" s="109"/>
      <c r="CEM4" s="109"/>
      <c r="CEN4" s="109"/>
      <c r="CEO4" s="109"/>
      <c r="CEP4" s="109"/>
      <c r="CEQ4" s="109"/>
      <c r="CER4" s="109"/>
      <c r="CES4" s="109"/>
      <c r="CET4" s="109"/>
      <c r="CEU4" s="109"/>
      <c r="CEV4" s="109"/>
      <c r="CEW4" s="109"/>
      <c r="CEX4" s="109"/>
      <c r="CEY4" s="109"/>
      <c r="CEZ4" s="109"/>
      <c r="CFA4" s="109"/>
      <c r="CFB4" s="109"/>
      <c r="CFC4" s="109"/>
      <c r="CFD4" s="109"/>
      <c r="CFE4" s="109"/>
      <c r="CFF4" s="109"/>
      <c r="CFG4" s="109"/>
      <c r="CFH4" s="109"/>
      <c r="CFI4" s="109"/>
      <c r="CFJ4" s="109"/>
      <c r="CFK4" s="109"/>
      <c r="CFL4" s="109"/>
      <c r="CFM4" s="109"/>
      <c r="CFN4" s="109"/>
      <c r="CFO4" s="109"/>
      <c r="CFP4" s="109"/>
      <c r="CFQ4" s="109"/>
      <c r="CFR4" s="109"/>
      <c r="CFS4" s="109"/>
      <c r="CFT4" s="109"/>
      <c r="CFU4" s="109"/>
      <c r="CFV4" s="109"/>
      <c r="CFW4" s="109"/>
      <c r="CFX4" s="109"/>
      <c r="CFY4" s="109"/>
      <c r="CFZ4" s="109"/>
      <c r="CGA4" s="109"/>
      <c r="CGB4" s="109"/>
      <c r="CGC4" s="109"/>
      <c r="CGD4" s="109"/>
      <c r="CGE4" s="109"/>
      <c r="CGF4" s="109"/>
      <c r="CGG4" s="109"/>
      <c r="CGH4" s="109"/>
      <c r="CGI4" s="109"/>
      <c r="CGJ4" s="109"/>
      <c r="CGK4" s="109"/>
      <c r="CGL4" s="109"/>
      <c r="CGM4" s="109"/>
      <c r="CGN4" s="109"/>
      <c r="CGO4" s="109"/>
      <c r="CGP4" s="109"/>
      <c r="CGQ4" s="109"/>
      <c r="CGR4" s="109"/>
      <c r="CGS4" s="109"/>
      <c r="CGT4" s="109"/>
      <c r="CGU4" s="109"/>
      <c r="CGV4" s="109"/>
      <c r="CGW4" s="109"/>
      <c r="CGX4" s="109"/>
      <c r="CGY4" s="109"/>
      <c r="CGZ4" s="109"/>
      <c r="CHA4" s="109"/>
      <c r="CHB4" s="109"/>
      <c r="CHC4" s="109"/>
      <c r="CHD4" s="109"/>
      <c r="CHE4" s="109"/>
      <c r="CHF4" s="109"/>
      <c r="CHG4" s="109"/>
      <c r="CHH4" s="109"/>
      <c r="CHI4" s="109"/>
      <c r="CHJ4" s="109"/>
      <c r="CHK4" s="109"/>
      <c r="CHL4" s="109"/>
      <c r="CHM4" s="109"/>
      <c r="CHN4" s="109"/>
      <c r="CHO4" s="109"/>
      <c r="CHP4" s="109"/>
      <c r="CHQ4" s="109"/>
      <c r="CHR4" s="109"/>
      <c r="CHS4" s="109"/>
      <c r="CHT4" s="109"/>
      <c r="CHU4" s="109"/>
      <c r="CHV4" s="109"/>
      <c r="CHW4" s="109"/>
      <c r="CHX4" s="109"/>
      <c r="CHY4" s="109"/>
      <c r="CHZ4" s="109"/>
      <c r="CIA4" s="109"/>
      <c r="CIB4" s="109"/>
      <c r="CIC4" s="109"/>
      <c r="CID4" s="109"/>
      <c r="CIE4" s="109"/>
      <c r="CIF4" s="109"/>
      <c r="CIG4" s="109"/>
      <c r="CIH4" s="109"/>
      <c r="CII4" s="109"/>
      <c r="CIJ4" s="109"/>
      <c r="CIK4" s="109"/>
      <c r="CIL4" s="109"/>
      <c r="CIM4" s="109"/>
      <c r="CIN4" s="109"/>
      <c r="CIO4" s="109"/>
      <c r="CIP4" s="109"/>
      <c r="CIQ4" s="109"/>
      <c r="CIR4" s="109"/>
      <c r="CIS4" s="109"/>
      <c r="CIT4" s="109"/>
      <c r="CIU4" s="109"/>
      <c r="CIV4" s="109"/>
      <c r="CIW4" s="109"/>
      <c r="CIX4" s="109"/>
      <c r="CIY4" s="109"/>
      <c r="CIZ4" s="109"/>
      <c r="CJA4" s="109"/>
      <c r="CJB4" s="109"/>
      <c r="CJC4" s="109"/>
      <c r="CJD4" s="109"/>
      <c r="CJE4" s="109"/>
      <c r="CJF4" s="109"/>
      <c r="CJG4" s="109"/>
      <c r="CJH4" s="109"/>
      <c r="CJI4" s="109"/>
      <c r="CJJ4" s="109"/>
      <c r="CJK4" s="109"/>
      <c r="CJL4" s="109"/>
      <c r="CJM4" s="109"/>
      <c r="CJN4" s="109"/>
      <c r="CJO4" s="109"/>
      <c r="CJP4" s="109"/>
      <c r="CJQ4" s="109"/>
      <c r="CJR4" s="109"/>
      <c r="CJS4" s="109"/>
      <c r="CJT4" s="109"/>
      <c r="CJU4" s="109"/>
      <c r="CJV4" s="109"/>
      <c r="CJW4" s="109"/>
      <c r="CJX4" s="109"/>
      <c r="CJY4" s="109"/>
      <c r="CJZ4" s="109"/>
      <c r="CKA4" s="109"/>
      <c r="CKB4" s="109"/>
      <c r="CKC4" s="109"/>
      <c r="CKD4" s="109"/>
      <c r="CKE4" s="109"/>
      <c r="CKF4" s="109"/>
      <c r="CKG4" s="109"/>
      <c r="CKH4" s="109"/>
      <c r="CKI4" s="109"/>
      <c r="CKJ4" s="109"/>
      <c r="CKK4" s="109"/>
      <c r="CKL4" s="109"/>
      <c r="CKM4" s="109"/>
      <c r="CKN4" s="109"/>
      <c r="CKO4" s="109"/>
      <c r="CKP4" s="109"/>
      <c r="CKQ4" s="109"/>
      <c r="CKR4" s="109"/>
      <c r="CKS4" s="109"/>
      <c r="CKT4" s="109"/>
      <c r="CKU4" s="109"/>
      <c r="CKV4" s="109"/>
      <c r="CKW4" s="109"/>
      <c r="CKX4" s="109"/>
      <c r="CKY4" s="109"/>
      <c r="CKZ4" s="109"/>
      <c r="CLA4" s="109"/>
      <c r="CLB4" s="109"/>
      <c r="CLC4" s="109"/>
      <c r="CLD4" s="109"/>
      <c r="CLE4" s="109"/>
      <c r="CLF4" s="109"/>
      <c r="CLG4" s="109"/>
      <c r="CLH4" s="109"/>
      <c r="CLI4" s="109"/>
      <c r="CLJ4" s="109"/>
      <c r="CLK4" s="109"/>
      <c r="CLL4" s="109"/>
      <c r="CLM4" s="109"/>
      <c r="CLN4" s="109"/>
      <c r="CLO4" s="109"/>
      <c r="CLP4" s="109"/>
      <c r="CLQ4" s="109"/>
      <c r="CLR4" s="109"/>
      <c r="CLS4" s="109"/>
      <c r="CLT4" s="109"/>
      <c r="CLU4" s="109"/>
      <c r="CLV4" s="109"/>
      <c r="CLW4" s="109"/>
      <c r="CLX4" s="109"/>
      <c r="CLY4" s="109"/>
      <c r="CLZ4" s="109"/>
      <c r="CMA4" s="109"/>
      <c r="CMB4" s="109"/>
      <c r="CMC4" s="109"/>
      <c r="CMD4" s="109"/>
      <c r="CME4" s="109"/>
      <c r="CMF4" s="109"/>
      <c r="CMG4" s="109"/>
      <c r="CMH4" s="109"/>
      <c r="CMI4" s="109"/>
      <c r="CMJ4" s="109"/>
      <c r="CMK4" s="109"/>
      <c r="CML4" s="109"/>
      <c r="CMM4" s="109"/>
      <c r="CMN4" s="109"/>
      <c r="CMO4" s="109"/>
      <c r="CMP4" s="109"/>
      <c r="CMQ4" s="109"/>
      <c r="CMR4" s="109"/>
      <c r="CMS4" s="109"/>
      <c r="CMT4" s="109"/>
      <c r="CMU4" s="109"/>
      <c r="CMV4" s="109"/>
      <c r="CMW4" s="109"/>
      <c r="CMX4" s="109"/>
      <c r="CMY4" s="109"/>
      <c r="CMZ4" s="109"/>
      <c r="CNA4" s="109"/>
      <c r="CNB4" s="109"/>
      <c r="CNC4" s="109"/>
      <c r="CND4" s="109"/>
      <c r="CNE4" s="109"/>
      <c r="CNF4" s="109"/>
      <c r="CNG4" s="109"/>
      <c r="CNH4" s="109"/>
      <c r="CNI4" s="109"/>
      <c r="CNJ4" s="109"/>
      <c r="CNK4" s="109"/>
      <c r="CNL4" s="109"/>
      <c r="CNM4" s="109"/>
      <c r="CNN4" s="109"/>
      <c r="CNO4" s="109"/>
      <c r="CNP4" s="109"/>
      <c r="CNQ4" s="109"/>
      <c r="CNR4" s="109"/>
      <c r="CNS4" s="109"/>
      <c r="CNT4" s="109"/>
      <c r="CNU4" s="109"/>
      <c r="CNV4" s="109"/>
      <c r="CNW4" s="109"/>
      <c r="CNX4" s="109"/>
      <c r="CNY4" s="109"/>
      <c r="CNZ4" s="109"/>
      <c r="COA4" s="109"/>
      <c r="COB4" s="109"/>
      <c r="COC4" s="109"/>
      <c r="COD4" s="109"/>
      <c r="COE4" s="109"/>
      <c r="COF4" s="109"/>
      <c r="COG4" s="109"/>
      <c r="COH4" s="109"/>
      <c r="COI4" s="109"/>
      <c r="COJ4" s="109"/>
      <c r="COK4" s="109"/>
      <c r="COL4" s="109"/>
      <c r="COM4" s="109"/>
      <c r="CON4" s="109"/>
      <c r="COO4" s="109"/>
      <c r="COP4" s="109"/>
      <c r="COQ4" s="109"/>
      <c r="COR4" s="109"/>
      <c r="COS4" s="109"/>
      <c r="COT4" s="109"/>
      <c r="COU4" s="109"/>
      <c r="COV4" s="109"/>
      <c r="COW4" s="109"/>
      <c r="COX4" s="109"/>
      <c r="COY4" s="109"/>
      <c r="COZ4" s="109"/>
      <c r="CPA4" s="109"/>
      <c r="CPB4" s="109"/>
      <c r="CPC4" s="109"/>
      <c r="CPD4" s="109"/>
      <c r="CPE4" s="109"/>
      <c r="CPF4" s="109"/>
      <c r="CPG4" s="109"/>
      <c r="CPH4" s="109"/>
      <c r="CPI4" s="109"/>
      <c r="CPJ4" s="109"/>
      <c r="CPK4" s="109"/>
      <c r="CPL4" s="109"/>
      <c r="CPM4" s="109"/>
      <c r="CPN4" s="109"/>
      <c r="CPO4" s="109"/>
      <c r="CPP4" s="109"/>
      <c r="CPQ4" s="109"/>
      <c r="CPR4" s="109"/>
      <c r="CPS4" s="109"/>
      <c r="CPT4" s="109"/>
      <c r="CPU4" s="109"/>
      <c r="CPV4" s="109"/>
      <c r="CPW4" s="109"/>
      <c r="CPX4" s="109"/>
      <c r="CPY4" s="109"/>
      <c r="CPZ4" s="109"/>
      <c r="CQA4" s="109"/>
      <c r="CQB4" s="109"/>
      <c r="CQC4" s="109"/>
      <c r="CQD4" s="109"/>
      <c r="CQE4" s="109"/>
      <c r="CQF4" s="109"/>
      <c r="CQG4" s="109"/>
      <c r="CQH4" s="109"/>
      <c r="CQI4" s="109"/>
      <c r="CQJ4" s="109"/>
      <c r="CQK4" s="109"/>
      <c r="CQL4" s="109"/>
      <c r="CQM4" s="109"/>
      <c r="CQN4" s="109"/>
      <c r="CQO4" s="109"/>
      <c r="CQP4" s="109"/>
      <c r="CQQ4" s="109"/>
      <c r="CQR4" s="109"/>
      <c r="CQS4" s="109"/>
      <c r="CQT4" s="109"/>
      <c r="CQU4" s="109"/>
      <c r="CQV4" s="109"/>
      <c r="CQW4" s="109"/>
      <c r="CQX4" s="109"/>
      <c r="CQY4" s="109"/>
      <c r="CQZ4" s="109"/>
      <c r="CRA4" s="109"/>
      <c r="CRB4" s="109"/>
      <c r="CRC4" s="109"/>
      <c r="CRD4" s="109"/>
      <c r="CRE4" s="109"/>
      <c r="CRF4" s="109"/>
      <c r="CRG4" s="109"/>
      <c r="CRH4" s="109"/>
      <c r="CRI4" s="109"/>
      <c r="CRJ4" s="109"/>
      <c r="CRK4" s="109"/>
      <c r="CRL4" s="109"/>
      <c r="CRM4" s="109"/>
      <c r="CRN4" s="109"/>
      <c r="CRO4" s="109"/>
      <c r="CRP4" s="109"/>
      <c r="CRQ4" s="109"/>
      <c r="CRR4" s="109"/>
      <c r="CRS4" s="109"/>
      <c r="CRT4" s="109"/>
      <c r="CRU4" s="109"/>
      <c r="CRV4" s="109"/>
      <c r="CRW4" s="109"/>
      <c r="CRX4" s="109"/>
      <c r="CRY4" s="109"/>
      <c r="CRZ4" s="109"/>
      <c r="CSA4" s="109"/>
      <c r="CSB4" s="109"/>
      <c r="CSC4" s="109"/>
      <c r="CSD4" s="109"/>
      <c r="CSE4" s="109"/>
      <c r="CSF4" s="109"/>
      <c r="CSG4" s="109"/>
      <c r="CSH4" s="109"/>
      <c r="CSI4" s="109"/>
      <c r="CSJ4" s="109"/>
      <c r="CSK4" s="109"/>
      <c r="CSL4" s="109"/>
      <c r="CSM4" s="109"/>
      <c r="CSN4" s="109"/>
      <c r="CSO4" s="109"/>
      <c r="CSP4" s="109"/>
      <c r="CSQ4" s="109"/>
      <c r="CSR4" s="109"/>
      <c r="CSS4" s="109"/>
      <c r="CST4" s="109"/>
      <c r="CSU4" s="109"/>
      <c r="CSV4" s="109"/>
      <c r="CSW4" s="109"/>
      <c r="CSX4" s="109"/>
      <c r="CSY4" s="109"/>
      <c r="CSZ4" s="109"/>
      <c r="CTA4" s="109"/>
      <c r="CTB4" s="109"/>
      <c r="CTC4" s="109"/>
      <c r="CTD4" s="109"/>
      <c r="CTE4" s="109"/>
      <c r="CTF4" s="109"/>
      <c r="CTG4" s="109"/>
      <c r="CTH4" s="109"/>
      <c r="CTI4" s="109"/>
      <c r="CTJ4" s="109"/>
      <c r="CTK4" s="109"/>
      <c r="CTL4" s="109"/>
      <c r="CTM4" s="109"/>
      <c r="CTN4" s="109"/>
      <c r="CTO4" s="109"/>
      <c r="CTP4" s="109"/>
      <c r="CTQ4" s="109"/>
      <c r="CTR4" s="109"/>
      <c r="CTS4" s="109"/>
      <c r="CTT4" s="109"/>
      <c r="CTU4" s="109"/>
      <c r="CTV4" s="109"/>
      <c r="CTW4" s="109"/>
      <c r="CTX4" s="109"/>
      <c r="CTY4" s="109"/>
      <c r="CTZ4" s="109"/>
      <c r="CUA4" s="109"/>
      <c r="CUB4" s="109"/>
      <c r="CUC4" s="109"/>
      <c r="CUD4" s="109"/>
      <c r="CUE4" s="109"/>
      <c r="CUF4" s="109"/>
      <c r="CUG4" s="109"/>
      <c r="CUH4" s="109"/>
      <c r="CUI4" s="109"/>
      <c r="CUJ4" s="109"/>
      <c r="CUK4" s="109"/>
      <c r="CUL4" s="109"/>
      <c r="CUM4" s="109"/>
      <c r="CUN4" s="109"/>
      <c r="CUO4" s="109"/>
      <c r="CUP4" s="109"/>
      <c r="CUQ4" s="109"/>
      <c r="CUR4" s="109"/>
      <c r="CUS4" s="109"/>
      <c r="CUT4" s="109"/>
      <c r="CUU4" s="109"/>
      <c r="CUV4" s="109"/>
      <c r="CUW4" s="109"/>
      <c r="CUX4" s="109"/>
      <c r="CUY4" s="109"/>
      <c r="CUZ4" s="109"/>
      <c r="CVA4" s="109"/>
      <c r="CVB4" s="109"/>
      <c r="CVC4" s="109"/>
      <c r="CVD4" s="109"/>
      <c r="CVE4" s="109"/>
      <c r="CVF4" s="109"/>
      <c r="CVG4" s="109"/>
      <c r="CVH4" s="109"/>
      <c r="CVI4" s="109"/>
      <c r="CVJ4" s="109"/>
      <c r="CVK4" s="109"/>
      <c r="CVL4" s="109"/>
      <c r="CVM4" s="109"/>
      <c r="CVN4" s="109"/>
      <c r="CVO4" s="109"/>
      <c r="CVP4" s="109"/>
      <c r="CVQ4" s="109"/>
      <c r="CVR4" s="109"/>
      <c r="CVS4" s="109"/>
      <c r="CVT4" s="109"/>
      <c r="CVU4" s="109"/>
      <c r="CVV4" s="109"/>
      <c r="CVW4" s="109"/>
      <c r="CVX4" s="109"/>
      <c r="CVY4" s="109"/>
      <c r="CVZ4" s="109"/>
      <c r="CWA4" s="109"/>
      <c r="CWB4" s="109"/>
      <c r="CWC4" s="109"/>
      <c r="CWD4" s="109"/>
      <c r="CWE4" s="109"/>
      <c r="CWF4" s="109"/>
      <c r="CWG4" s="109"/>
      <c r="CWH4" s="109"/>
      <c r="CWI4" s="109"/>
      <c r="CWJ4" s="109"/>
      <c r="CWK4" s="109"/>
      <c r="CWL4" s="109"/>
      <c r="CWM4" s="109"/>
      <c r="CWN4" s="109"/>
      <c r="CWO4" s="109"/>
      <c r="CWP4" s="109"/>
      <c r="CWQ4" s="109"/>
      <c r="CWR4" s="109"/>
      <c r="CWS4" s="109"/>
      <c r="CWT4" s="109"/>
      <c r="CWU4" s="109"/>
      <c r="CWV4" s="109"/>
      <c r="CWW4" s="109"/>
      <c r="CWX4" s="109"/>
      <c r="CWY4" s="109"/>
      <c r="CWZ4" s="109"/>
      <c r="CXA4" s="109"/>
      <c r="CXB4" s="109"/>
      <c r="CXC4" s="109"/>
      <c r="CXD4" s="109"/>
      <c r="CXE4" s="109"/>
      <c r="CXF4" s="109"/>
      <c r="CXG4" s="109"/>
      <c r="CXH4" s="109"/>
      <c r="CXI4" s="109"/>
      <c r="CXJ4" s="109"/>
      <c r="CXK4" s="109"/>
      <c r="CXL4" s="109"/>
      <c r="CXM4" s="109"/>
      <c r="CXN4" s="109"/>
      <c r="CXO4" s="109"/>
      <c r="CXP4" s="109"/>
      <c r="CXQ4" s="109"/>
      <c r="CXR4" s="109"/>
      <c r="CXS4" s="109"/>
      <c r="CXT4" s="109"/>
      <c r="CXU4" s="109"/>
      <c r="CXV4" s="109"/>
      <c r="CXW4" s="109"/>
      <c r="CXX4" s="109"/>
      <c r="CXY4" s="109"/>
      <c r="CXZ4" s="109"/>
      <c r="CYA4" s="109"/>
      <c r="CYB4" s="109"/>
      <c r="CYC4" s="109"/>
      <c r="CYD4" s="109"/>
      <c r="CYE4" s="109"/>
      <c r="CYF4" s="109"/>
      <c r="CYG4" s="109"/>
      <c r="CYH4" s="109"/>
      <c r="CYI4" s="109"/>
      <c r="CYJ4" s="109"/>
      <c r="CYK4" s="109"/>
      <c r="CYL4" s="109"/>
      <c r="CYM4" s="109"/>
      <c r="CYN4" s="109"/>
      <c r="CYO4" s="109"/>
      <c r="CYP4" s="109"/>
      <c r="CYQ4" s="109"/>
      <c r="CYR4" s="109"/>
      <c r="CYS4" s="109"/>
      <c r="CYT4" s="109"/>
      <c r="CYU4" s="109"/>
      <c r="CYV4" s="109"/>
      <c r="CYW4" s="109"/>
      <c r="CYX4" s="109"/>
      <c r="CYY4" s="109"/>
      <c r="CYZ4" s="109"/>
      <c r="CZA4" s="109"/>
      <c r="CZB4" s="109"/>
      <c r="CZC4" s="109"/>
      <c r="CZD4" s="109"/>
      <c r="CZE4" s="109"/>
      <c r="CZF4" s="109"/>
      <c r="CZG4" s="109"/>
      <c r="CZH4" s="109"/>
      <c r="CZI4" s="109"/>
      <c r="CZJ4" s="109"/>
      <c r="CZK4" s="109"/>
      <c r="CZL4" s="109"/>
      <c r="CZM4" s="109"/>
      <c r="CZN4" s="109"/>
      <c r="CZO4" s="109"/>
      <c r="CZP4" s="109"/>
      <c r="CZQ4" s="109"/>
      <c r="CZR4" s="109"/>
      <c r="CZS4" s="109"/>
      <c r="CZT4" s="109"/>
      <c r="CZU4" s="109"/>
      <c r="CZV4" s="109"/>
      <c r="CZW4" s="109"/>
      <c r="CZX4" s="109"/>
      <c r="CZY4" s="109"/>
      <c r="CZZ4" s="109"/>
      <c r="DAA4" s="109"/>
      <c r="DAB4" s="109"/>
      <c r="DAC4" s="109"/>
      <c r="DAD4" s="109"/>
      <c r="DAE4" s="109"/>
      <c r="DAF4" s="109"/>
      <c r="DAG4" s="109"/>
      <c r="DAH4" s="109"/>
      <c r="DAI4" s="109"/>
      <c r="DAJ4" s="109"/>
      <c r="DAK4" s="109"/>
      <c r="DAL4" s="109"/>
      <c r="DAM4" s="109"/>
      <c r="DAN4" s="109"/>
      <c r="DAO4" s="109"/>
      <c r="DAP4" s="109"/>
      <c r="DAQ4" s="109"/>
      <c r="DAR4" s="109"/>
      <c r="DAS4" s="109"/>
      <c r="DAT4" s="109"/>
      <c r="DAU4" s="109"/>
      <c r="DAV4" s="109"/>
      <c r="DAW4" s="109"/>
      <c r="DAX4" s="109"/>
      <c r="DAY4" s="109"/>
      <c r="DAZ4" s="109"/>
      <c r="DBA4" s="109"/>
      <c r="DBB4" s="109"/>
      <c r="DBC4" s="109"/>
      <c r="DBD4" s="109"/>
      <c r="DBE4" s="109"/>
      <c r="DBF4" s="109"/>
      <c r="DBG4" s="109"/>
      <c r="DBH4" s="109"/>
      <c r="DBI4" s="109"/>
      <c r="DBJ4" s="109"/>
      <c r="DBK4" s="109"/>
      <c r="DBL4" s="109"/>
      <c r="DBM4" s="109"/>
      <c r="DBN4" s="109"/>
      <c r="DBO4" s="109"/>
      <c r="DBP4" s="109"/>
      <c r="DBQ4" s="109"/>
      <c r="DBR4" s="109"/>
      <c r="DBS4" s="109"/>
      <c r="DBT4" s="109"/>
      <c r="DBU4" s="109"/>
      <c r="DBV4" s="109"/>
      <c r="DBW4" s="109"/>
      <c r="DBX4" s="109"/>
      <c r="DBY4" s="109"/>
      <c r="DBZ4" s="109"/>
      <c r="DCA4" s="109"/>
      <c r="DCB4" s="109"/>
      <c r="DCC4" s="109"/>
      <c r="DCD4" s="109"/>
      <c r="DCE4" s="109"/>
      <c r="DCF4" s="109"/>
      <c r="DCG4" s="109"/>
      <c r="DCH4" s="109"/>
      <c r="DCI4" s="109"/>
      <c r="DCJ4" s="109"/>
      <c r="DCK4" s="109"/>
      <c r="DCL4" s="109"/>
      <c r="DCM4" s="109"/>
      <c r="DCN4" s="109"/>
      <c r="DCO4" s="109"/>
      <c r="DCP4" s="109"/>
      <c r="DCQ4" s="109"/>
      <c r="DCR4" s="109"/>
      <c r="DCS4" s="109"/>
      <c r="DCT4" s="109"/>
      <c r="DCU4" s="109"/>
      <c r="DCV4" s="109"/>
      <c r="DCW4" s="109"/>
      <c r="DCX4" s="109"/>
      <c r="DCY4" s="109"/>
      <c r="DCZ4" s="109"/>
      <c r="DDA4" s="109"/>
      <c r="DDB4" s="109"/>
      <c r="DDC4" s="109"/>
      <c r="DDD4" s="109"/>
      <c r="DDE4" s="109"/>
      <c r="DDF4" s="109"/>
      <c r="DDG4" s="109"/>
      <c r="DDH4" s="109"/>
      <c r="DDI4" s="109"/>
      <c r="DDJ4" s="109"/>
      <c r="DDK4" s="109"/>
      <c r="DDL4" s="109"/>
      <c r="DDM4" s="109"/>
      <c r="DDN4" s="109"/>
      <c r="DDO4" s="109"/>
      <c r="DDP4" s="109"/>
      <c r="DDQ4" s="109"/>
      <c r="DDR4" s="109"/>
      <c r="DDS4" s="109"/>
      <c r="DDT4" s="109"/>
      <c r="DDU4" s="109"/>
      <c r="DDV4" s="109"/>
      <c r="DDW4" s="109"/>
      <c r="DDX4" s="109"/>
      <c r="DDY4" s="109"/>
      <c r="DDZ4" s="109"/>
      <c r="DEA4" s="109"/>
      <c r="DEB4" s="109"/>
      <c r="DEC4" s="109"/>
      <c r="DED4" s="109"/>
      <c r="DEE4" s="109"/>
      <c r="DEF4" s="109"/>
      <c r="DEG4" s="109"/>
      <c r="DEH4" s="109"/>
      <c r="DEI4" s="109"/>
      <c r="DEJ4" s="109"/>
      <c r="DEK4" s="109"/>
      <c r="DEL4" s="109"/>
      <c r="DEM4" s="109"/>
      <c r="DEN4" s="109"/>
      <c r="DEO4" s="109"/>
      <c r="DEP4" s="109"/>
      <c r="DEQ4" s="109"/>
      <c r="DER4" s="109"/>
      <c r="DES4" s="109"/>
      <c r="DET4" s="109"/>
      <c r="DEU4" s="109"/>
      <c r="DEV4" s="109"/>
      <c r="DEW4" s="109"/>
      <c r="DEX4" s="109"/>
      <c r="DEY4" s="109"/>
      <c r="DEZ4" s="109"/>
      <c r="DFA4" s="109"/>
      <c r="DFB4" s="109"/>
      <c r="DFC4" s="109"/>
      <c r="DFD4" s="109"/>
      <c r="DFE4" s="109"/>
      <c r="DFF4" s="109"/>
      <c r="DFG4" s="109"/>
      <c r="DFH4" s="109"/>
      <c r="DFI4" s="109"/>
      <c r="DFJ4" s="109"/>
      <c r="DFK4" s="109"/>
      <c r="DFL4" s="109"/>
      <c r="DFM4" s="109"/>
      <c r="DFN4" s="109"/>
      <c r="DFO4" s="109"/>
      <c r="DFP4" s="109"/>
      <c r="DFQ4" s="109"/>
      <c r="DFR4" s="109"/>
      <c r="DFS4" s="109"/>
      <c r="DFT4" s="109"/>
      <c r="DFU4" s="109"/>
      <c r="DFV4" s="109"/>
      <c r="DFW4" s="109"/>
      <c r="DFX4" s="109"/>
      <c r="DFY4" s="109"/>
      <c r="DFZ4" s="109"/>
      <c r="DGA4" s="109"/>
      <c r="DGB4" s="109"/>
      <c r="DGC4" s="109"/>
      <c r="DGD4" s="109"/>
      <c r="DGE4" s="109"/>
      <c r="DGF4" s="109"/>
      <c r="DGG4" s="109"/>
      <c r="DGH4" s="109"/>
      <c r="DGI4" s="109"/>
      <c r="DGJ4" s="109"/>
      <c r="DGK4" s="109"/>
      <c r="DGL4" s="109"/>
      <c r="DGM4" s="109"/>
      <c r="DGN4" s="109"/>
      <c r="DGO4" s="109"/>
      <c r="DGP4" s="109"/>
      <c r="DGQ4" s="109"/>
      <c r="DGR4" s="109"/>
      <c r="DGS4" s="109"/>
      <c r="DGT4" s="109"/>
      <c r="DGU4" s="109"/>
      <c r="DGV4" s="109"/>
      <c r="DGW4" s="109"/>
      <c r="DGX4" s="109"/>
      <c r="DGY4" s="109"/>
      <c r="DGZ4" s="109"/>
      <c r="DHA4" s="109"/>
      <c r="DHB4" s="109"/>
      <c r="DHC4" s="109"/>
      <c r="DHD4" s="109"/>
      <c r="DHE4" s="109"/>
      <c r="DHF4" s="109"/>
      <c r="DHG4" s="109"/>
      <c r="DHH4" s="109"/>
      <c r="DHI4" s="109"/>
      <c r="DHJ4" s="109"/>
      <c r="DHK4" s="109"/>
      <c r="DHL4" s="109"/>
      <c r="DHM4" s="109"/>
      <c r="DHN4" s="109"/>
      <c r="DHO4" s="109"/>
      <c r="DHP4" s="109"/>
      <c r="DHQ4" s="109"/>
      <c r="DHR4" s="109"/>
      <c r="DHS4" s="109"/>
      <c r="DHT4" s="109"/>
      <c r="DHU4" s="109"/>
      <c r="DHV4" s="109"/>
      <c r="DHW4" s="109"/>
      <c r="DHX4" s="109"/>
      <c r="DHY4" s="109"/>
      <c r="DHZ4" s="109"/>
      <c r="DIA4" s="109"/>
      <c r="DIB4" s="109"/>
      <c r="DIC4" s="109"/>
      <c r="DID4" s="109"/>
      <c r="DIE4" s="109"/>
      <c r="DIF4" s="109"/>
      <c r="DIG4" s="109"/>
      <c r="DIH4" s="109"/>
      <c r="DII4" s="109"/>
      <c r="DIJ4" s="109"/>
      <c r="DIK4" s="109"/>
      <c r="DIL4" s="109"/>
      <c r="DIM4" s="109"/>
      <c r="DIN4" s="109"/>
      <c r="DIO4" s="109"/>
      <c r="DIP4" s="109"/>
      <c r="DIQ4" s="109"/>
      <c r="DIR4" s="109"/>
      <c r="DIS4" s="109"/>
      <c r="DIT4" s="109"/>
      <c r="DIU4" s="109"/>
      <c r="DIV4" s="109"/>
      <c r="DIW4" s="109"/>
      <c r="DIX4" s="109"/>
      <c r="DIY4" s="109"/>
      <c r="DIZ4" s="109"/>
      <c r="DJA4" s="109"/>
      <c r="DJB4" s="109"/>
      <c r="DJC4" s="109"/>
      <c r="DJD4" s="109"/>
      <c r="DJE4" s="109"/>
      <c r="DJF4" s="109"/>
      <c r="DJG4" s="109"/>
      <c r="DJH4" s="109"/>
      <c r="DJI4" s="109"/>
      <c r="DJJ4" s="109"/>
      <c r="DJK4" s="109"/>
      <c r="DJL4" s="109"/>
      <c r="DJM4" s="109"/>
      <c r="DJN4" s="109"/>
      <c r="DJO4" s="109"/>
      <c r="DJP4" s="109"/>
      <c r="DJQ4" s="109"/>
      <c r="DJR4" s="109"/>
      <c r="DJS4" s="109"/>
      <c r="DJT4" s="109"/>
      <c r="DJU4" s="109"/>
      <c r="DJV4" s="109"/>
      <c r="DJW4" s="109"/>
      <c r="DJX4" s="109"/>
      <c r="DJY4" s="109"/>
      <c r="DJZ4" s="109"/>
      <c r="DKA4" s="109"/>
      <c r="DKB4" s="109"/>
      <c r="DKC4" s="109"/>
      <c r="DKD4" s="109"/>
      <c r="DKE4" s="109"/>
      <c r="DKF4" s="109"/>
      <c r="DKG4" s="109"/>
      <c r="DKH4" s="109"/>
      <c r="DKI4" s="109"/>
      <c r="DKJ4" s="109"/>
      <c r="DKK4" s="109"/>
      <c r="DKL4" s="109"/>
      <c r="DKM4" s="109"/>
      <c r="DKN4" s="109"/>
      <c r="DKO4" s="109"/>
      <c r="DKP4" s="109"/>
      <c r="DKQ4" s="109"/>
      <c r="DKR4" s="109"/>
      <c r="DKS4" s="109"/>
      <c r="DKT4" s="109"/>
      <c r="DKU4" s="109"/>
      <c r="DKV4" s="109"/>
      <c r="DKW4" s="109"/>
      <c r="DKX4" s="109"/>
      <c r="DKY4" s="109"/>
      <c r="DKZ4" s="109"/>
      <c r="DLA4" s="109"/>
      <c r="DLB4" s="109"/>
      <c r="DLC4" s="109"/>
      <c r="DLD4" s="109"/>
      <c r="DLE4" s="109"/>
      <c r="DLF4" s="109"/>
      <c r="DLG4" s="109"/>
      <c r="DLH4" s="109"/>
      <c r="DLI4" s="109"/>
      <c r="DLJ4" s="109"/>
      <c r="DLK4" s="109"/>
      <c r="DLL4" s="109"/>
      <c r="DLM4" s="109"/>
      <c r="DLN4" s="109"/>
      <c r="DLO4" s="109"/>
      <c r="DLP4" s="109"/>
      <c r="DLQ4" s="109"/>
      <c r="DLR4" s="109"/>
      <c r="DLS4" s="109"/>
      <c r="DLT4" s="109"/>
      <c r="DLU4" s="109"/>
      <c r="DLV4" s="109"/>
      <c r="DLW4" s="109"/>
      <c r="DLX4" s="109"/>
      <c r="DLY4" s="109"/>
      <c r="DLZ4" s="109"/>
      <c r="DMA4" s="109"/>
      <c r="DMB4" s="109"/>
      <c r="DMC4" s="109"/>
      <c r="DMD4" s="109"/>
      <c r="DME4" s="109"/>
      <c r="DMF4" s="109"/>
      <c r="DMG4" s="109"/>
      <c r="DMH4" s="109"/>
      <c r="DMI4" s="109"/>
      <c r="DMJ4" s="109"/>
      <c r="DMK4" s="109"/>
      <c r="DML4" s="109"/>
      <c r="DMM4" s="109"/>
      <c r="DMN4" s="109"/>
      <c r="DMO4" s="109"/>
      <c r="DMP4" s="109"/>
      <c r="DMQ4" s="109"/>
      <c r="DMR4" s="109"/>
      <c r="DMS4" s="109"/>
      <c r="DMT4" s="109"/>
      <c r="DMU4" s="109"/>
      <c r="DMV4" s="109"/>
      <c r="DMW4" s="109"/>
      <c r="DMX4" s="109"/>
      <c r="DMY4" s="109"/>
      <c r="DMZ4" s="109"/>
      <c r="DNA4" s="109"/>
      <c r="DNB4" s="109"/>
      <c r="DNC4" s="109"/>
      <c r="DND4" s="109"/>
      <c r="DNE4" s="109"/>
      <c r="DNF4" s="109"/>
      <c r="DNG4" s="109"/>
      <c r="DNH4" s="109"/>
      <c r="DNI4" s="109"/>
      <c r="DNJ4" s="109"/>
      <c r="DNK4" s="109"/>
      <c r="DNL4" s="109"/>
      <c r="DNM4" s="109"/>
      <c r="DNN4" s="109"/>
      <c r="DNO4" s="109"/>
      <c r="DNP4" s="109"/>
      <c r="DNQ4" s="109"/>
      <c r="DNR4" s="109"/>
      <c r="DNS4" s="109"/>
      <c r="DNT4" s="109"/>
      <c r="DNU4" s="109"/>
      <c r="DNV4" s="109"/>
      <c r="DNW4" s="109"/>
      <c r="DNX4" s="109"/>
      <c r="DNY4" s="109"/>
      <c r="DNZ4" s="109"/>
      <c r="DOA4" s="109"/>
      <c r="DOB4" s="109"/>
      <c r="DOC4" s="109"/>
      <c r="DOD4" s="109"/>
      <c r="DOE4" s="109"/>
      <c r="DOF4" s="109"/>
      <c r="DOG4" s="109"/>
      <c r="DOH4" s="109"/>
      <c r="DOI4" s="109"/>
      <c r="DOJ4" s="109"/>
      <c r="DOK4" s="109"/>
      <c r="DOL4" s="109"/>
      <c r="DOM4" s="109"/>
      <c r="DON4" s="109"/>
      <c r="DOO4" s="109"/>
      <c r="DOP4" s="109"/>
      <c r="DOQ4" s="109"/>
      <c r="DOR4" s="109"/>
      <c r="DOS4" s="109"/>
      <c r="DOT4" s="109"/>
      <c r="DOU4" s="109"/>
      <c r="DOV4" s="109"/>
      <c r="DOW4" s="109"/>
      <c r="DOX4" s="109"/>
      <c r="DOY4" s="109"/>
      <c r="DOZ4" s="109"/>
      <c r="DPA4" s="109"/>
      <c r="DPB4" s="109"/>
      <c r="DPC4" s="109"/>
      <c r="DPD4" s="109"/>
      <c r="DPE4" s="109"/>
      <c r="DPF4" s="109"/>
      <c r="DPG4" s="109"/>
      <c r="DPH4" s="109"/>
      <c r="DPI4" s="109"/>
      <c r="DPJ4" s="109"/>
      <c r="DPK4" s="109"/>
      <c r="DPL4" s="109"/>
      <c r="DPM4" s="109"/>
      <c r="DPN4" s="109"/>
      <c r="DPO4" s="109"/>
      <c r="DPP4" s="109"/>
      <c r="DPQ4" s="109"/>
      <c r="DPR4" s="109"/>
      <c r="DPS4" s="109"/>
      <c r="DPT4" s="109"/>
      <c r="DPU4" s="109"/>
      <c r="DPV4" s="109"/>
      <c r="DPW4" s="109"/>
      <c r="DPX4" s="109"/>
      <c r="DPY4" s="109"/>
      <c r="DPZ4" s="109"/>
      <c r="DQA4" s="109"/>
      <c r="DQB4" s="109"/>
      <c r="DQC4" s="109"/>
      <c r="DQD4" s="109"/>
      <c r="DQE4" s="109"/>
      <c r="DQF4" s="109"/>
      <c r="DQG4" s="109"/>
      <c r="DQH4" s="109"/>
      <c r="DQI4" s="109"/>
      <c r="DQJ4" s="109"/>
      <c r="DQK4" s="109"/>
      <c r="DQL4" s="109"/>
      <c r="DQM4" s="109"/>
      <c r="DQN4" s="109"/>
      <c r="DQO4" s="109"/>
      <c r="DQP4" s="109"/>
      <c r="DQQ4" s="109"/>
      <c r="DQR4" s="109"/>
      <c r="DQS4" s="109"/>
      <c r="DQT4" s="109"/>
      <c r="DQU4" s="109"/>
      <c r="DQV4" s="109"/>
      <c r="DQW4" s="109"/>
      <c r="DQX4" s="109"/>
      <c r="DQY4" s="109"/>
      <c r="DQZ4" s="109"/>
      <c r="DRA4" s="109"/>
      <c r="DRB4" s="109"/>
      <c r="DRC4" s="109"/>
      <c r="DRD4" s="109"/>
      <c r="DRE4" s="109"/>
      <c r="DRF4" s="109"/>
      <c r="DRG4" s="109"/>
      <c r="DRH4" s="109"/>
      <c r="DRI4" s="109"/>
      <c r="DRJ4" s="109"/>
      <c r="DRK4" s="109"/>
      <c r="DRL4" s="109"/>
      <c r="DRM4" s="109"/>
      <c r="DRN4" s="109"/>
      <c r="DRO4" s="109"/>
      <c r="DRP4" s="109"/>
      <c r="DRQ4" s="109"/>
      <c r="DRR4" s="109"/>
      <c r="DRS4" s="109"/>
      <c r="DRT4" s="109"/>
      <c r="DRU4" s="109"/>
      <c r="DRV4" s="109"/>
      <c r="DRW4" s="109"/>
      <c r="DRX4" s="109"/>
      <c r="DRY4" s="109"/>
      <c r="DRZ4" s="109"/>
      <c r="DSA4" s="109"/>
      <c r="DSB4" s="109"/>
      <c r="DSC4" s="109"/>
      <c r="DSD4" s="109"/>
      <c r="DSE4" s="109"/>
      <c r="DSF4" s="109"/>
      <c r="DSG4" s="109"/>
      <c r="DSH4" s="109"/>
      <c r="DSI4" s="109"/>
      <c r="DSJ4" s="109"/>
      <c r="DSK4" s="109"/>
      <c r="DSL4" s="109"/>
      <c r="DSM4" s="109"/>
      <c r="DSN4" s="109"/>
      <c r="DSO4" s="109"/>
      <c r="DSP4" s="109"/>
      <c r="DSQ4" s="109"/>
      <c r="DSR4" s="109"/>
      <c r="DSS4" s="109"/>
      <c r="DST4" s="109"/>
      <c r="DSU4" s="109"/>
      <c r="DSV4" s="109"/>
      <c r="DSW4" s="109"/>
      <c r="DSX4" s="109"/>
      <c r="DSY4" s="109"/>
      <c r="DSZ4" s="109"/>
      <c r="DTA4" s="109"/>
      <c r="DTB4" s="109"/>
      <c r="DTC4" s="109"/>
      <c r="DTD4" s="109"/>
      <c r="DTE4" s="109"/>
      <c r="DTF4" s="109"/>
      <c r="DTG4" s="109"/>
      <c r="DTH4" s="109"/>
      <c r="DTI4" s="109"/>
      <c r="DTJ4" s="109"/>
      <c r="DTK4" s="109"/>
      <c r="DTL4" s="109"/>
      <c r="DTM4" s="109"/>
      <c r="DTN4" s="109"/>
      <c r="DTO4" s="109"/>
      <c r="DTP4" s="109"/>
      <c r="DTQ4" s="109"/>
      <c r="DTR4" s="109"/>
      <c r="DTS4" s="109"/>
      <c r="DTT4" s="109"/>
      <c r="DTU4" s="109"/>
      <c r="DTV4" s="109"/>
      <c r="DTW4" s="109"/>
      <c r="DTX4" s="109"/>
      <c r="DTY4" s="109"/>
      <c r="DTZ4" s="109"/>
      <c r="DUA4" s="109"/>
      <c r="DUB4" s="109"/>
      <c r="DUC4" s="109"/>
      <c r="DUD4" s="109"/>
      <c r="DUE4" s="109"/>
      <c r="DUF4" s="109"/>
      <c r="DUG4" s="109"/>
      <c r="DUH4" s="109"/>
      <c r="DUI4" s="109"/>
      <c r="DUJ4" s="109"/>
      <c r="DUK4" s="109"/>
      <c r="DUL4" s="109"/>
      <c r="DUM4" s="109"/>
      <c r="DUN4" s="109"/>
      <c r="DUO4" s="109"/>
      <c r="DUP4" s="109"/>
      <c r="DUQ4" s="109"/>
      <c r="DUR4" s="109"/>
      <c r="DUS4" s="109"/>
      <c r="DUT4" s="109"/>
      <c r="DUU4" s="109"/>
      <c r="DUV4" s="109"/>
      <c r="DUW4" s="109"/>
      <c r="DUX4" s="109"/>
      <c r="DUY4" s="109"/>
      <c r="DUZ4" s="109"/>
      <c r="DVA4" s="109"/>
      <c r="DVB4" s="109"/>
      <c r="DVC4" s="109"/>
      <c r="DVD4" s="109"/>
      <c r="DVE4" s="109"/>
      <c r="DVF4" s="109"/>
      <c r="DVG4" s="109"/>
      <c r="DVH4" s="109"/>
      <c r="DVI4" s="109"/>
      <c r="DVJ4" s="109"/>
      <c r="DVK4" s="109"/>
      <c r="DVL4" s="109"/>
      <c r="DVM4" s="109"/>
      <c r="DVN4" s="109"/>
      <c r="DVO4" s="109"/>
      <c r="DVP4" s="109"/>
      <c r="DVQ4" s="109"/>
      <c r="DVR4" s="109"/>
      <c r="DVS4" s="109"/>
      <c r="DVT4" s="109"/>
      <c r="DVU4" s="109"/>
      <c r="DVV4" s="109"/>
      <c r="DVW4" s="109"/>
      <c r="DVX4" s="109"/>
      <c r="DVY4" s="109"/>
      <c r="DVZ4" s="109"/>
      <c r="DWA4" s="109"/>
      <c r="DWB4" s="109"/>
      <c r="DWC4" s="109"/>
      <c r="DWD4" s="109"/>
      <c r="DWE4" s="109"/>
      <c r="DWF4" s="109"/>
      <c r="DWG4" s="109"/>
      <c r="DWH4" s="109"/>
      <c r="DWI4" s="109"/>
      <c r="DWJ4" s="109"/>
      <c r="DWK4" s="109"/>
      <c r="DWL4" s="109"/>
      <c r="DWM4" s="109"/>
      <c r="DWN4" s="109"/>
      <c r="DWO4" s="109"/>
      <c r="DWP4" s="109"/>
      <c r="DWQ4" s="109"/>
      <c r="DWR4" s="109"/>
      <c r="DWS4" s="109"/>
      <c r="DWT4" s="109"/>
      <c r="DWU4" s="109"/>
      <c r="DWV4" s="109"/>
      <c r="DWW4" s="109"/>
      <c r="DWX4" s="109"/>
      <c r="DWY4" s="109"/>
      <c r="DWZ4" s="109"/>
      <c r="DXA4" s="109"/>
      <c r="DXB4" s="109"/>
      <c r="DXC4" s="109"/>
      <c r="DXD4" s="109"/>
      <c r="DXE4" s="109"/>
      <c r="DXF4" s="109"/>
      <c r="DXG4" s="109"/>
      <c r="DXH4" s="109"/>
      <c r="DXI4" s="109"/>
      <c r="DXJ4" s="109"/>
      <c r="DXK4" s="109"/>
      <c r="DXL4" s="109"/>
      <c r="DXM4" s="109"/>
      <c r="DXN4" s="109"/>
      <c r="DXO4" s="109"/>
      <c r="DXP4" s="109"/>
      <c r="DXQ4" s="109"/>
      <c r="DXR4" s="109"/>
      <c r="DXS4" s="109"/>
      <c r="DXT4" s="109"/>
      <c r="DXU4" s="109"/>
      <c r="DXV4" s="109"/>
      <c r="DXW4" s="109"/>
      <c r="DXX4" s="109"/>
      <c r="DXY4" s="109"/>
      <c r="DXZ4" s="109"/>
      <c r="DYA4" s="109"/>
      <c r="DYB4" s="109"/>
      <c r="DYC4" s="109"/>
      <c r="DYD4" s="109"/>
      <c r="DYE4" s="109"/>
      <c r="DYF4" s="109"/>
      <c r="DYG4" s="109"/>
      <c r="DYH4" s="109"/>
      <c r="DYI4" s="109"/>
      <c r="DYJ4" s="109"/>
      <c r="DYK4" s="109"/>
      <c r="DYL4" s="109"/>
      <c r="DYM4" s="109"/>
      <c r="DYN4" s="109"/>
      <c r="DYO4" s="109"/>
      <c r="DYP4" s="109"/>
      <c r="DYQ4" s="109"/>
      <c r="DYR4" s="109"/>
      <c r="DYS4" s="109"/>
      <c r="DYT4" s="109"/>
      <c r="DYU4" s="109"/>
      <c r="DYV4" s="109"/>
      <c r="DYW4" s="109"/>
      <c r="DYX4" s="109"/>
      <c r="DYY4" s="109"/>
      <c r="DYZ4" s="109"/>
      <c r="DZA4" s="109"/>
      <c r="DZB4" s="109"/>
      <c r="DZC4" s="109"/>
      <c r="DZD4" s="109"/>
      <c r="DZE4" s="109"/>
      <c r="DZF4" s="109"/>
      <c r="DZG4" s="109"/>
      <c r="DZH4" s="109"/>
      <c r="DZI4" s="109"/>
      <c r="DZJ4" s="109"/>
      <c r="DZK4" s="109"/>
      <c r="DZL4" s="109"/>
      <c r="DZM4" s="109"/>
      <c r="DZN4" s="109"/>
      <c r="DZO4" s="109"/>
      <c r="DZP4" s="109"/>
      <c r="DZQ4" s="109"/>
      <c r="DZR4" s="109"/>
      <c r="DZS4" s="109"/>
      <c r="DZT4" s="109"/>
      <c r="DZU4" s="109"/>
      <c r="DZV4" s="109"/>
      <c r="DZW4" s="109"/>
      <c r="DZX4" s="109"/>
      <c r="DZY4" s="109"/>
      <c r="DZZ4" s="109"/>
      <c r="EAA4" s="109"/>
      <c r="EAB4" s="109"/>
      <c r="EAC4" s="109"/>
      <c r="EAD4" s="109"/>
      <c r="EAE4" s="109"/>
      <c r="EAF4" s="109"/>
      <c r="EAG4" s="109"/>
      <c r="EAH4" s="109"/>
      <c r="EAI4" s="109"/>
      <c r="EAJ4" s="109"/>
      <c r="EAK4" s="109"/>
      <c r="EAL4" s="109"/>
      <c r="EAM4" s="109"/>
      <c r="EAN4" s="109"/>
      <c r="EAO4" s="109"/>
      <c r="EAP4" s="109"/>
      <c r="EAQ4" s="109"/>
      <c r="EAR4" s="109"/>
      <c r="EAS4" s="109"/>
      <c r="EAT4" s="109"/>
      <c r="EAU4" s="109"/>
      <c r="EAV4" s="109"/>
      <c r="EAW4" s="109"/>
      <c r="EAX4" s="109"/>
      <c r="EAY4" s="109"/>
      <c r="EAZ4" s="109"/>
      <c r="EBA4" s="109"/>
      <c r="EBB4" s="109"/>
      <c r="EBC4" s="109"/>
      <c r="EBD4" s="109"/>
      <c r="EBE4" s="109"/>
      <c r="EBF4" s="109"/>
      <c r="EBG4" s="109"/>
      <c r="EBH4" s="109"/>
      <c r="EBI4" s="109"/>
      <c r="EBJ4" s="109"/>
      <c r="EBK4" s="109"/>
      <c r="EBL4" s="109"/>
      <c r="EBM4" s="109"/>
      <c r="EBN4" s="109"/>
      <c r="EBO4" s="109"/>
      <c r="EBP4" s="109"/>
      <c r="EBQ4" s="109"/>
      <c r="EBR4" s="109"/>
      <c r="EBS4" s="109"/>
      <c r="EBT4" s="109"/>
      <c r="EBU4" s="109"/>
      <c r="EBV4" s="109"/>
      <c r="EBW4" s="109"/>
      <c r="EBX4" s="109"/>
      <c r="EBY4" s="109"/>
      <c r="EBZ4" s="109"/>
      <c r="ECA4" s="109"/>
      <c r="ECB4" s="109"/>
      <c r="ECC4" s="109"/>
      <c r="ECD4" s="109"/>
      <c r="ECE4" s="109"/>
      <c r="ECF4" s="109"/>
      <c r="ECG4" s="109"/>
      <c r="ECH4" s="109"/>
      <c r="ECI4" s="109"/>
      <c r="ECJ4" s="109"/>
      <c r="ECK4" s="109"/>
      <c r="ECL4" s="109"/>
      <c r="ECM4" s="109"/>
      <c r="ECN4" s="109"/>
      <c r="ECO4" s="109"/>
      <c r="ECP4" s="109"/>
      <c r="ECQ4" s="109"/>
      <c r="ECR4" s="109"/>
      <c r="ECS4" s="109"/>
      <c r="ECT4" s="109"/>
      <c r="ECU4" s="109"/>
      <c r="ECV4" s="109"/>
      <c r="ECW4" s="109"/>
      <c r="ECX4" s="109"/>
      <c r="ECY4" s="109"/>
      <c r="ECZ4" s="109"/>
      <c r="EDA4" s="109"/>
      <c r="EDB4" s="109"/>
      <c r="EDC4" s="109"/>
      <c r="EDD4" s="109"/>
      <c r="EDE4" s="109"/>
      <c r="EDF4" s="109"/>
      <c r="EDG4" s="109"/>
      <c r="EDH4" s="109"/>
      <c r="EDI4" s="109"/>
      <c r="EDJ4" s="109"/>
      <c r="EDK4" s="109"/>
      <c r="EDL4" s="109"/>
      <c r="EDM4" s="109"/>
      <c r="EDN4" s="109"/>
      <c r="EDO4" s="109"/>
      <c r="EDP4" s="109"/>
      <c r="EDQ4" s="109"/>
      <c r="EDR4" s="109"/>
      <c r="EDS4" s="109"/>
      <c r="EDT4" s="109"/>
      <c r="EDU4" s="109"/>
      <c r="EDV4" s="109"/>
      <c r="EDW4" s="109"/>
      <c r="EDX4" s="109"/>
      <c r="EDY4" s="109"/>
      <c r="EDZ4" s="109"/>
      <c r="EEA4" s="109"/>
      <c r="EEB4" s="109"/>
      <c r="EEC4" s="109"/>
      <c r="EED4" s="109"/>
      <c r="EEE4" s="109"/>
      <c r="EEF4" s="109"/>
      <c r="EEG4" s="109"/>
      <c r="EEH4" s="109"/>
      <c r="EEI4" s="109"/>
      <c r="EEJ4" s="109"/>
      <c r="EEK4" s="109"/>
      <c r="EEL4" s="109"/>
      <c r="EEM4" s="109"/>
      <c r="EEN4" s="109"/>
      <c r="EEO4" s="109"/>
      <c r="EEP4" s="109"/>
      <c r="EEQ4" s="109"/>
      <c r="EER4" s="109"/>
      <c r="EES4" s="109"/>
      <c r="EET4" s="109"/>
      <c r="EEU4" s="109"/>
      <c r="EEV4" s="109"/>
      <c r="EEW4" s="109"/>
      <c r="EEX4" s="109"/>
      <c r="EEY4" s="109"/>
      <c r="EEZ4" s="109"/>
      <c r="EFA4" s="109"/>
      <c r="EFB4" s="109"/>
      <c r="EFC4" s="109"/>
      <c r="EFD4" s="109"/>
      <c r="EFE4" s="109"/>
      <c r="EFF4" s="109"/>
      <c r="EFG4" s="109"/>
      <c r="EFH4" s="109"/>
      <c r="EFI4" s="109"/>
      <c r="EFJ4" s="109"/>
      <c r="EFK4" s="109"/>
      <c r="EFL4" s="109"/>
      <c r="EFM4" s="109"/>
      <c r="EFN4" s="109"/>
      <c r="EFO4" s="109"/>
      <c r="EFP4" s="109"/>
      <c r="EFQ4" s="109"/>
      <c r="EFR4" s="109"/>
      <c r="EFS4" s="109"/>
      <c r="EFT4" s="109"/>
      <c r="EFU4" s="109"/>
      <c r="EFV4" s="109"/>
      <c r="EFW4" s="109"/>
      <c r="EFX4" s="109"/>
      <c r="EFY4" s="109"/>
      <c r="EFZ4" s="109"/>
      <c r="EGA4" s="109"/>
      <c r="EGB4" s="109"/>
      <c r="EGC4" s="109"/>
      <c r="EGD4" s="109"/>
      <c r="EGE4" s="109"/>
      <c r="EGF4" s="109"/>
      <c r="EGG4" s="109"/>
      <c r="EGH4" s="109"/>
      <c r="EGI4" s="109"/>
      <c r="EGJ4" s="109"/>
      <c r="EGK4" s="109"/>
      <c r="EGL4" s="109"/>
      <c r="EGM4" s="109"/>
      <c r="EGN4" s="109"/>
      <c r="EGO4" s="109"/>
      <c r="EGP4" s="109"/>
      <c r="EGQ4" s="109"/>
      <c r="EGR4" s="109"/>
      <c r="EGS4" s="109"/>
      <c r="EGT4" s="109"/>
      <c r="EGU4" s="109"/>
      <c r="EGV4" s="109"/>
      <c r="EGW4" s="109"/>
      <c r="EGX4" s="109"/>
      <c r="EGY4" s="109"/>
      <c r="EGZ4" s="109"/>
      <c r="EHA4" s="109"/>
      <c r="EHB4" s="109"/>
      <c r="EHC4" s="109"/>
      <c r="EHD4" s="109"/>
      <c r="EHE4" s="109"/>
      <c r="EHF4" s="109"/>
      <c r="EHG4" s="109"/>
      <c r="EHH4" s="109"/>
      <c r="EHI4" s="109"/>
      <c r="EHJ4" s="109"/>
      <c r="EHK4" s="109"/>
      <c r="EHL4" s="109"/>
      <c r="EHM4" s="109"/>
      <c r="EHN4" s="109"/>
      <c r="EHO4" s="109"/>
      <c r="EHP4" s="109"/>
      <c r="EHQ4" s="109"/>
      <c r="EHR4" s="109"/>
      <c r="EHS4" s="109"/>
      <c r="EHT4" s="109"/>
      <c r="EHU4" s="109"/>
      <c r="EHV4" s="109"/>
      <c r="EHW4" s="109"/>
      <c r="EHX4" s="109"/>
      <c r="EHY4" s="109"/>
      <c r="EHZ4" s="109"/>
      <c r="EIA4" s="109"/>
      <c r="EIB4" s="109"/>
      <c r="EIC4" s="109"/>
      <c r="EID4" s="109"/>
      <c r="EIE4" s="109"/>
      <c r="EIF4" s="109"/>
      <c r="EIG4" s="109"/>
      <c r="EIH4" s="109"/>
      <c r="EII4" s="109"/>
      <c r="EIJ4" s="109"/>
      <c r="EIK4" s="109"/>
      <c r="EIL4" s="109"/>
      <c r="EIM4" s="109"/>
      <c r="EIN4" s="109"/>
      <c r="EIO4" s="109"/>
      <c r="EIP4" s="109"/>
      <c r="EIQ4" s="109"/>
      <c r="EIR4" s="109"/>
      <c r="EIS4" s="109"/>
      <c r="EIT4" s="109"/>
      <c r="EIU4" s="109"/>
      <c r="EIV4" s="109"/>
      <c r="EIW4" s="109"/>
      <c r="EIX4" s="109"/>
      <c r="EIY4" s="109"/>
      <c r="EIZ4" s="109"/>
      <c r="EJA4" s="109"/>
      <c r="EJB4" s="109"/>
      <c r="EJC4" s="109"/>
      <c r="EJD4" s="109"/>
      <c r="EJE4" s="109"/>
      <c r="EJF4" s="109"/>
      <c r="EJG4" s="109"/>
      <c r="EJH4" s="109"/>
      <c r="EJI4" s="109"/>
      <c r="EJJ4" s="109"/>
      <c r="EJK4" s="109"/>
      <c r="EJL4" s="109"/>
      <c r="EJM4" s="109"/>
      <c r="EJN4" s="109"/>
      <c r="EJO4" s="109"/>
      <c r="EJP4" s="109"/>
      <c r="EJQ4" s="109"/>
      <c r="EJR4" s="109"/>
      <c r="EJS4" s="109"/>
      <c r="EJT4" s="109"/>
      <c r="EJU4" s="109"/>
      <c r="EJV4" s="109"/>
      <c r="EJW4" s="109"/>
      <c r="EJX4" s="109"/>
      <c r="EJY4" s="109"/>
      <c r="EJZ4" s="109"/>
      <c r="EKA4" s="109"/>
      <c r="EKB4" s="109"/>
      <c r="EKC4" s="109"/>
      <c r="EKD4" s="109"/>
      <c r="EKE4" s="109"/>
      <c r="EKF4" s="109"/>
      <c r="EKG4" s="109"/>
      <c r="EKH4" s="109"/>
      <c r="EKI4" s="109"/>
      <c r="EKJ4" s="109"/>
      <c r="EKK4" s="109"/>
      <c r="EKL4" s="109"/>
      <c r="EKM4" s="109"/>
      <c r="EKN4" s="109"/>
      <c r="EKO4" s="109"/>
      <c r="EKP4" s="109"/>
      <c r="EKQ4" s="109"/>
      <c r="EKR4" s="109"/>
      <c r="EKS4" s="109"/>
      <c r="EKT4" s="109"/>
      <c r="EKU4" s="109"/>
      <c r="EKV4" s="109"/>
      <c r="EKW4" s="109"/>
      <c r="EKX4" s="109"/>
      <c r="EKY4" s="109"/>
      <c r="EKZ4" s="109"/>
      <c r="ELA4" s="109"/>
      <c r="ELB4" s="109"/>
      <c r="ELC4" s="109"/>
      <c r="ELD4" s="109"/>
      <c r="ELE4" s="109"/>
      <c r="ELF4" s="109"/>
      <c r="ELG4" s="109"/>
      <c r="ELH4" s="109"/>
      <c r="ELI4" s="109"/>
      <c r="ELJ4" s="109"/>
      <c r="ELK4" s="109"/>
      <c r="ELL4" s="109"/>
      <c r="ELM4" s="109"/>
      <c r="ELN4" s="109"/>
      <c r="ELO4" s="109"/>
      <c r="ELP4" s="109"/>
      <c r="ELQ4" s="109"/>
      <c r="ELR4" s="109"/>
      <c r="ELS4" s="109"/>
      <c r="ELT4" s="109"/>
      <c r="ELU4" s="109"/>
      <c r="ELV4" s="109"/>
      <c r="ELW4" s="109"/>
      <c r="ELX4" s="109"/>
      <c r="ELY4" s="109"/>
      <c r="ELZ4" s="109"/>
      <c r="EMA4" s="109"/>
      <c r="EMB4" s="109"/>
      <c r="EMC4" s="109"/>
      <c r="EMD4" s="109"/>
      <c r="EME4" s="109"/>
      <c r="EMF4" s="109"/>
      <c r="EMG4" s="109"/>
      <c r="EMH4" s="109"/>
      <c r="EMI4" s="109"/>
      <c r="EMJ4" s="109"/>
      <c r="EMK4" s="109"/>
      <c r="EML4" s="109"/>
      <c r="EMM4" s="109"/>
      <c r="EMN4" s="109"/>
      <c r="EMO4" s="109"/>
      <c r="EMP4" s="109"/>
      <c r="EMQ4" s="109"/>
      <c r="EMR4" s="109"/>
      <c r="EMS4" s="109"/>
      <c r="EMT4" s="109"/>
      <c r="EMU4" s="109"/>
      <c r="EMV4" s="109"/>
      <c r="EMW4" s="109"/>
      <c r="EMX4" s="109"/>
      <c r="EMY4" s="109"/>
      <c r="EMZ4" s="109"/>
      <c r="ENA4" s="109"/>
      <c r="ENB4" s="109"/>
      <c r="ENC4" s="109"/>
      <c r="END4" s="109"/>
      <c r="ENE4" s="109"/>
      <c r="ENF4" s="109"/>
      <c r="ENG4" s="109"/>
      <c r="ENH4" s="109"/>
      <c r="ENI4" s="109"/>
      <c r="ENJ4" s="109"/>
      <c r="ENK4" s="109"/>
      <c r="ENL4" s="109"/>
      <c r="ENM4" s="109"/>
      <c r="ENN4" s="109"/>
      <c r="ENO4" s="109"/>
      <c r="ENP4" s="109"/>
      <c r="ENQ4" s="109"/>
      <c r="ENR4" s="109"/>
      <c r="ENS4" s="109"/>
      <c r="ENT4" s="109"/>
      <c r="ENU4" s="109"/>
      <c r="ENV4" s="109"/>
      <c r="ENW4" s="109"/>
      <c r="ENX4" s="109"/>
      <c r="ENY4" s="109"/>
      <c r="ENZ4" s="109"/>
      <c r="EOA4" s="109"/>
      <c r="EOB4" s="109"/>
      <c r="EOC4" s="109"/>
      <c r="EOD4" s="109"/>
      <c r="EOE4" s="109"/>
      <c r="EOF4" s="109"/>
      <c r="EOG4" s="109"/>
      <c r="EOH4" s="109"/>
      <c r="EOI4" s="109"/>
      <c r="EOJ4" s="109"/>
      <c r="EOK4" s="109"/>
      <c r="EOL4" s="109"/>
      <c r="EOM4" s="109"/>
      <c r="EON4" s="109"/>
      <c r="EOO4" s="109"/>
      <c r="EOP4" s="109"/>
      <c r="EOQ4" s="109"/>
      <c r="EOR4" s="109"/>
      <c r="EOS4" s="109"/>
      <c r="EOT4" s="109"/>
      <c r="EOU4" s="109"/>
      <c r="EOV4" s="109"/>
      <c r="EOW4" s="109"/>
      <c r="EOX4" s="109"/>
      <c r="EOY4" s="109"/>
      <c r="EOZ4" s="109"/>
      <c r="EPA4" s="109"/>
      <c r="EPB4" s="109"/>
      <c r="EPC4" s="109"/>
      <c r="EPD4" s="109"/>
      <c r="EPE4" s="109"/>
      <c r="EPF4" s="109"/>
      <c r="EPG4" s="109"/>
      <c r="EPH4" s="109"/>
      <c r="EPI4" s="109"/>
      <c r="EPJ4" s="109"/>
      <c r="EPK4" s="109"/>
      <c r="EPL4" s="109"/>
      <c r="EPM4" s="109"/>
      <c r="EPN4" s="109"/>
      <c r="EPO4" s="109"/>
      <c r="EPP4" s="109"/>
      <c r="EPQ4" s="109"/>
      <c r="EPR4" s="109"/>
      <c r="EPS4" s="109"/>
      <c r="EPT4" s="109"/>
      <c r="EPU4" s="109"/>
      <c r="EPV4" s="109"/>
      <c r="EPW4" s="109"/>
      <c r="EPX4" s="109"/>
      <c r="EPY4" s="109"/>
      <c r="EPZ4" s="109"/>
      <c r="EQA4" s="109"/>
      <c r="EQB4" s="109"/>
      <c r="EQC4" s="109"/>
      <c r="EQD4" s="109"/>
      <c r="EQE4" s="109"/>
      <c r="EQF4" s="109"/>
      <c r="EQG4" s="109"/>
      <c r="EQH4" s="109"/>
      <c r="EQI4" s="109"/>
      <c r="EQJ4" s="109"/>
      <c r="EQK4" s="109"/>
      <c r="EQL4" s="109"/>
      <c r="EQM4" s="109"/>
      <c r="EQN4" s="109"/>
      <c r="EQO4" s="109"/>
      <c r="EQP4" s="109"/>
      <c r="EQQ4" s="109"/>
      <c r="EQR4" s="109"/>
      <c r="EQS4" s="109"/>
      <c r="EQT4" s="109"/>
      <c r="EQU4" s="109"/>
      <c r="EQV4" s="109"/>
      <c r="EQW4" s="109"/>
      <c r="EQX4" s="109"/>
      <c r="EQY4" s="109"/>
      <c r="EQZ4" s="109"/>
      <c r="ERA4" s="109"/>
      <c r="ERB4" s="109"/>
      <c r="ERC4" s="109"/>
      <c r="ERD4" s="109"/>
      <c r="ERE4" s="109"/>
      <c r="ERF4" s="109"/>
      <c r="ERG4" s="109"/>
      <c r="ERH4" s="109"/>
      <c r="ERI4" s="109"/>
      <c r="ERJ4" s="109"/>
      <c r="ERK4" s="109"/>
      <c r="ERL4" s="109"/>
      <c r="ERM4" s="109"/>
      <c r="ERN4" s="109"/>
      <c r="ERO4" s="109"/>
      <c r="ERP4" s="109"/>
      <c r="ERQ4" s="109"/>
      <c r="ERR4" s="109"/>
      <c r="ERS4" s="109"/>
      <c r="ERT4" s="109"/>
      <c r="ERU4" s="109"/>
      <c r="ERV4" s="109"/>
      <c r="ERW4" s="109"/>
      <c r="ERX4" s="109"/>
      <c r="ERY4" s="109"/>
      <c r="ERZ4" s="109"/>
      <c r="ESA4" s="109"/>
      <c r="ESB4" s="109"/>
      <c r="ESC4" s="109"/>
      <c r="ESD4" s="109"/>
      <c r="ESE4" s="109"/>
      <c r="ESF4" s="109"/>
      <c r="ESG4" s="109"/>
      <c r="ESH4" s="109"/>
      <c r="ESI4" s="109"/>
      <c r="ESJ4" s="109"/>
      <c r="ESK4" s="109"/>
      <c r="ESL4" s="109"/>
      <c r="ESM4" s="109"/>
      <c r="ESN4" s="109"/>
      <c r="ESO4" s="109"/>
      <c r="ESP4" s="109"/>
      <c r="ESQ4" s="109"/>
      <c r="ESR4" s="109"/>
      <c r="ESS4" s="109"/>
      <c r="EST4" s="109"/>
      <c r="ESU4" s="109"/>
      <c r="ESV4" s="109"/>
      <c r="ESW4" s="109"/>
      <c r="ESX4" s="109"/>
      <c r="ESY4" s="109"/>
      <c r="ESZ4" s="109"/>
      <c r="ETA4" s="109"/>
      <c r="ETB4" s="109"/>
      <c r="ETC4" s="109"/>
      <c r="ETD4" s="109"/>
      <c r="ETE4" s="109"/>
      <c r="ETF4" s="109"/>
      <c r="ETG4" s="109"/>
      <c r="ETH4" s="109"/>
      <c r="ETI4" s="109"/>
      <c r="ETJ4" s="109"/>
      <c r="ETK4" s="109"/>
      <c r="ETL4" s="109"/>
      <c r="ETM4" s="109"/>
      <c r="ETN4" s="109"/>
      <c r="ETO4" s="109"/>
      <c r="ETP4" s="109"/>
      <c r="ETQ4" s="109"/>
      <c r="ETR4" s="109"/>
      <c r="ETS4" s="109"/>
      <c r="ETT4" s="109"/>
      <c r="ETU4" s="109"/>
      <c r="ETV4" s="109"/>
      <c r="ETW4" s="109"/>
      <c r="ETX4" s="109"/>
      <c r="ETY4" s="109"/>
      <c r="ETZ4" s="109"/>
      <c r="EUA4" s="109"/>
      <c r="EUB4" s="109"/>
      <c r="EUC4" s="109"/>
      <c r="EUD4" s="109"/>
      <c r="EUE4" s="109"/>
      <c r="EUF4" s="109"/>
      <c r="EUG4" s="109"/>
      <c r="EUH4" s="109"/>
      <c r="EUI4" s="109"/>
      <c r="EUJ4" s="109"/>
      <c r="EUK4" s="109"/>
      <c r="EUL4" s="109"/>
      <c r="EUM4" s="109"/>
      <c r="EUN4" s="109"/>
      <c r="EUO4" s="109"/>
      <c r="EUP4" s="109"/>
      <c r="EUQ4" s="109"/>
      <c r="EUR4" s="109"/>
      <c r="EUS4" s="109"/>
      <c r="EUT4" s="109"/>
      <c r="EUU4" s="109"/>
      <c r="EUV4" s="109"/>
      <c r="EUW4" s="109"/>
      <c r="EUX4" s="109"/>
      <c r="EUY4" s="109"/>
      <c r="EUZ4" s="109"/>
      <c r="EVA4" s="109"/>
      <c r="EVB4" s="109"/>
      <c r="EVC4" s="109"/>
      <c r="EVD4" s="109"/>
      <c r="EVE4" s="109"/>
      <c r="EVF4" s="109"/>
      <c r="EVG4" s="109"/>
      <c r="EVH4" s="109"/>
      <c r="EVI4" s="109"/>
      <c r="EVJ4" s="109"/>
      <c r="EVK4" s="109"/>
      <c r="EVL4" s="109"/>
      <c r="EVM4" s="109"/>
      <c r="EVN4" s="109"/>
      <c r="EVO4" s="109"/>
      <c r="EVP4" s="109"/>
      <c r="EVQ4" s="109"/>
      <c r="EVR4" s="109"/>
      <c r="EVS4" s="109"/>
      <c r="EVT4" s="109"/>
      <c r="EVU4" s="109"/>
      <c r="EVV4" s="109"/>
      <c r="EVW4" s="109"/>
      <c r="EVX4" s="109"/>
      <c r="EVY4" s="109"/>
      <c r="EVZ4" s="109"/>
      <c r="EWA4" s="109"/>
      <c r="EWB4" s="109"/>
      <c r="EWC4" s="109"/>
      <c r="EWD4" s="109"/>
      <c r="EWE4" s="109"/>
      <c r="EWF4" s="109"/>
      <c r="EWG4" s="109"/>
      <c r="EWH4" s="109"/>
      <c r="EWI4" s="109"/>
      <c r="EWJ4" s="109"/>
      <c r="EWK4" s="109"/>
      <c r="EWL4" s="109"/>
      <c r="EWM4" s="109"/>
      <c r="EWN4" s="109"/>
      <c r="EWO4" s="109"/>
      <c r="EWP4" s="109"/>
      <c r="EWQ4" s="109"/>
      <c r="EWR4" s="109"/>
      <c r="EWS4" s="109"/>
      <c r="EWT4" s="109"/>
      <c r="EWU4" s="109"/>
      <c r="EWV4" s="109"/>
      <c r="EWW4" s="109"/>
      <c r="EWX4" s="109"/>
      <c r="EWY4" s="109"/>
      <c r="EWZ4" s="109"/>
      <c r="EXA4" s="109"/>
      <c r="EXB4" s="109"/>
      <c r="EXC4" s="109"/>
      <c r="EXD4" s="109"/>
      <c r="EXE4" s="109"/>
      <c r="EXF4" s="109"/>
      <c r="EXG4" s="109"/>
      <c r="EXH4" s="109"/>
      <c r="EXI4" s="109"/>
      <c r="EXJ4" s="109"/>
      <c r="EXK4" s="109"/>
      <c r="EXL4" s="109"/>
      <c r="EXM4" s="109"/>
      <c r="EXN4" s="109"/>
      <c r="EXO4" s="109"/>
      <c r="EXP4" s="109"/>
      <c r="EXQ4" s="109"/>
      <c r="EXR4" s="109"/>
      <c r="EXS4" s="109"/>
      <c r="EXT4" s="109"/>
      <c r="EXU4" s="109"/>
      <c r="EXV4" s="109"/>
      <c r="EXW4" s="109"/>
      <c r="EXX4" s="109"/>
      <c r="EXY4" s="109"/>
      <c r="EXZ4" s="109"/>
      <c r="EYA4" s="109"/>
      <c r="EYB4" s="109"/>
      <c r="EYC4" s="109"/>
      <c r="EYD4" s="109"/>
      <c r="EYE4" s="109"/>
      <c r="EYF4" s="109"/>
      <c r="EYG4" s="109"/>
      <c r="EYH4" s="109"/>
      <c r="EYI4" s="109"/>
      <c r="EYJ4" s="109"/>
      <c r="EYK4" s="109"/>
      <c r="EYL4" s="109"/>
      <c r="EYM4" s="109"/>
      <c r="EYN4" s="109"/>
      <c r="EYO4" s="109"/>
      <c r="EYP4" s="109"/>
      <c r="EYQ4" s="109"/>
      <c r="EYR4" s="109"/>
      <c r="EYS4" s="109"/>
      <c r="EYT4" s="109"/>
      <c r="EYU4" s="109"/>
      <c r="EYV4" s="109"/>
      <c r="EYW4" s="109"/>
      <c r="EYX4" s="109"/>
      <c r="EYY4" s="109"/>
      <c r="EYZ4" s="109"/>
      <c r="EZA4" s="109"/>
      <c r="EZB4" s="109"/>
      <c r="EZC4" s="109"/>
      <c r="EZD4" s="109"/>
      <c r="EZE4" s="109"/>
      <c r="EZF4" s="109"/>
      <c r="EZG4" s="109"/>
      <c r="EZH4" s="109"/>
      <c r="EZI4" s="109"/>
      <c r="EZJ4" s="109"/>
      <c r="EZK4" s="109"/>
      <c r="EZL4" s="109"/>
      <c r="EZM4" s="109"/>
      <c r="EZN4" s="109"/>
      <c r="EZO4" s="109"/>
      <c r="EZP4" s="109"/>
      <c r="EZQ4" s="109"/>
      <c r="EZR4" s="109"/>
      <c r="EZS4" s="109"/>
      <c r="EZT4" s="109"/>
      <c r="EZU4" s="109"/>
      <c r="EZV4" s="109"/>
      <c r="EZW4" s="109"/>
      <c r="EZX4" s="109"/>
      <c r="EZY4" s="109"/>
      <c r="EZZ4" s="109"/>
      <c r="FAA4" s="109"/>
      <c r="FAB4" s="109"/>
      <c r="FAC4" s="109"/>
      <c r="FAD4" s="109"/>
      <c r="FAE4" s="109"/>
      <c r="FAF4" s="109"/>
      <c r="FAG4" s="109"/>
      <c r="FAH4" s="109"/>
      <c r="FAI4" s="109"/>
      <c r="FAJ4" s="109"/>
      <c r="FAK4" s="109"/>
      <c r="FAL4" s="109"/>
      <c r="FAM4" s="109"/>
      <c r="FAN4" s="109"/>
      <c r="FAO4" s="109"/>
      <c r="FAP4" s="109"/>
      <c r="FAQ4" s="109"/>
      <c r="FAR4" s="109"/>
      <c r="FAS4" s="109"/>
      <c r="FAT4" s="109"/>
      <c r="FAU4" s="109"/>
      <c r="FAV4" s="109"/>
      <c r="FAW4" s="109"/>
      <c r="FAX4" s="109"/>
      <c r="FAY4" s="109"/>
      <c r="FAZ4" s="109"/>
      <c r="FBA4" s="109"/>
      <c r="FBB4" s="109"/>
      <c r="FBC4" s="109"/>
      <c r="FBD4" s="109"/>
      <c r="FBE4" s="109"/>
      <c r="FBF4" s="109"/>
      <c r="FBG4" s="109"/>
      <c r="FBH4" s="109"/>
      <c r="FBI4" s="109"/>
      <c r="FBJ4" s="109"/>
      <c r="FBK4" s="109"/>
      <c r="FBL4" s="109"/>
      <c r="FBM4" s="109"/>
      <c r="FBN4" s="109"/>
      <c r="FBO4" s="109"/>
      <c r="FBP4" s="109"/>
      <c r="FBQ4" s="109"/>
      <c r="FBR4" s="109"/>
      <c r="FBS4" s="109"/>
      <c r="FBT4" s="109"/>
      <c r="FBU4" s="109"/>
      <c r="FBV4" s="109"/>
      <c r="FBW4" s="109"/>
      <c r="FBX4" s="109"/>
      <c r="FBY4" s="109"/>
      <c r="FBZ4" s="109"/>
      <c r="FCA4" s="109"/>
      <c r="FCB4" s="109"/>
      <c r="FCC4" s="109"/>
      <c r="FCD4" s="109"/>
      <c r="FCE4" s="109"/>
      <c r="FCF4" s="109"/>
      <c r="FCG4" s="109"/>
      <c r="FCH4" s="109"/>
      <c r="FCI4" s="109"/>
      <c r="FCJ4" s="109"/>
      <c r="FCK4" s="109"/>
      <c r="FCL4" s="109"/>
      <c r="FCM4" s="109"/>
      <c r="FCN4" s="109"/>
      <c r="FCO4" s="109"/>
      <c r="FCP4" s="109"/>
      <c r="FCQ4" s="109"/>
      <c r="FCR4" s="109"/>
      <c r="FCS4" s="109"/>
      <c r="FCT4" s="109"/>
      <c r="FCU4" s="109"/>
      <c r="FCV4" s="109"/>
      <c r="FCW4" s="109"/>
      <c r="FCX4" s="109"/>
      <c r="FCY4" s="109"/>
      <c r="FCZ4" s="109"/>
      <c r="FDA4" s="109"/>
      <c r="FDB4" s="109"/>
      <c r="FDC4" s="109"/>
      <c r="FDD4" s="109"/>
      <c r="FDE4" s="109"/>
      <c r="FDF4" s="109"/>
      <c r="FDG4" s="109"/>
      <c r="FDH4" s="109"/>
      <c r="FDI4" s="109"/>
      <c r="FDJ4" s="109"/>
      <c r="FDK4" s="109"/>
      <c r="FDL4" s="109"/>
      <c r="FDM4" s="109"/>
      <c r="FDN4" s="109"/>
      <c r="FDO4" s="109"/>
      <c r="FDP4" s="109"/>
      <c r="FDQ4" s="109"/>
      <c r="FDR4" s="109"/>
      <c r="FDS4" s="109"/>
      <c r="FDT4" s="109"/>
      <c r="FDU4" s="109"/>
      <c r="FDV4" s="109"/>
      <c r="FDW4" s="109"/>
      <c r="FDX4" s="109"/>
      <c r="FDY4" s="109"/>
      <c r="FDZ4" s="109"/>
      <c r="FEA4" s="109"/>
      <c r="FEB4" s="109"/>
      <c r="FEC4" s="109"/>
      <c r="FED4" s="109"/>
      <c r="FEE4" s="109"/>
      <c r="FEF4" s="109"/>
      <c r="FEG4" s="109"/>
      <c r="FEH4" s="109"/>
      <c r="FEI4" s="109"/>
      <c r="FEJ4" s="109"/>
      <c r="FEK4" s="109"/>
      <c r="FEL4" s="109"/>
      <c r="FEM4" s="109"/>
      <c r="FEN4" s="109"/>
      <c r="FEO4" s="109"/>
      <c r="FEP4" s="109"/>
      <c r="FEQ4" s="109"/>
      <c r="FER4" s="109"/>
      <c r="FES4" s="109"/>
      <c r="FET4" s="109"/>
      <c r="FEU4" s="109"/>
      <c r="FEV4" s="109"/>
      <c r="FEW4" s="109"/>
      <c r="FEX4" s="109"/>
      <c r="FEY4" s="109"/>
      <c r="FEZ4" s="109"/>
      <c r="FFA4" s="109"/>
      <c r="FFB4" s="109"/>
      <c r="FFC4" s="109"/>
      <c r="FFD4" s="109"/>
      <c r="FFE4" s="109"/>
      <c r="FFF4" s="109"/>
      <c r="FFG4" s="109"/>
      <c r="FFH4" s="109"/>
      <c r="FFI4" s="109"/>
      <c r="FFJ4" s="109"/>
      <c r="FFK4" s="109"/>
      <c r="FFL4" s="109"/>
      <c r="FFM4" s="109"/>
      <c r="FFN4" s="109"/>
      <c r="FFO4" s="109"/>
      <c r="FFP4" s="109"/>
      <c r="FFQ4" s="109"/>
      <c r="FFR4" s="109"/>
      <c r="FFS4" s="109"/>
      <c r="FFT4" s="109"/>
      <c r="FFU4" s="109"/>
      <c r="FFV4" s="109"/>
      <c r="FFW4" s="109"/>
      <c r="FFX4" s="109"/>
      <c r="FFY4" s="109"/>
      <c r="FFZ4" s="109"/>
      <c r="FGA4" s="109"/>
      <c r="FGB4" s="109"/>
      <c r="FGC4" s="109"/>
      <c r="FGD4" s="109"/>
      <c r="FGE4" s="109"/>
      <c r="FGF4" s="109"/>
      <c r="FGG4" s="109"/>
      <c r="FGH4" s="109"/>
      <c r="FGI4" s="109"/>
      <c r="FGJ4" s="109"/>
      <c r="FGK4" s="109"/>
      <c r="FGL4" s="109"/>
      <c r="FGM4" s="109"/>
      <c r="FGN4" s="109"/>
      <c r="FGO4" s="109"/>
      <c r="FGP4" s="109"/>
      <c r="FGQ4" s="109"/>
      <c r="FGR4" s="109"/>
      <c r="FGS4" s="109"/>
      <c r="FGT4" s="109"/>
      <c r="FGU4" s="109"/>
      <c r="FGV4" s="109"/>
      <c r="FGW4" s="109"/>
      <c r="FGX4" s="109"/>
      <c r="FGY4" s="109"/>
      <c r="FGZ4" s="109"/>
      <c r="FHA4" s="109"/>
      <c r="FHB4" s="109"/>
      <c r="FHC4" s="109"/>
      <c r="FHD4" s="109"/>
      <c r="FHE4" s="109"/>
      <c r="FHF4" s="109"/>
      <c r="FHG4" s="109"/>
      <c r="FHH4" s="109"/>
      <c r="FHI4" s="109"/>
      <c r="FHJ4" s="109"/>
      <c r="FHK4" s="109"/>
      <c r="FHL4" s="109"/>
      <c r="FHM4" s="109"/>
      <c r="FHN4" s="109"/>
      <c r="FHO4" s="109"/>
      <c r="FHP4" s="109"/>
      <c r="FHQ4" s="109"/>
      <c r="FHR4" s="109"/>
      <c r="FHS4" s="109"/>
      <c r="FHT4" s="109"/>
      <c r="FHU4" s="109"/>
      <c r="FHV4" s="109"/>
      <c r="FHW4" s="109"/>
      <c r="FHX4" s="109"/>
      <c r="FHY4" s="109"/>
      <c r="FHZ4" s="109"/>
      <c r="FIA4" s="109"/>
      <c r="FIB4" s="109"/>
      <c r="FIC4" s="109"/>
      <c r="FID4" s="109"/>
      <c r="FIE4" s="109"/>
      <c r="FIF4" s="109"/>
      <c r="FIG4" s="109"/>
      <c r="FIH4" s="109"/>
      <c r="FII4" s="109"/>
      <c r="FIJ4" s="109"/>
      <c r="FIK4" s="109"/>
      <c r="FIL4" s="109"/>
      <c r="FIM4" s="109"/>
      <c r="FIN4" s="109"/>
      <c r="FIO4" s="109"/>
      <c r="FIP4" s="109"/>
      <c r="FIQ4" s="109"/>
      <c r="FIR4" s="109"/>
      <c r="FIS4" s="109"/>
      <c r="FIT4" s="109"/>
      <c r="FIU4" s="109"/>
      <c r="FIV4" s="109"/>
      <c r="FIW4" s="109"/>
      <c r="FIX4" s="109"/>
      <c r="FIY4" s="109"/>
      <c r="FIZ4" s="109"/>
      <c r="FJA4" s="109"/>
      <c r="FJB4" s="109"/>
      <c r="FJC4" s="109"/>
      <c r="FJD4" s="109"/>
      <c r="FJE4" s="109"/>
      <c r="FJF4" s="109"/>
      <c r="FJG4" s="109"/>
      <c r="FJH4" s="109"/>
      <c r="FJI4" s="109"/>
      <c r="FJJ4" s="109"/>
      <c r="FJK4" s="109"/>
      <c r="FJL4" s="109"/>
      <c r="FJM4" s="109"/>
      <c r="FJN4" s="109"/>
      <c r="FJO4" s="109"/>
      <c r="FJP4" s="109"/>
      <c r="FJQ4" s="109"/>
      <c r="FJR4" s="109"/>
      <c r="FJS4" s="109"/>
      <c r="FJT4" s="109"/>
      <c r="FJU4" s="109"/>
      <c r="FJV4" s="109"/>
      <c r="FJW4" s="109"/>
      <c r="FJX4" s="109"/>
      <c r="FJY4" s="109"/>
      <c r="FJZ4" s="109"/>
      <c r="FKA4" s="109"/>
      <c r="FKB4" s="109"/>
      <c r="FKC4" s="109"/>
      <c r="FKD4" s="109"/>
      <c r="FKE4" s="109"/>
      <c r="FKF4" s="109"/>
      <c r="FKG4" s="109"/>
      <c r="FKH4" s="109"/>
      <c r="FKI4" s="109"/>
      <c r="FKJ4" s="109"/>
      <c r="FKK4" s="109"/>
      <c r="FKL4" s="109"/>
      <c r="FKM4" s="109"/>
      <c r="FKN4" s="109"/>
      <c r="FKO4" s="109"/>
      <c r="FKP4" s="109"/>
      <c r="FKQ4" s="109"/>
      <c r="FKR4" s="109"/>
      <c r="FKS4" s="109"/>
      <c r="FKT4" s="109"/>
      <c r="FKU4" s="109"/>
      <c r="FKV4" s="109"/>
      <c r="FKW4" s="109"/>
      <c r="FKX4" s="109"/>
      <c r="FKY4" s="109"/>
      <c r="FKZ4" s="109"/>
      <c r="FLA4" s="109"/>
      <c r="FLB4" s="109"/>
      <c r="FLC4" s="109"/>
      <c r="FLD4" s="109"/>
      <c r="FLE4" s="109"/>
      <c r="FLF4" s="109"/>
      <c r="FLG4" s="109"/>
      <c r="FLH4" s="109"/>
      <c r="FLI4" s="109"/>
      <c r="FLJ4" s="109"/>
      <c r="FLK4" s="109"/>
      <c r="FLL4" s="109"/>
      <c r="FLM4" s="109"/>
      <c r="FLN4" s="109"/>
      <c r="FLO4" s="109"/>
      <c r="FLP4" s="109"/>
      <c r="FLQ4" s="109"/>
      <c r="FLR4" s="109"/>
      <c r="FLS4" s="109"/>
      <c r="FLT4" s="109"/>
      <c r="FLU4" s="109"/>
      <c r="FLV4" s="109"/>
      <c r="FLW4" s="109"/>
      <c r="FLX4" s="109"/>
      <c r="FLY4" s="109"/>
      <c r="FLZ4" s="109"/>
      <c r="FMA4" s="109"/>
      <c r="FMB4" s="109"/>
      <c r="FMC4" s="109"/>
      <c r="FMD4" s="109"/>
      <c r="FME4" s="109"/>
      <c r="FMF4" s="109"/>
      <c r="FMG4" s="109"/>
      <c r="FMH4" s="109"/>
      <c r="FMI4" s="109"/>
      <c r="FMJ4" s="109"/>
      <c r="FMK4" s="109"/>
      <c r="FML4" s="109"/>
      <c r="FMM4" s="109"/>
      <c r="FMN4" s="109"/>
      <c r="FMO4" s="109"/>
      <c r="FMP4" s="109"/>
      <c r="FMQ4" s="109"/>
      <c r="FMR4" s="109"/>
      <c r="FMS4" s="109"/>
      <c r="FMT4" s="109"/>
      <c r="FMU4" s="109"/>
      <c r="FMV4" s="109"/>
      <c r="FMW4" s="109"/>
      <c r="FMX4" s="109"/>
      <c r="FMY4" s="109"/>
      <c r="FMZ4" s="109"/>
      <c r="FNA4" s="109"/>
      <c r="FNB4" s="109"/>
      <c r="FNC4" s="109"/>
      <c r="FND4" s="109"/>
      <c r="FNE4" s="109"/>
      <c r="FNF4" s="109"/>
      <c r="FNG4" s="109"/>
      <c r="FNH4" s="109"/>
      <c r="FNI4" s="109"/>
      <c r="FNJ4" s="109"/>
      <c r="FNK4" s="109"/>
      <c r="FNL4" s="109"/>
      <c r="FNM4" s="109"/>
      <c r="FNN4" s="109"/>
      <c r="FNO4" s="109"/>
      <c r="FNP4" s="109"/>
      <c r="FNQ4" s="109"/>
      <c r="FNR4" s="109"/>
      <c r="FNS4" s="109"/>
      <c r="FNT4" s="109"/>
      <c r="FNU4" s="109"/>
      <c r="FNV4" s="109"/>
      <c r="FNW4" s="109"/>
      <c r="FNX4" s="109"/>
      <c r="FNY4" s="109"/>
      <c r="FNZ4" s="109"/>
      <c r="FOA4" s="109"/>
      <c r="FOB4" s="109"/>
      <c r="FOC4" s="109"/>
      <c r="FOD4" s="109"/>
      <c r="FOE4" s="109"/>
      <c r="FOF4" s="109"/>
      <c r="FOG4" s="109"/>
      <c r="FOH4" s="109"/>
      <c r="FOI4" s="109"/>
      <c r="FOJ4" s="109"/>
      <c r="FOK4" s="109"/>
      <c r="FOL4" s="109"/>
      <c r="FOM4" s="109"/>
      <c r="FON4" s="109"/>
      <c r="FOO4" s="109"/>
      <c r="FOP4" s="109"/>
      <c r="FOQ4" s="109"/>
      <c r="FOR4" s="109"/>
      <c r="FOS4" s="109"/>
      <c r="FOT4" s="109"/>
      <c r="FOU4" s="109"/>
      <c r="FOV4" s="109"/>
      <c r="FOW4" s="109"/>
      <c r="FOX4" s="109"/>
      <c r="FOY4" s="109"/>
      <c r="FOZ4" s="109"/>
      <c r="FPA4" s="109"/>
      <c r="FPB4" s="109"/>
      <c r="FPC4" s="109"/>
      <c r="FPD4" s="109"/>
      <c r="FPE4" s="109"/>
      <c r="FPF4" s="109"/>
      <c r="FPG4" s="109"/>
      <c r="FPH4" s="109"/>
      <c r="FPI4" s="109"/>
      <c r="FPJ4" s="109"/>
      <c r="FPK4" s="109"/>
      <c r="FPL4" s="109"/>
      <c r="FPM4" s="109"/>
      <c r="FPN4" s="109"/>
      <c r="FPO4" s="109"/>
      <c r="FPP4" s="109"/>
      <c r="FPQ4" s="109"/>
      <c r="FPR4" s="109"/>
      <c r="FPS4" s="109"/>
      <c r="FPT4" s="109"/>
      <c r="FPU4" s="109"/>
      <c r="FPV4" s="109"/>
      <c r="FPW4" s="109"/>
      <c r="FPX4" s="109"/>
      <c r="FPY4" s="109"/>
      <c r="FPZ4" s="109"/>
      <c r="FQA4" s="109"/>
      <c r="FQB4" s="109"/>
      <c r="FQC4" s="109"/>
      <c r="FQD4" s="109"/>
      <c r="FQE4" s="109"/>
      <c r="FQF4" s="109"/>
      <c r="FQG4" s="109"/>
      <c r="FQH4" s="109"/>
      <c r="FQI4" s="109"/>
      <c r="FQJ4" s="109"/>
      <c r="FQK4" s="109"/>
      <c r="FQL4" s="109"/>
      <c r="FQM4" s="109"/>
      <c r="FQN4" s="109"/>
      <c r="FQO4" s="109"/>
      <c r="FQP4" s="109"/>
      <c r="FQQ4" s="109"/>
      <c r="FQR4" s="109"/>
      <c r="FQS4" s="109"/>
      <c r="FQT4" s="109"/>
      <c r="FQU4" s="109"/>
      <c r="FQV4" s="109"/>
      <c r="FQW4" s="109"/>
      <c r="FQX4" s="109"/>
      <c r="FQY4" s="109"/>
      <c r="FQZ4" s="109"/>
      <c r="FRA4" s="109"/>
      <c r="FRB4" s="109"/>
      <c r="FRC4" s="109"/>
      <c r="FRD4" s="109"/>
      <c r="FRE4" s="109"/>
      <c r="FRF4" s="109"/>
      <c r="FRG4" s="109"/>
      <c r="FRH4" s="109"/>
      <c r="FRI4" s="109"/>
      <c r="FRJ4" s="109"/>
      <c r="FRK4" s="109"/>
      <c r="FRL4" s="109"/>
      <c r="FRM4" s="109"/>
      <c r="FRN4" s="109"/>
      <c r="FRO4" s="109"/>
      <c r="FRP4" s="109"/>
      <c r="FRQ4" s="109"/>
      <c r="FRR4" s="109"/>
      <c r="FRS4" s="109"/>
      <c r="FRT4" s="109"/>
      <c r="FRU4" s="109"/>
      <c r="FRV4" s="109"/>
      <c r="FRW4" s="109"/>
      <c r="FRX4" s="109"/>
      <c r="FRY4" s="109"/>
      <c r="FRZ4" s="109"/>
      <c r="FSA4" s="109"/>
      <c r="FSB4" s="109"/>
      <c r="FSC4" s="109"/>
      <c r="FSD4" s="109"/>
      <c r="FSE4" s="109"/>
      <c r="FSF4" s="109"/>
      <c r="FSG4" s="109"/>
      <c r="FSH4" s="109"/>
      <c r="FSI4" s="109"/>
      <c r="FSJ4" s="109"/>
      <c r="FSK4" s="109"/>
      <c r="FSL4" s="109"/>
      <c r="FSM4" s="109"/>
      <c r="FSN4" s="109"/>
      <c r="FSO4" s="109"/>
      <c r="FSP4" s="109"/>
      <c r="FSQ4" s="109"/>
      <c r="FSR4" s="109"/>
      <c r="FSS4" s="109"/>
      <c r="FST4" s="109"/>
      <c r="FSU4" s="109"/>
      <c r="FSV4" s="109"/>
      <c r="FSW4" s="109"/>
      <c r="FSX4" s="109"/>
      <c r="FSY4" s="109"/>
      <c r="FSZ4" s="109"/>
      <c r="FTA4" s="109"/>
      <c r="FTB4" s="109"/>
      <c r="FTC4" s="109"/>
      <c r="FTD4" s="109"/>
      <c r="FTE4" s="109"/>
      <c r="FTF4" s="109"/>
      <c r="FTG4" s="109"/>
      <c r="FTH4" s="109"/>
      <c r="FTI4" s="109"/>
      <c r="FTJ4" s="109"/>
      <c r="FTK4" s="109"/>
      <c r="FTL4" s="109"/>
      <c r="FTM4" s="109"/>
      <c r="FTN4" s="109"/>
      <c r="FTO4" s="109"/>
      <c r="FTP4" s="109"/>
      <c r="FTQ4" s="109"/>
      <c r="FTR4" s="109"/>
      <c r="FTS4" s="109"/>
      <c r="FTT4" s="109"/>
      <c r="FTU4" s="109"/>
      <c r="FTV4" s="109"/>
      <c r="FTW4" s="109"/>
      <c r="FTX4" s="109"/>
      <c r="FTY4" s="109"/>
      <c r="FTZ4" s="109"/>
      <c r="FUA4" s="109"/>
      <c r="FUB4" s="109"/>
      <c r="FUC4" s="109"/>
      <c r="FUD4" s="109"/>
      <c r="FUE4" s="109"/>
      <c r="FUF4" s="109"/>
      <c r="FUG4" s="109"/>
      <c r="FUH4" s="109"/>
      <c r="FUI4" s="109"/>
      <c r="FUJ4" s="109"/>
      <c r="FUK4" s="109"/>
      <c r="FUL4" s="109"/>
      <c r="FUM4" s="109"/>
      <c r="FUN4" s="109"/>
      <c r="FUO4" s="109"/>
      <c r="FUP4" s="109"/>
      <c r="FUQ4" s="109"/>
      <c r="FUR4" s="109"/>
      <c r="FUS4" s="109"/>
      <c r="FUT4" s="109"/>
      <c r="FUU4" s="109"/>
      <c r="FUV4" s="109"/>
      <c r="FUW4" s="109"/>
      <c r="FUX4" s="109"/>
      <c r="FUY4" s="109"/>
      <c r="FUZ4" s="109"/>
      <c r="FVA4" s="109"/>
      <c r="FVB4" s="109"/>
      <c r="FVC4" s="109"/>
      <c r="FVD4" s="109"/>
      <c r="FVE4" s="109"/>
      <c r="FVF4" s="109"/>
      <c r="FVG4" s="109"/>
      <c r="FVH4" s="109"/>
      <c r="FVI4" s="109"/>
      <c r="FVJ4" s="109"/>
      <c r="FVK4" s="109"/>
      <c r="FVL4" s="109"/>
      <c r="FVM4" s="109"/>
      <c r="FVN4" s="109"/>
      <c r="FVO4" s="109"/>
      <c r="FVP4" s="109"/>
      <c r="FVQ4" s="109"/>
      <c r="FVR4" s="109"/>
      <c r="FVS4" s="109"/>
      <c r="FVT4" s="109"/>
      <c r="FVU4" s="109"/>
      <c r="FVV4" s="109"/>
      <c r="FVW4" s="109"/>
      <c r="FVX4" s="109"/>
      <c r="FVY4" s="109"/>
      <c r="FVZ4" s="109"/>
      <c r="FWA4" s="109"/>
      <c r="FWB4" s="109"/>
      <c r="FWC4" s="109"/>
      <c r="FWD4" s="109"/>
      <c r="FWE4" s="109"/>
      <c r="FWF4" s="109"/>
      <c r="FWG4" s="109"/>
      <c r="FWH4" s="109"/>
      <c r="FWI4" s="109"/>
      <c r="FWJ4" s="109"/>
      <c r="FWK4" s="109"/>
      <c r="FWL4" s="109"/>
      <c r="FWM4" s="109"/>
      <c r="FWN4" s="109"/>
      <c r="FWO4" s="109"/>
      <c r="FWP4" s="109"/>
      <c r="FWQ4" s="109"/>
      <c r="FWR4" s="109"/>
      <c r="FWS4" s="109"/>
      <c r="FWT4" s="109"/>
      <c r="FWU4" s="109"/>
      <c r="FWV4" s="109"/>
      <c r="FWW4" s="109"/>
      <c r="FWX4" s="109"/>
      <c r="FWY4" s="109"/>
      <c r="FWZ4" s="109"/>
      <c r="FXA4" s="109"/>
      <c r="FXB4" s="109"/>
      <c r="FXC4" s="109"/>
      <c r="FXD4" s="109"/>
      <c r="FXE4" s="109"/>
      <c r="FXF4" s="109"/>
      <c r="FXG4" s="109"/>
      <c r="FXH4" s="109"/>
      <c r="FXI4" s="109"/>
      <c r="FXJ4" s="109"/>
      <c r="FXK4" s="109"/>
      <c r="FXL4" s="109"/>
      <c r="FXM4" s="109"/>
      <c r="FXN4" s="109"/>
      <c r="FXO4" s="109"/>
      <c r="FXP4" s="109"/>
      <c r="FXQ4" s="109"/>
      <c r="FXR4" s="109"/>
      <c r="FXS4" s="109"/>
      <c r="FXT4" s="109"/>
      <c r="FXU4" s="109"/>
      <c r="FXV4" s="109"/>
      <c r="FXW4" s="109"/>
      <c r="FXX4" s="109"/>
      <c r="FXY4" s="109"/>
      <c r="FXZ4" s="109"/>
      <c r="FYA4" s="109"/>
      <c r="FYB4" s="109"/>
      <c r="FYC4" s="109"/>
      <c r="FYD4" s="109"/>
      <c r="FYE4" s="109"/>
      <c r="FYF4" s="109"/>
      <c r="FYG4" s="109"/>
      <c r="FYH4" s="109"/>
      <c r="FYI4" s="109"/>
      <c r="FYJ4" s="109"/>
      <c r="FYK4" s="109"/>
      <c r="FYL4" s="109"/>
      <c r="FYM4" s="109"/>
      <c r="FYN4" s="109"/>
      <c r="FYO4" s="109"/>
      <c r="FYP4" s="109"/>
      <c r="FYQ4" s="109"/>
      <c r="FYR4" s="109"/>
      <c r="FYS4" s="109"/>
      <c r="FYT4" s="109"/>
      <c r="FYU4" s="109"/>
      <c r="FYV4" s="109"/>
      <c r="FYW4" s="109"/>
      <c r="FYX4" s="109"/>
      <c r="FYY4" s="109"/>
      <c r="FYZ4" s="109"/>
      <c r="FZA4" s="109"/>
      <c r="FZB4" s="109"/>
      <c r="FZC4" s="109"/>
      <c r="FZD4" s="109"/>
      <c r="FZE4" s="109"/>
      <c r="FZF4" s="109"/>
      <c r="FZG4" s="109"/>
      <c r="FZH4" s="109"/>
      <c r="FZI4" s="109"/>
      <c r="FZJ4" s="109"/>
      <c r="FZK4" s="109"/>
      <c r="FZL4" s="109"/>
      <c r="FZM4" s="109"/>
      <c r="FZN4" s="109"/>
      <c r="FZO4" s="109"/>
      <c r="FZP4" s="109"/>
      <c r="FZQ4" s="109"/>
      <c r="FZR4" s="109"/>
      <c r="FZS4" s="109"/>
      <c r="FZT4" s="109"/>
      <c r="FZU4" s="109"/>
      <c r="FZV4" s="109"/>
      <c r="FZW4" s="109"/>
      <c r="FZX4" s="109"/>
      <c r="FZY4" s="109"/>
      <c r="FZZ4" s="109"/>
      <c r="GAA4" s="109"/>
      <c r="GAB4" s="109"/>
      <c r="GAC4" s="109"/>
      <c r="GAD4" s="109"/>
      <c r="GAE4" s="109"/>
      <c r="GAF4" s="109"/>
      <c r="GAG4" s="109"/>
      <c r="GAH4" s="109"/>
      <c r="GAI4" s="109"/>
      <c r="GAJ4" s="109"/>
      <c r="GAK4" s="109"/>
      <c r="GAL4" s="109"/>
      <c r="GAM4" s="109"/>
      <c r="GAN4" s="109"/>
      <c r="GAO4" s="109"/>
      <c r="GAP4" s="109"/>
      <c r="GAQ4" s="109"/>
      <c r="GAR4" s="109"/>
      <c r="GAS4" s="109"/>
      <c r="GAT4" s="109"/>
      <c r="GAU4" s="109"/>
      <c r="GAV4" s="109"/>
      <c r="GAW4" s="109"/>
      <c r="GAX4" s="109"/>
      <c r="GAY4" s="109"/>
      <c r="GAZ4" s="109"/>
      <c r="GBA4" s="109"/>
      <c r="GBB4" s="109"/>
      <c r="GBC4" s="109"/>
      <c r="GBD4" s="109"/>
      <c r="GBE4" s="109"/>
      <c r="GBF4" s="109"/>
      <c r="GBG4" s="109"/>
      <c r="GBH4" s="109"/>
      <c r="GBI4" s="109"/>
      <c r="GBJ4" s="109"/>
      <c r="GBK4" s="109"/>
      <c r="GBL4" s="109"/>
      <c r="GBM4" s="109"/>
      <c r="GBN4" s="109"/>
      <c r="GBO4" s="109"/>
      <c r="GBP4" s="109"/>
      <c r="GBQ4" s="109"/>
      <c r="GBR4" s="109"/>
      <c r="GBS4" s="109"/>
      <c r="GBT4" s="109"/>
      <c r="GBU4" s="109"/>
      <c r="GBV4" s="109"/>
      <c r="GBW4" s="109"/>
      <c r="GBX4" s="109"/>
      <c r="GBY4" s="109"/>
      <c r="GBZ4" s="109"/>
      <c r="GCA4" s="109"/>
      <c r="GCB4" s="109"/>
      <c r="GCC4" s="109"/>
      <c r="GCD4" s="109"/>
      <c r="GCE4" s="109"/>
      <c r="GCF4" s="109"/>
      <c r="GCG4" s="109"/>
      <c r="GCH4" s="109"/>
      <c r="GCI4" s="109"/>
      <c r="GCJ4" s="109"/>
      <c r="GCK4" s="109"/>
      <c r="GCL4" s="109"/>
      <c r="GCM4" s="109"/>
      <c r="GCN4" s="109"/>
      <c r="GCO4" s="109"/>
      <c r="GCP4" s="109"/>
      <c r="GCQ4" s="109"/>
      <c r="GCR4" s="109"/>
      <c r="GCS4" s="109"/>
      <c r="GCT4" s="109"/>
      <c r="GCU4" s="109"/>
      <c r="GCV4" s="109"/>
      <c r="GCW4" s="109"/>
      <c r="GCX4" s="109"/>
      <c r="GCY4" s="109"/>
      <c r="GCZ4" s="109"/>
      <c r="GDA4" s="109"/>
      <c r="GDB4" s="109"/>
      <c r="GDC4" s="109"/>
      <c r="GDD4" s="109"/>
      <c r="GDE4" s="109"/>
      <c r="GDF4" s="109"/>
      <c r="GDG4" s="109"/>
      <c r="GDH4" s="109"/>
      <c r="GDI4" s="109"/>
      <c r="GDJ4" s="109"/>
      <c r="GDK4" s="109"/>
      <c r="GDL4" s="109"/>
      <c r="GDM4" s="109"/>
      <c r="GDN4" s="109"/>
      <c r="GDO4" s="109"/>
      <c r="GDP4" s="109"/>
      <c r="GDQ4" s="109"/>
      <c r="GDR4" s="109"/>
      <c r="GDS4" s="109"/>
      <c r="GDT4" s="109"/>
      <c r="GDU4" s="109"/>
      <c r="GDV4" s="109"/>
      <c r="GDW4" s="109"/>
      <c r="GDX4" s="109"/>
      <c r="GDY4" s="109"/>
      <c r="GDZ4" s="109"/>
      <c r="GEA4" s="109"/>
      <c r="GEB4" s="109"/>
      <c r="GEC4" s="109"/>
      <c r="GED4" s="109"/>
      <c r="GEE4" s="109"/>
      <c r="GEF4" s="109"/>
      <c r="GEG4" s="109"/>
      <c r="GEH4" s="109"/>
      <c r="GEI4" s="109"/>
      <c r="GEJ4" s="109"/>
      <c r="GEK4" s="109"/>
      <c r="GEL4" s="109"/>
      <c r="GEM4" s="109"/>
      <c r="GEN4" s="109"/>
      <c r="GEO4" s="109"/>
      <c r="GEP4" s="109"/>
      <c r="GEQ4" s="109"/>
      <c r="GER4" s="109"/>
      <c r="GES4" s="109"/>
      <c r="GET4" s="109"/>
      <c r="GEU4" s="109"/>
      <c r="GEV4" s="109"/>
      <c r="GEW4" s="109"/>
      <c r="GEX4" s="109"/>
      <c r="GEY4" s="109"/>
      <c r="GEZ4" s="109"/>
      <c r="GFA4" s="109"/>
      <c r="GFB4" s="109"/>
      <c r="GFC4" s="109"/>
      <c r="GFD4" s="109"/>
      <c r="GFE4" s="109"/>
      <c r="GFF4" s="109"/>
      <c r="GFG4" s="109"/>
      <c r="GFH4" s="109"/>
      <c r="GFI4" s="109"/>
      <c r="GFJ4" s="109"/>
      <c r="GFK4" s="109"/>
      <c r="GFL4" s="109"/>
      <c r="GFM4" s="109"/>
      <c r="GFN4" s="109"/>
      <c r="GFO4" s="109"/>
      <c r="GFP4" s="109"/>
      <c r="GFQ4" s="109"/>
      <c r="GFR4" s="109"/>
      <c r="GFS4" s="109"/>
      <c r="GFT4" s="109"/>
      <c r="GFU4" s="109"/>
      <c r="GFV4" s="109"/>
      <c r="GFW4" s="109"/>
      <c r="GFX4" s="109"/>
      <c r="GFY4" s="109"/>
      <c r="GFZ4" s="109"/>
      <c r="GGA4" s="109"/>
      <c r="GGB4" s="109"/>
      <c r="GGC4" s="109"/>
      <c r="GGD4" s="109"/>
      <c r="GGE4" s="109"/>
      <c r="GGF4" s="109"/>
      <c r="GGG4" s="109"/>
      <c r="GGH4" s="109"/>
      <c r="GGI4" s="109"/>
      <c r="GGJ4" s="109"/>
      <c r="GGK4" s="109"/>
      <c r="GGL4" s="109"/>
      <c r="GGM4" s="109"/>
      <c r="GGN4" s="109"/>
      <c r="GGO4" s="109"/>
      <c r="GGP4" s="109"/>
      <c r="GGQ4" s="109"/>
      <c r="GGR4" s="109"/>
      <c r="GGS4" s="109"/>
      <c r="GGT4" s="109"/>
      <c r="GGU4" s="109"/>
      <c r="GGV4" s="109"/>
      <c r="GGW4" s="109"/>
      <c r="GGX4" s="109"/>
      <c r="GGY4" s="109"/>
      <c r="GGZ4" s="109"/>
      <c r="GHA4" s="109"/>
      <c r="GHB4" s="109"/>
      <c r="GHC4" s="109"/>
      <c r="GHD4" s="109"/>
      <c r="GHE4" s="109"/>
      <c r="GHF4" s="109"/>
      <c r="GHG4" s="109"/>
      <c r="GHH4" s="109"/>
      <c r="GHI4" s="109"/>
      <c r="GHJ4" s="109"/>
      <c r="GHK4" s="109"/>
      <c r="GHL4" s="109"/>
      <c r="GHM4" s="109"/>
      <c r="GHN4" s="109"/>
      <c r="GHO4" s="109"/>
      <c r="GHP4" s="109"/>
      <c r="GHQ4" s="109"/>
      <c r="GHR4" s="109"/>
      <c r="GHS4" s="109"/>
      <c r="GHT4" s="109"/>
      <c r="GHU4" s="109"/>
      <c r="GHV4" s="109"/>
      <c r="GHW4" s="109"/>
      <c r="GHX4" s="109"/>
      <c r="GHY4" s="109"/>
      <c r="GHZ4" s="109"/>
      <c r="GIA4" s="109"/>
      <c r="GIB4" s="109"/>
      <c r="GIC4" s="109"/>
      <c r="GID4" s="109"/>
      <c r="GIE4" s="109"/>
      <c r="GIF4" s="109"/>
      <c r="GIG4" s="109"/>
      <c r="GIH4" s="109"/>
      <c r="GII4" s="109"/>
      <c r="GIJ4" s="109"/>
      <c r="GIK4" s="109"/>
      <c r="GIL4" s="109"/>
      <c r="GIM4" s="109"/>
      <c r="GIN4" s="109"/>
      <c r="GIO4" s="109"/>
      <c r="GIP4" s="109"/>
      <c r="GIQ4" s="109"/>
      <c r="GIR4" s="109"/>
      <c r="GIS4" s="109"/>
      <c r="GIT4" s="109"/>
      <c r="GIU4" s="109"/>
      <c r="GIV4" s="109"/>
      <c r="GIW4" s="109"/>
      <c r="GIX4" s="109"/>
      <c r="GIY4" s="109"/>
      <c r="GIZ4" s="109"/>
      <c r="GJA4" s="109"/>
      <c r="GJB4" s="109"/>
      <c r="GJC4" s="109"/>
      <c r="GJD4" s="109"/>
      <c r="GJE4" s="109"/>
      <c r="GJF4" s="109"/>
      <c r="GJG4" s="109"/>
      <c r="GJH4" s="109"/>
      <c r="GJI4" s="109"/>
      <c r="GJJ4" s="109"/>
      <c r="GJK4" s="109"/>
      <c r="GJL4" s="109"/>
      <c r="GJM4" s="109"/>
      <c r="GJN4" s="109"/>
      <c r="GJO4" s="109"/>
      <c r="GJP4" s="109"/>
      <c r="GJQ4" s="109"/>
      <c r="GJR4" s="109"/>
      <c r="GJS4" s="109"/>
      <c r="GJT4" s="109"/>
      <c r="GJU4" s="109"/>
      <c r="GJV4" s="109"/>
      <c r="GJW4" s="109"/>
      <c r="GJX4" s="109"/>
      <c r="GJY4" s="109"/>
      <c r="GJZ4" s="109"/>
      <c r="GKA4" s="109"/>
      <c r="GKB4" s="109"/>
      <c r="GKC4" s="109"/>
      <c r="GKD4" s="109"/>
      <c r="GKE4" s="109"/>
      <c r="GKF4" s="109"/>
      <c r="GKG4" s="109"/>
      <c r="GKH4" s="109"/>
      <c r="GKI4" s="109"/>
      <c r="GKJ4" s="109"/>
      <c r="GKK4" s="109"/>
      <c r="GKL4" s="109"/>
      <c r="GKM4" s="109"/>
      <c r="GKN4" s="109"/>
      <c r="GKO4" s="109"/>
      <c r="GKP4" s="109"/>
      <c r="GKQ4" s="109"/>
      <c r="GKR4" s="109"/>
      <c r="GKS4" s="109"/>
      <c r="GKT4" s="109"/>
      <c r="GKU4" s="109"/>
      <c r="GKV4" s="109"/>
      <c r="GKW4" s="109"/>
      <c r="GKX4" s="109"/>
      <c r="GKY4" s="109"/>
      <c r="GKZ4" s="109"/>
      <c r="GLA4" s="109"/>
      <c r="GLB4" s="109"/>
      <c r="GLC4" s="109"/>
      <c r="GLD4" s="109"/>
      <c r="GLE4" s="109"/>
      <c r="GLF4" s="109"/>
      <c r="GLG4" s="109"/>
      <c r="GLH4" s="109"/>
      <c r="GLI4" s="109"/>
      <c r="GLJ4" s="109"/>
      <c r="GLK4" s="109"/>
      <c r="GLL4" s="109"/>
      <c r="GLM4" s="109"/>
      <c r="GLN4" s="109"/>
      <c r="GLO4" s="109"/>
      <c r="GLP4" s="109"/>
      <c r="GLQ4" s="109"/>
      <c r="GLR4" s="109"/>
      <c r="GLS4" s="109"/>
      <c r="GLT4" s="109"/>
      <c r="GLU4" s="109"/>
      <c r="GLV4" s="109"/>
      <c r="GLW4" s="109"/>
      <c r="GLX4" s="109"/>
      <c r="GLY4" s="109"/>
      <c r="GLZ4" s="109"/>
      <c r="GMA4" s="109"/>
      <c r="GMB4" s="109"/>
      <c r="GMC4" s="109"/>
      <c r="GMD4" s="109"/>
      <c r="GME4" s="109"/>
      <c r="GMF4" s="109"/>
      <c r="GMG4" s="109"/>
      <c r="GMH4" s="109"/>
      <c r="GMI4" s="109"/>
      <c r="GMJ4" s="109"/>
      <c r="GMK4" s="109"/>
      <c r="GML4" s="109"/>
      <c r="GMM4" s="109"/>
      <c r="GMN4" s="109"/>
      <c r="GMO4" s="109"/>
      <c r="GMP4" s="109"/>
      <c r="GMQ4" s="109"/>
      <c r="GMR4" s="109"/>
      <c r="GMS4" s="109"/>
      <c r="GMT4" s="109"/>
      <c r="GMU4" s="109"/>
      <c r="GMV4" s="109"/>
      <c r="GMW4" s="109"/>
      <c r="GMX4" s="109"/>
      <c r="GMY4" s="109"/>
      <c r="GMZ4" s="109"/>
      <c r="GNA4" s="109"/>
      <c r="GNB4" s="109"/>
      <c r="GNC4" s="109"/>
      <c r="GND4" s="109"/>
      <c r="GNE4" s="109"/>
      <c r="GNF4" s="109"/>
      <c r="GNG4" s="109"/>
      <c r="GNH4" s="109"/>
      <c r="GNI4" s="109"/>
      <c r="GNJ4" s="109"/>
      <c r="GNK4" s="109"/>
      <c r="GNL4" s="109"/>
      <c r="GNM4" s="109"/>
      <c r="GNN4" s="109"/>
      <c r="GNO4" s="109"/>
      <c r="GNP4" s="109"/>
      <c r="GNQ4" s="109"/>
      <c r="GNR4" s="109"/>
      <c r="GNS4" s="109"/>
      <c r="GNT4" s="109"/>
      <c r="GNU4" s="109"/>
      <c r="GNV4" s="109"/>
      <c r="GNW4" s="109"/>
      <c r="GNX4" s="109"/>
      <c r="GNY4" s="109"/>
      <c r="GNZ4" s="109"/>
      <c r="GOA4" s="109"/>
      <c r="GOB4" s="109"/>
      <c r="GOC4" s="109"/>
      <c r="GOD4" s="109"/>
      <c r="GOE4" s="109"/>
      <c r="GOF4" s="109"/>
      <c r="GOG4" s="109"/>
      <c r="GOH4" s="109"/>
      <c r="GOI4" s="109"/>
      <c r="GOJ4" s="109"/>
      <c r="GOK4" s="109"/>
      <c r="GOL4" s="109"/>
      <c r="GOM4" s="109"/>
      <c r="GON4" s="109"/>
      <c r="GOO4" s="109"/>
      <c r="GOP4" s="109"/>
      <c r="GOQ4" s="109"/>
      <c r="GOR4" s="109"/>
      <c r="GOS4" s="109"/>
      <c r="GOT4" s="109"/>
      <c r="GOU4" s="109"/>
      <c r="GOV4" s="109"/>
      <c r="GOW4" s="109"/>
      <c r="GOX4" s="109"/>
      <c r="GOY4" s="109"/>
      <c r="GOZ4" s="109"/>
      <c r="GPA4" s="109"/>
      <c r="GPB4" s="109"/>
      <c r="GPC4" s="109"/>
      <c r="GPD4" s="109"/>
      <c r="GPE4" s="109"/>
      <c r="GPF4" s="109"/>
      <c r="GPG4" s="109"/>
      <c r="GPH4" s="109"/>
      <c r="GPI4" s="109"/>
      <c r="GPJ4" s="109"/>
      <c r="GPK4" s="109"/>
      <c r="GPL4" s="109"/>
      <c r="GPM4" s="109"/>
      <c r="GPN4" s="109"/>
      <c r="GPO4" s="109"/>
      <c r="GPP4" s="109"/>
      <c r="GPQ4" s="109"/>
      <c r="GPR4" s="109"/>
      <c r="GPS4" s="109"/>
      <c r="GPT4" s="109"/>
      <c r="GPU4" s="109"/>
      <c r="GPV4" s="109"/>
      <c r="GPW4" s="109"/>
      <c r="GPX4" s="109"/>
      <c r="GPY4" s="109"/>
      <c r="GPZ4" s="109"/>
      <c r="GQA4" s="109"/>
      <c r="GQB4" s="109"/>
      <c r="GQC4" s="109"/>
      <c r="GQD4" s="109"/>
      <c r="GQE4" s="109"/>
      <c r="GQF4" s="109"/>
      <c r="GQG4" s="109"/>
      <c r="GQH4" s="109"/>
      <c r="GQI4" s="109"/>
      <c r="GQJ4" s="109"/>
      <c r="GQK4" s="109"/>
      <c r="GQL4" s="109"/>
      <c r="GQM4" s="109"/>
      <c r="GQN4" s="109"/>
      <c r="GQO4" s="109"/>
      <c r="GQP4" s="109"/>
      <c r="GQQ4" s="109"/>
      <c r="GQR4" s="109"/>
      <c r="GQS4" s="109"/>
      <c r="GQT4" s="109"/>
      <c r="GQU4" s="109"/>
      <c r="GQV4" s="109"/>
      <c r="GQW4" s="109"/>
      <c r="GQX4" s="109"/>
      <c r="GQY4" s="109"/>
      <c r="GQZ4" s="109"/>
      <c r="GRA4" s="109"/>
      <c r="GRB4" s="109"/>
      <c r="GRC4" s="109"/>
      <c r="GRD4" s="109"/>
      <c r="GRE4" s="109"/>
      <c r="GRF4" s="109"/>
      <c r="GRG4" s="109"/>
      <c r="GRH4" s="109"/>
      <c r="GRI4" s="109"/>
      <c r="GRJ4" s="109"/>
      <c r="GRK4" s="109"/>
      <c r="GRL4" s="109"/>
      <c r="GRM4" s="109"/>
      <c r="GRN4" s="109"/>
      <c r="GRO4" s="109"/>
      <c r="GRP4" s="109"/>
      <c r="GRQ4" s="109"/>
      <c r="GRR4" s="109"/>
      <c r="GRS4" s="109"/>
      <c r="GRT4" s="109"/>
      <c r="GRU4" s="109"/>
      <c r="GRV4" s="109"/>
      <c r="GRW4" s="109"/>
      <c r="GRX4" s="109"/>
      <c r="GRY4" s="109"/>
      <c r="GRZ4" s="109"/>
      <c r="GSA4" s="109"/>
      <c r="GSB4" s="109"/>
      <c r="GSC4" s="109"/>
      <c r="GSD4" s="109"/>
      <c r="GSE4" s="109"/>
      <c r="GSF4" s="109"/>
      <c r="GSG4" s="109"/>
      <c r="GSH4" s="109"/>
      <c r="GSI4" s="109"/>
      <c r="GSJ4" s="109"/>
      <c r="GSK4" s="109"/>
      <c r="GSL4" s="109"/>
      <c r="GSM4" s="109"/>
      <c r="GSN4" s="109"/>
      <c r="GSO4" s="109"/>
      <c r="GSP4" s="109"/>
      <c r="GSQ4" s="109"/>
      <c r="GSR4" s="109"/>
      <c r="GSS4" s="109"/>
      <c r="GST4" s="109"/>
      <c r="GSU4" s="109"/>
      <c r="GSV4" s="109"/>
      <c r="GSW4" s="109"/>
      <c r="GSX4" s="109"/>
      <c r="GSY4" s="109"/>
      <c r="GSZ4" s="109"/>
      <c r="GTA4" s="109"/>
      <c r="GTB4" s="109"/>
      <c r="GTC4" s="109"/>
      <c r="GTD4" s="109"/>
      <c r="GTE4" s="109"/>
      <c r="GTF4" s="109"/>
      <c r="GTG4" s="109"/>
      <c r="GTH4" s="109"/>
      <c r="GTI4" s="109"/>
      <c r="GTJ4" s="109"/>
      <c r="GTK4" s="109"/>
      <c r="GTL4" s="109"/>
      <c r="GTM4" s="109"/>
      <c r="GTN4" s="109"/>
      <c r="GTO4" s="109"/>
      <c r="GTP4" s="109"/>
      <c r="GTQ4" s="109"/>
      <c r="GTR4" s="109"/>
      <c r="GTS4" s="109"/>
      <c r="GTT4" s="109"/>
      <c r="GTU4" s="109"/>
      <c r="GTV4" s="109"/>
      <c r="GTW4" s="109"/>
      <c r="GTX4" s="109"/>
      <c r="GTY4" s="109"/>
      <c r="GTZ4" s="109"/>
      <c r="GUA4" s="109"/>
      <c r="GUB4" s="109"/>
      <c r="GUC4" s="109"/>
      <c r="GUD4" s="109"/>
      <c r="GUE4" s="109"/>
      <c r="GUF4" s="109"/>
      <c r="GUG4" s="109"/>
      <c r="GUH4" s="109"/>
      <c r="GUI4" s="109"/>
      <c r="GUJ4" s="109"/>
      <c r="GUK4" s="109"/>
      <c r="GUL4" s="109"/>
      <c r="GUM4" s="109"/>
      <c r="GUN4" s="109"/>
      <c r="GUO4" s="109"/>
      <c r="GUP4" s="109"/>
      <c r="GUQ4" s="109"/>
      <c r="GUR4" s="109"/>
      <c r="GUS4" s="109"/>
      <c r="GUT4" s="109"/>
      <c r="GUU4" s="109"/>
      <c r="GUV4" s="109"/>
      <c r="GUW4" s="109"/>
      <c r="GUX4" s="109"/>
      <c r="GUY4" s="109"/>
      <c r="GUZ4" s="109"/>
      <c r="GVA4" s="109"/>
      <c r="GVB4" s="109"/>
      <c r="GVC4" s="109"/>
      <c r="GVD4" s="109"/>
      <c r="GVE4" s="109"/>
      <c r="GVF4" s="109"/>
      <c r="GVG4" s="109"/>
      <c r="GVH4" s="109"/>
      <c r="GVI4" s="109"/>
      <c r="GVJ4" s="109"/>
      <c r="GVK4" s="109"/>
      <c r="GVL4" s="109"/>
      <c r="GVM4" s="109"/>
      <c r="GVN4" s="109"/>
      <c r="GVO4" s="109"/>
      <c r="GVP4" s="109"/>
      <c r="GVQ4" s="109"/>
      <c r="GVR4" s="109"/>
      <c r="GVS4" s="109"/>
      <c r="GVT4" s="109"/>
      <c r="GVU4" s="109"/>
      <c r="GVV4" s="109"/>
      <c r="GVW4" s="109"/>
      <c r="GVX4" s="109"/>
      <c r="GVY4" s="109"/>
      <c r="GVZ4" s="109"/>
      <c r="GWA4" s="109"/>
      <c r="GWB4" s="109"/>
      <c r="GWC4" s="109"/>
      <c r="GWD4" s="109"/>
      <c r="GWE4" s="109"/>
      <c r="GWF4" s="109"/>
      <c r="GWG4" s="109"/>
      <c r="GWH4" s="109"/>
      <c r="GWI4" s="109"/>
      <c r="GWJ4" s="109"/>
      <c r="GWK4" s="109"/>
      <c r="GWL4" s="109"/>
      <c r="GWM4" s="109"/>
      <c r="GWN4" s="109"/>
      <c r="GWO4" s="109"/>
      <c r="GWP4" s="109"/>
      <c r="GWQ4" s="109"/>
      <c r="GWR4" s="109"/>
      <c r="GWS4" s="109"/>
      <c r="GWT4" s="109"/>
      <c r="GWU4" s="109"/>
      <c r="GWV4" s="109"/>
      <c r="GWW4" s="109"/>
      <c r="GWX4" s="109"/>
      <c r="GWY4" s="109"/>
      <c r="GWZ4" s="109"/>
      <c r="GXA4" s="109"/>
      <c r="GXB4" s="109"/>
      <c r="GXC4" s="109"/>
      <c r="GXD4" s="109"/>
      <c r="GXE4" s="109"/>
      <c r="GXF4" s="109"/>
      <c r="GXG4" s="109"/>
      <c r="GXH4" s="109"/>
      <c r="GXI4" s="109"/>
      <c r="GXJ4" s="109"/>
      <c r="GXK4" s="109"/>
      <c r="GXL4" s="109"/>
      <c r="GXM4" s="109"/>
      <c r="GXN4" s="109"/>
      <c r="GXO4" s="109"/>
      <c r="GXP4" s="109"/>
      <c r="GXQ4" s="109"/>
      <c r="GXR4" s="109"/>
      <c r="GXS4" s="109"/>
      <c r="GXT4" s="109"/>
      <c r="GXU4" s="109"/>
      <c r="GXV4" s="109"/>
      <c r="GXW4" s="109"/>
      <c r="GXX4" s="109"/>
      <c r="GXY4" s="109"/>
      <c r="GXZ4" s="109"/>
      <c r="GYA4" s="109"/>
      <c r="GYB4" s="109"/>
      <c r="GYC4" s="109"/>
      <c r="GYD4" s="109"/>
      <c r="GYE4" s="109"/>
      <c r="GYF4" s="109"/>
      <c r="GYG4" s="109"/>
      <c r="GYH4" s="109"/>
      <c r="GYI4" s="109"/>
      <c r="GYJ4" s="109"/>
      <c r="GYK4" s="109"/>
      <c r="GYL4" s="109"/>
      <c r="GYM4" s="109"/>
      <c r="GYN4" s="109"/>
      <c r="GYO4" s="109"/>
      <c r="GYP4" s="109"/>
      <c r="GYQ4" s="109"/>
      <c r="GYR4" s="109"/>
      <c r="GYS4" s="109"/>
      <c r="GYT4" s="109"/>
      <c r="GYU4" s="109"/>
      <c r="GYV4" s="109"/>
      <c r="GYW4" s="109"/>
      <c r="GYX4" s="109"/>
      <c r="GYY4" s="109"/>
      <c r="GYZ4" s="109"/>
      <c r="GZA4" s="109"/>
      <c r="GZB4" s="109"/>
      <c r="GZC4" s="109"/>
      <c r="GZD4" s="109"/>
      <c r="GZE4" s="109"/>
      <c r="GZF4" s="109"/>
      <c r="GZG4" s="109"/>
      <c r="GZH4" s="109"/>
      <c r="GZI4" s="109"/>
      <c r="GZJ4" s="109"/>
      <c r="GZK4" s="109"/>
      <c r="GZL4" s="109"/>
      <c r="GZM4" s="109"/>
      <c r="GZN4" s="109"/>
      <c r="GZO4" s="109"/>
      <c r="GZP4" s="109"/>
      <c r="GZQ4" s="109"/>
      <c r="GZR4" s="109"/>
      <c r="GZS4" s="109"/>
      <c r="GZT4" s="109"/>
      <c r="GZU4" s="109"/>
      <c r="GZV4" s="109"/>
      <c r="GZW4" s="109"/>
      <c r="GZX4" s="109"/>
      <c r="GZY4" s="109"/>
      <c r="GZZ4" s="109"/>
      <c r="HAA4" s="109"/>
      <c r="HAB4" s="109"/>
      <c r="HAC4" s="109"/>
      <c r="HAD4" s="109"/>
      <c r="HAE4" s="109"/>
      <c r="HAF4" s="109"/>
      <c r="HAG4" s="109"/>
      <c r="HAH4" s="109"/>
      <c r="HAI4" s="109"/>
      <c r="HAJ4" s="109"/>
      <c r="HAK4" s="109"/>
      <c r="HAL4" s="109"/>
      <c r="HAM4" s="109"/>
      <c r="HAN4" s="109"/>
      <c r="HAO4" s="109"/>
      <c r="HAP4" s="109"/>
      <c r="HAQ4" s="109"/>
      <c r="HAR4" s="109"/>
      <c r="HAS4" s="109"/>
      <c r="HAT4" s="109"/>
      <c r="HAU4" s="109"/>
      <c r="HAV4" s="109"/>
      <c r="HAW4" s="109"/>
      <c r="HAX4" s="109"/>
      <c r="HAY4" s="109"/>
      <c r="HAZ4" s="109"/>
      <c r="HBA4" s="109"/>
      <c r="HBB4" s="109"/>
      <c r="HBC4" s="109"/>
      <c r="HBD4" s="109"/>
      <c r="HBE4" s="109"/>
      <c r="HBF4" s="109"/>
      <c r="HBG4" s="109"/>
      <c r="HBH4" s="109"/>
      <c r="HBI4" s="109"/>
      <c r="HBJ4" s="109"/>
      <c r="HBK4" s="109"/>
      <c r="HBL4" s="109"/>
      <c r="HBM4" s="109"/>
      <c r="HBN4" s="109"/>
      <c r="HBO4" s="109"/>
      <c r="HBP4" s="109"/>
      <c r="HBQ4" s="109"/>
      <c r="HBR4" s="109"/>
      <c r="HBS4" s="109"/>
      <c r="HBT4" s="109"/>
      <c r="HBU4" s="109"/>
      <c r="HBV4" s="109"/>
      <c r="HBW4" s="109"/>
      <c r="HBX4" s="109"/>
      <c r="HBY4" s="109"/>
      <c r="HBZ4" s="109"/>
      <c r="HCA4" s="109"/>
      <c r="HCB4" s="109"/>
      <c r="HCC4" s="109"/>
      <c r="HCD4" s="109"/>
      <c r="HCE4" s="109"/>
      <c r="HCF4" s="109"/>
      <c r="HCG4" s="109"/>
      <c r="HCH4" s="109"/>
      <c r="HCI4" s="109"/>
      <c r="HCJ4" s="109"/>
      <c r="HCK4" s="109"/>
      <c r="HCL4" s="109"/>
      <c r="HCM4" s="109"/>
      <c r="HCN4" s="109"/>
      <c r="HCO4" s="109"/>
      <c r="HCP4" s="109"/>
      <c r="HCQ4" s="109"/>
      <c r="HCR4" s="109"/>
      <c r="HCS4" s="109"/>
      <c r="HCT4" s="109"/>
      <c r="HCU4" s="109"/>
      <c r="HCV4" s="109"/>
      <c r="HCW4" s="109"/>
      <c r="HCX4" s="109"/>
      <c r="HCY4" s="109"/>
      <c r="HCZ4" s="109"/>
      <c r="HDA4" s="109"/>
      <c r="HDB4" s="109"/>
      <c r="HDC4" s="109"/>
      <c r="HDD4" s="109"/>
      <c r="HDE4" s="109"/>
      <c r="HDF4" s="109"/>
      <c r="HDG4" s="109"/>
      <c r="HDH4" s="109"/>
      <c r="HDI4" s="109"/>
      <c r="HDJ4" s="109"/>
      <c r="HDK4" s="109"/>
      <c r="HDL4" s="109"/>
      <c r="HDM4" s="109"/>
      <c r="HDN4" s="109"/>
      <c r="HDO4" s="109"/>
      <c r="HDP4" s="109"/>
      <c r="HDQ4" s="109"/>
      <c r="HDR4" s="109"/>
      <c r="HDS4" s="109"/>
      <c r="HDT4" s="109"/>
      <c r="HDU4" s="109"/>
      <c r="HDV4" s="109"/>
      <c r="HDW4" s="109"/>
      <c r="HDX4" s="109"/>
      <c r="HDY4" s="109"/>
      <c r="HDZ4" s="109"/>
      <c r="HEA4" s="109"/>
      <c r="HEB4" s="109"/>
      <c r="HEC4" s="109"/>
      <c r="HED4" s="109"/>
      <c r="HEE4" s="109"/>
      <c r="HEF4" s="109"/>
      <c r="HEG4" s="109"/>
      <c r="HEH4" s="109"/>
      <c r="HEI4" s="109"/>
      <c r="HEJ4" s="109"/>
      <c r="HEK4" s="109"/>
      <c r="HEL4" s="109"/>
      <c r="HEM4" s="109"/>
      <c r="HEN4" s="109"/>
      <c r="HEO4" s="109"/>
      <c r="HEP4" s="109"/>
      <c r="HEQ4" s="109"/>
      <c r="HER4" s="109"/>
      <c r="HES4" s="109"/>
      <c r="HET4" s="109"/>
      <c r="HEU4" s="109"/>
      <c r="HEV4" s="109"/>
      <c r="HEW4" s="109"/>
      <c r="HEX4" s="109"/>
      <c r="HEY4" s="109"/>
      <c r="HEZ4" s="109"/>
      <c r="HFA4" s="109"/>
      <c r="HFB4" s="109"/>
      <c r="HFC4" s="109"/>
      <c r="HFD4" s="109"/>
      <c r="HFE4" s="109"/>
      <c r="HFF4" s="109"/>
      <c r="HFG4" s="109"/>
      <c r="HFH4" s="109"/>
      <c r="HFI4" s="109"/>
      <c r="HFJ4" s="109"/>
      <c r="HFK4" s="109"/>
      <c r="HFL4" s="109"/>
      <c r="HFM4" s="109"/>
      <c r="HFN4" s="109"/>
      <c r="HFO4" s="109"/>
      <c r="HFP4" s="109"/>
      <c r="HFQ4" s="109"/>
      <c r="HFR4" s="109"/>
      <c r="HFS4" s="109"/>
      <c r="HFT4" s="109"/>
      <c r="HFU4" s="109"/>
      <c r="HFV4" s="109"/>
      <c r="HFW4" s="109"/>
      <c r="HFX4" s="109"/>
      <c r="HFY4" s="109"/>
      <c r="HFZ4" s="109"/>
      <c r="HGA4" s="109"/>
      <c r="HGB4" s="109"/>
      <c r="HGC4" s="109"/>
      <c r="HGD4" s="109"/>
      <c r="HGE4" s="109"/>
      <c r="HGF4" s="109"/>
      <c r="HGG4" s="109"/>
      <c r="HGH4" s="109"/>
      <c r="HGI4" s="109"/>
      <c r="HGJ4" s="109"/>
      <c r="HGK4" s="109"/>
      <c r="HGL4" s="109"/>
      <c r="HGM4" s="109"/>
      <c r="HGN4" s="109"/>
      <c r="HGO4" s="109"/>
      <c r="HGP4" s="109"/>
      <c r="HGQ4" s="109"/>
      <c r="HGR4" s="109"/>
      <c r="HGS4" s="109"/>
      <c r="HGT4" s="109"/>
      <c r="HGU4" s="109"/>
      <c r="HGV4" s="109"/>
      <c r="HGW4" s="109"/>
      <c r="HGX4" s="109"/>
      <c r="HGY4" s="109"/>
      <c r="HGZ4" s="109"/>
      <c r="HHA4" s="109"/>
      <c r="HHB4" s="109"/>
      <c r="HHC4" s="109"/>
      <c r="HHD4" s="109"/>
      <c r="HHE4" s="109"/>
      <c r="HHF4" s="109"/>
      <c r="HHG4" s="109"/>
      <c r="HHH4" s="109"/>
      <c r="HHI4" s="109"/>
      <c r="HHJ4" s="109"/>
      <c r="HHK4" s="109"/>
      <c r="HHL4" s="109"/>
      <c r="HHM4" s="109"/>
      <c r="HHN4" s="109"/>
      <c r="HHO4" s="109"/>
      <c r="HHP4" s="109"/>
      <c r="HHQ4" s="109"/>
      <c r="HHR4" s="109"/>
      <c r="HHS4" s="109"/>
      <c r="HHT4" s="109"/>
      <c r="HHU4" s="109"/>
      <c r="HHV4" s="109"/>
      <c r="HHW4" s="109"/>
      <c r="HHX4" s="109"/>
      <c r="HHY4" s="109"/>
      <c r="HHZ4" s="109"/>
      <c r="HIA4" s="109"/>
      <c r="HIB4" s="109"/>
      <c r="HIC4" s="109"/>
      <c r="HID4" s="109"/>
      <c r="HIE4" s="109"/>
      <c r="HIF4" s="109"/>
      <c r="HIG4" s="109"/>
      <c r="HIH4" s="109"/>
      <c r="HII4" s="109"/>
      <c r="HIJ4" s="109"/>
      <c r="HIK4" s="109"/>
      <c r="HIL4" s="109"/>
      <c r="HIM4" s="109"/>
      <c r="HIN4" s="109"/>
      <c r="HIO4" s="109"/>
      <c r="HIP4" s="109"/>
      <c r="HIQ4" s="109"/>
      <c r="HIR4" s="109"/>
      <c r="HIS4" s="109"/>
      <c r="HIT4" s="109"/>
      <c r="HIU4" s="109"/>
      <c r="HIV4" s="109"/>
      <c r="HIW4" s="109"/>
      <c r="HIX4" s="109"/>
      <c r="HIY4" s="109"/>
      <c r="HIZ4" s="109"/>
      <c r="HJA4" s="109"/>
      <c r="HJB4" s="109"/>
      <c r="HJC4" s="109"/>
      <c r="HJD4" s="109"/>
      <c r="HJE4" s="109"/>
      <c r="HJF4" s="109"/>
      <c r="HJG4" s="109"/>
      <c r="HJH4" s="109"/>
      <c r="HJI4" s="109"/>
      <c r="HJJ4" s="109"/>
      <c r="HJK4" s="109"/>
      <c r="HJL4" s="109"/>
      <c r="HJM4" s="109"/>
      <c r="HJN4" s="109"/>
      <c r="HJO4" s="109"/>
      <c r="HJP4" s="109"/>
      <c r="HJQ4" s="109"/>
      <c r="HJR4" s="109"/>
      <c r="HJS4" s="109"/>
      <c r="HJT4" s="109"/>
      <c r="HJU4" s="109"/>
      <c r="HJV4" s="109"/>
      <c r="HJW4" s="109"/>
      <c r="HJX4" s="109"/>
      <c r="HJY4" s="109"/>
      <c r="HJZ4" s="109"/>
      <c r="HKA4" s="109"/>
      <c r="HKB4" s="109"/>
      <c r="HKC4" s="109"/>
      <c r="HKD4" s="109"/>
      <c r="HKE4" s="109"/>
      <c r="HKF4" s="109"/>
      <c r="HKG4" s="109"/>
      <c r="HKH4" s="109"/>
      <c r="HKI4" s="109"/>
      <c r="HKJ4" s="109"/>
      <c r="HKK4" s="109"/>
      <c r="HKL4" s="109"/>
      <c r="HKM4" s="109"/>
      <c r="HKN4" s="109"/>
      <c r="HKO4" s="109"/>
      <c r="HKP4" s="109"/>
      <c r="HKQ4" s="109"/>
      <c r="HKR4" s="109"/>
      <c r="HKS4" s="109"/>
      <c r="HKT4" s="109"/>
      <c r="HKU4" s="109"/>
      <c r="HKV4" s="109"/>
      <c r="HKW4" s="109"/>
      <c r="HKX4" s="109"/>
      <c r="HKY4" s="109"/>
      <c r="HKZ4" s="109"/>
      <c r="HLA4" s="109"/>
      <c r="HLB4" s="109"/>
      <c r="HLC4" s="109"/>
      <c r="HLD4" s="109"/>
      <c r="HLE4" s="109"/>
      <c r="HLF4" s="109"/>
      <c r="HLG4" s="109"/>
      <c r="HLH4" s="109"/>
      <c r="HLI4" s="109"/>
      <c r="HLJ4" s="109"/>
      <c r="HLK4" s="109"/>
      <c r="HLL4" s="109"/>
      <c r="HLM4" s="109"/>
      <c r="HLN4" s="109"/>
      <c r="HLO4" s="109"/>
      <c r="HLP4" s="109"/>
      <c r="HLQ4" s="109"/>
      <c r="HLR4" s="109"/>
      <c r="HLS4" s="109"/>
      <c r="HLT4" s="109"/>
      <c r="HLU4" s="109"/>
      <c r="HLV4" s="109"/>
      <c r="HLW4" s="109"/>
      <c r="HLX4" s="109"/>
      <c r="HLY4" s="109"/>
      <c r="HLZ4" s="109"/>
      <c r="HMA4" s="109"/>
      <c r="HMB4" s="109"/>
      <c r="HMC4" s="109"/>
      <c r="HMD4" s="109"/>
      <c r="HME4" s="109"/>
      <c r="HMF4" s="109"/>
      <c r="HMG4" s="109"/>
      <c r="HMH4" s="109"/>
      <c r="HMI4" s="109"/>
      <c r="HMJ4" s="109"/>
      <c r="HMK4" s="109"/>
      <c r="HML4" s="109"/>
      <c r="HMM4" s="109"/>
      <c r="HMN4" s="109"/>
      <c r="HMO4" s="109"/>
      <c r="HMP4" s="109"/>
      <c r="HMQ4" s="109"/>
      <c r="HMR4" s="109"/>
      <c r="HMS4" s="109"/>
      <c r="HMT4" s="109"/>
      <c r="HMU4" s="109"/>
      <c r="HMV4" s="109"/>
      <c r="HMW4" s="109"/>
      <c r="HMX4" s="109"/>
      <c r="HMY4" s="109"/>
      <c r="HMZ4" s="109"/>
      <c r="HNA4" s="109"/>
      <c r="HNB4" s="109"/>
      <c r="HNC4" s="109"/>
      <c r="HND4" s="109"/>
      <c r="HNE4" s="109"/>
      <c r="HNF4" s="109"/>
      <c r="HNG4" s="109"/>
      <c r="HNH4" s="109"/>
      <c r="HNI4" s="109"/>
      <c r="HNJ4" s="109"/>
      <c r="HNK4" s="109"/>
      <c r="HNL4" s="109"/>
      <c r="HNM4" s="109"/>
      <c r="HNN4" s="109"/>
      <c r="HNO4" s="109"/>
      <c r="HNP4" s="109"/>
      <c r="HNQ4" s="109"/>
      <c r="HNR4" s="109"/>
      <c r="HNS4" s="109"/>
      <c r="HNT4" s="109"/>
      <c r="HNU4" s="109"/>
      <c r="HNV4" s="109"/>
      <c r="HNW4" s="109"/>
      <c r="HNX4" s="109"/>
      <c r="HNY4" s="109"/>
      <c r="HNZ4" s="109"/>
      <c r="HOA4" s="109"/>
      <c r="HOB4" s="109"/>
      <c r="HOC4" s="109"/>
      <c r="HOD4" s="109"/>
      <c r="HOE4" s="109"/>
      <c r="HOF4" s="109"/>
      <c r="HOG4" s="109"/>
      <c r="HOH4" s="109"/>
      <c r="HOI4" s="109"/>
      <c r="HOJ4" s="109"/>
      <c r="HOK4" s="109"/>
      <c r="HOL4" s="109"/>
      <c r="HOM4" s="109"/>
      <c r="HON4" s="109"/>
      <c r="HOO4" s="109"/>
      <c r="HOP4" s="109"/>
      <c r="HOQ4" s="109"/>
      <c r="HOR4" s="109"/>
      <c r="HOS4" s="109"/>
      <c r="HOT4" s="109"/>
      <c r="HOU4" s="109"/>
      <c r="HOV4" s="109"/>
      <c r="HOW4" s="109"/>
      <c r="HOX4" s="109"/>
      <c r="HOY4" s="109"/>
      <c r="HOZ4" s="109"/>
      <c r="HPA4" s="109"/>
      <c r="HPB4" s="109"/>
      <c r="HPC4" s="109"/>
      <c r="HPD4" s="109"/>
      <c r="HPE4" s="109"/>
      <c r="HPF4" s="109"/>
      <c r="HPG4" s="109"/>
      <c r="HPH4" s="109"/>
      <c r="HPI4" s="109"/>
      <c r="HPJ4" s="109"/>
      <c r="HPK4" s="109"/>
      <c r="HPL4" s="109"/>
      <c r="HPM4" s="109"/>
      <c r="HPN4" s="109"/>
      <c r="HPO4" s="109"/>
      <c r="HPP4" s="109"/>
      <c r="HPQ4" s="109"/>
      <c r="HPR4" s="109"/>
      <c r="HPS4" s="109"/>
      <c r="HPT4" s="109"/>
      <c r="HPU4" s="109"/>
      <c r="HPV4" s="109"/>
      <c r="HPW4" s="109"/>
      <c r="HPX4" s="109"/>
      <c r="HPY4" s="109"/>
      <c r="HPZ4" s="109"/>
      <c r="HQA4" s="109"/>
      <c r="HQB4" s="109"/>
      <c r="HQC4" s="109"/>
      <c r="HQD4" s="109"/>
      <c r="HQE4" s="109"/>
      <c r="HQF4" s="109"/>
      <c r="HQG4" s="109"/>
      <c r="HQH4" s="109"/>
      <c r="HQI4" s="109"/>
      <c r="HQJ4" s="109"/>
      <c r="HQK4" s="109"/>
      <c r="HQL4" s="109"/>
      <c r="HQM4" s="109"/>
      <c r="HQN4" s="109"/>
      <c r="HQO4" s="109"/>
      <c r="HQP4" s="109"/>
      <c r="HQQ4" s="109"/>
      <c r="HQR4" s="109"/>
      <c r="HQS4" s="109"/>
      <c r="HQT4" s="109"/>
      <c r="HQU4" s="109"/>
      <c r="HQV4" s="109"/>
      <c r="HQW4" s="109"/>
      <c r="HQX4" s="109"/>
      <c r="HQY4" s="109"/>
      <c r="HQZ4" s="109"/>
      <c r="HRA4" s="109"/>
      <c r="HRB4" s="109"/>
      <c r="HRC4" s="109"/>
      <c r="HRD4" s="109"/>
      <c r="HRE4" s="109"/>
      <c r="HRF4" s="109"/>
      <c r="HRG4" s="109"/>
      <c r="HRH4" s="109"/>
      <c r="HRI4" s="109"/>
      <c r="HRJ4" s="109"/>
      <c r="HRK4" s="109"/>
      <c r="HRL4" s="109"/>
      <c r="HRM4" s="109"/>
      <c r="HRN4" s="109"/>
      <c r="HRO4" s="109"/>
      <c r="HRP4" s="109"/>
      <c r="HRQ4" s="109"/>
      <c r="HRR4" s="109"/>
      <c r="HRS4" s="109"/>
      <c r="HRT4" s="109"/>
      <c r="HRU4" s="109"/>
      <c r="HRV4" s="109"/>
      <c r="HRW4" s="109"/>
      <c r="HRX4" s="109"/>
      <c r="HRY4" s="109"/>
      <c r="HRZ4" s="109"/>
      <c r="HSA4" s="109"/>
      <c r="HSB4" s="109"/>
      <c r="HSC4" s="109"/>
      <c r="HSD4" s="109"/>
      <c r="HSE4" s="109"/>
      <c r="HSF4" s="109"/>
      <c r="HSG4" s="109"/>
      <c r="HSH4" s="109"/>
      <c r="HSI4" s="109"/>
      <c r="HSJ4" s="109"/>
      <c r="HSK4" s="109"/>
      <c r="HSL4" s="109"/>
      <c r="HSM4" s="109"/>
      <c r="HSN4" s="109"/>
      <c r="HSO4" s="109"/>
      <c r="HSP4" s="109"/>
      <c r="HSQ4" s="109"/>
      <c r="HSR4" s="109"/>
      <c r="HSS4" s="109"/>
      <c r="HST4" s="109"/>
      <c r="HSU4" s="109"/>
      <c r="HSV4" s="109"/>
      <c r="HSW4" s="109"/>
      <c r="HSX4" s="109"/>
      <c r="HSY4" s="109"/>
      <c r="HSZ4" s="109"/>
      <c r="HTA4" s="109"/>
      <c r="HTB4" s="109"/>
      <c r="HTC4" s="109"/>
      <c r="HTD4" s="109"/>
      <c r="HTE4" s="109"/>
      <c r="HTF4" s="109"/>
      <c r="HTG4" s="109"/>
      <c r="HTH4" s="109"/>
      <c r="HTI4" s="109"/>
      <c r="HTJ4" s="109"/>
      <c r="HTK4" s="109"/>
      <c r="HTL4" s="109"/>
      <c r="HTM4" s="109"/>
      <c r="HTN4" s="109"/>
      <c r="HTO4" s="109"/>
      <c r="HTP4" s="109"/>
      <c r="HTQ4" s="109"/>
      <c r="HTR4" s="109"/>
      <c r="HTS4" s="109"/>
      <c r="HTT4" s="109"/>
      <c r="HTU4" s="109"/>
      <c r="HTV4" s="109"/>
      <c r="HTW4" s="109"/>
      <c r="HTX4" s="109"/>
      <c r="HTY4" s="109"/>
      <c r="HTZ4" s="109"/>
      <c r="HUA4" s="109"/>
      <c r="HUB4" s="109"/>
      <c r="HUC4" s="109"/>
      <c r="HUD4" s="109"/>
      <c r="HUE4" s="109"/>
      <c r="HUF4" s="109"/>
      <c r="HUG4" s="109"/>
      <c r="HUH4" s="109"/>
      <c r="HUI4" s="109"/>
      <c r="HUJ4" s="109"/>
      <c r="HUK4" s="109"/>
      <c r="HUL4" s="109"/>
      <c r="HUM4" s="109"/>
      <c r="HUN4" s="109"/>
      <c r="HUO4" s="109"/>
      <c r="HUP4" s="109"/>
      <c r="HUQ4" s="109"/>
      <c r="HUR4" s="109"/>
      <c r="HUS4" s="109"/>
      <c r="HUT4" s="109"/>
      <c r="HUU4" s="109"/>
      <c r="HUV4" s="109"/>
      <c r="HUW4" s="109"/>
      <c r="HUX4" s="109"/>
      <c r="HUY4" s="109"/>
      <c r="HUZ4" s="109"/>
      <c r="HVA4" s="109"/>
      <c r="HVB4" s="109"/>
      <c r="HVC4" s="109"/>
      <c r="HVD4" s="109"/>
      <c r="HVE4" s="109"/>
      <c r="HVF4" s="109"/>
      <c r="HVG4" s="109"/>
      <c r="HVH4" s="109"/>
      <c r="HVI4" s="109"/>
      <c r="HVJ4" s="109"/>
      <c r="HVK4" s="109"/>
      <c r="HVL4" s="109"/>
      <c r="HVM4" s="109"/>
      <c r="HVN4" s="109"/>
      <c r="HVO4" s="109"/>
      <c r="HVP4" s="109"/>
      <c r="HVQ4" s="109"/>
      <c r="HVR4" s="109"/>
      <c r="HVS4" s="109"/>
      <c r="HVT4" s="109"/>
      <c r="HVU4" s="109"/>
      <c r="HVV4" s="109"/>
      <c r="HVW4" s="109"/>
      <c r="HVX4" s="109"/>
      <c r="HVY4" s="109"/>
      <c r="HVZ4" s="109"/>
      <c r="HWA4" s="109"/>
      <c r="HWB4" s="109"/>
      <c r="HWC4" s="109"/>
      <c r="HWD4" s="109"/>
      <c r="HWE4" s="109"/>
      <c r="HWF4" s="109"/>
      <c r="HWG4" s="109"/>
      <c r="HWH4" s="109"/>
      <c r="HWI4" s="109"/>
      <c r="HWJ4" s="109"/>
      <c r="HWK4" s="109"/>
      <c r="HWL4" s="109"/>
      <c r="HWM4" s="109"/>
      <c r="HWN4" s="109"/>
      <c r="HWO4" s="109"/>
      <c r="HWP4" s="109"/>
      <c r="HWQ4" s="109"/>
      <c r="HWR4" s="109"/>
      <c r="HWS4" s="109"/>
      <c r="HWT4" s="109"/>
      <c r="HWU4" s="109"/>
      <c r="HWV4" s="109"/>
      <c r="HWW4" s="109"/>
      <c r="HWX4" s="109"/>
      <c r="HWY4" s="109"/>
      <c r="HWZ4" s="109"/>
      <c r="HXA4" s="109"/>
      <c r="HXB4" s="109"/>
      <c r="HXC4" s="109"/>
      <c r="HXD4" s="109"/>
      <c r="HXE4" s="109"/>
      <c r="HXF4" s="109"/>
      <c r="HXG4" s="109"/>
      <c r="HXH4" s="109"/>
      <c r="HXI4" s="109"/>
      <c r="HXJ4" s="109"/>
      <c r="HXK4" s="109"/>
      <c r="HXL4" s="109"/>
      <c r="HXM4" s="109"/>
      <c r="HXN4" s="109"/>
      <c r="HXO4" s="109"/>
      <c r="HXP4" s="109"/>
      <c r="HXQ4" s="109"/>
      <c r="HXR4" s="109"/>
      <c r="HXS4" s="109"/>
      <c r="HXT4" s="109"/>
      <c r="HXU4" s="109"/>
      <c r="HXV4" s="109"/>
      <c r="HXW4" s="109"/>
      <c r="HXX4" s="109"/>
      <c r="HXY4" s="109"/>
      <c r="HXZ4" s="109"/>
      <c r="HYA4" s="109"/>
      <c r="HYB4" s="109"/>
      <c r="HYC4" s="109"/>
      <c r="HYD4" s="109"/>
      <c r="HYE4" s="109"/>
      <c r="HYF4" s="109"/>
      <c r="HYG4" s="109"/>
      <c r="HYH4" s="109"/>
      <c r="HYI4" s="109"/>
      <c r="HYJ4" s="109"/>
      <c r="HYK4" s="109"/>
      <c r="HYL4" s="109"/>
      <c r="HYM4" s="109"/>
      <c r="HYN4" s="109"/>
      <c r="HYO4" s="109"/>
      <c r="HYP4" s="109"/>
      <c r="HYQ4" s="109"/>
      <c r="HYR4" s="109"/>
      <c r="HYS4" s="109"/>
      <c r="HYT4" s="109"/>
      <c r="HYU4" s="109"/>
      <c r="HYV4" s="109"/>
      <c r="HYW4" s="109"/>
      <c r="HYX4" s="109"/>
      <c r="HYY4" s="109"/>
      <c r="HYZ4" s="109"/>
      <c r="HZA4" s="109"/>
      <c r="HZB4" s="109"/>
      <c r="HZC4" s="109"/>
      <c r="HZD4" s="109"/>
      <c r="HZE4" s="109"/>
      <c r="HZF4" s="109"/>
      <c r="HZG4" s="109"/>
      <c r="HZH4" s="109"/>
      <c r="HZI4" s="109"/>
      <c r="HZJ4" s="109"/>
      <c r="HZK4" s="109"/>
      <c r="HZL4" s="109"/>
      <c r="HZM4" s="109"/>
      <c r="HZN4" s="109"/>
      <c r="HZO4" s="109"/>
      <c r="HZP4" s="109"/>
      <c r="HZQ4" s="109"/>
      <c r="HZR4" s="109"/>
      <c r="HZS4" s="109"/>
      <c r="HZT4" s="109"/>
      <c r="HZU4" s="109"/>
      <c r="HZV4" s="109"/>
      <c r="HZW4" s="109"/>
      <c r="HZX4" s="109"/>
      <c r="HZY4" s="109"/>
      <c r="HZZ4" s="109"/>
      <c r="IAA4" s="109"/>
      <c r="IAB4" s="109"/>
      <c r="IAC4" s="109"/>
      <c r="IAD4" s="109"/>
      <c r="IAE4" s="109"/>
      <c r="IAF4" s="109"/>
      <c r="IAG4" s="109"/>
      <c r="IAH4" s="109"/>
      <c r="IAI4" s="109"/>
      <c r="IAJ4" s="109"/>
      <c r="IAK4" s="109"/>
      <c r="IAL4" s="109"/>
      <c r="IAM4" s="109"/>
      <c r="IAN4" s="109"/>
      <c r="IAO4" s="109"/>
      <c r="IAP4" s="109"/>
      <c r="IAQ4" s="109"/>
      <c r="IAR4" s="109"/>
      <c r="IAS4" s="109"/>
      <c r="IAT4" s="109"/>
      <c r="IAU4" s="109"/>
      <c r="IAV4" s="109"/>
      <c r="IAW4" s="109"/>
      <c r="IAX4" s="109"/>
      <c r="IAY4" s="109"/>
      <c r="IAZ4" s="109"/>
      <c r="IBA4" s="109"/>
      <c r="IBB4" s="109"/>
      <c r="IBC4" s="109"/>
      <c r="IBD4" s="109"/>
      <c r="IBE4" s="109"/>
      <c r="IBF4" s="109"/>
      <c r="IBG4" s="109"/>
      <c r="IBH4" s="109"/>
      <c r="IBI4" s="109"/>
      <c r="IBJ4" s="109"/>
      <c r="IBK4" s="109"/>
      <c r="IBL4" s="109"/>
      <c r="IBM4" s="109"/>
      <c r="IBN4" s="109"/>
      <c r="IBO4" s="109"/>
      <c r="IBP4" s="109"/>
      <c r="IBQ4" s="109"/>
      <c r="IBR4" s="109"/>
      <c r="IBS4" s="109"/>
      <c r="IBT4" s="109"/>
      <c r="IBU4" s="109"/>
      <c r="IBV4" s="109"/>
      <c r="IBW4" s="109"/>
      <c r="IBX4" s="109"/>
      <c r="IBY4" s="109"/>
      <c r="IBZ4" s="109"/>
      <c r="ICA4" s="109"/>
      <c r="ICB4" s="109"/>
      <c r="ICC4" s="109"/>
      <c r="ICD4" s="109"/>
      <c r="ICE4" s="109"/>
      <c r="ICF4" s="109"/>
      <c r="ICG4" s="109"/>
      <c r="ICH4" s="109"/>
      <c r="ICI4" s="109"/>
      <c r="ICJ4" s="109"/>
      <c r="ICK4" s="109"/>
      <c r="ICL4" s="109"/>
      <c r="ICM4" s="109"/>
      <c r="ICN4" s="109"/>
      <c r="ICO4" s="109"/>
      <c r="ICP4" s="109"/>
      <c r="ICQ4" s="109"/>
      <c r="ICR4" s="109"/>
      <c r="ICS4" s="109"/>
      <c r="ICT4" s="109"/>
      <c r="ICU4" s="109"/>
      <c r="ICV4" s="109"/>
      <c r="ICW4" s="109"/>
      <c r="ICX4" s="109"/>
      <c r="ICY4" s="109"/>
      <c r="ICZ4" s="109"/>
      <c r="IDA4" s="109"/>
      <c r="IDB4" s="109"/>
      <c r="IDC4" s="109"/>
      <c r="IDD4" s="109"/>
      <c r="IDE4" s="109"/>
      <c r="IDF4" s="109"/>
      <c r="IDG4" s="109"/>
      <c r="IDH4" s="109"/>
      <c r="IDI4" s="109"/>
      <c r="IDJ4" s="109"/>
      <c r="IDK4" s="109"/>
      <c r="IDL4" s="109"/>
      <c r="IDM4" s="109"/>
      <c r="IDN4" s="109"/>
      <c r="IDO4" s="109"/>
      <c r="IDP4" s="109"/>
      <c r="IDQ4" s="109"/>
      <c r="IDR4" s="109"/>
      <c r="IDS4" s="109"/>
      <c r="IDT4" s="109"/>
      <c r="IDU4" s="109"/>
      <c r="IDV4" s="109"/>
      <c r="IDW4" s="109"/>
      <c r="IDX4" s="109"/>
      <c r="IDY4" s="109"/>
      <c r="IDZ4" s="109"/>
      <c r="IEA4" s="109"/>
      <c r="IEB4" s="109"/>
      <c r="IEC4" s="109"/>
      <c r="IED4" s="109"/>
      <c r="IEE4" s="109"/>
      <c r="IEF4" s="109"/>
      <c r="IEG4" s="109"/>
      <c r="IEH4" s="109"/>
      <c r="IEI4" s="109"/>
      <c r="IEJ4" s="109"/>
      <c r="IEK4" s="109"/>
      <c r="IEL4" s="109"/>
      <c r="IEM4" s="109"/>
      <c r="IEN4" s="109"/>
      <c r="IEO4" s="109"/>
      <c r="IEP4" s="109"/>
      <c r="IEQ4" s="109"/>
      <c r="IER4" s="109"/>
      <c r="IES4" s="109"/>
      <c r="IET4" s="109"/>
      <c r="IEU4" s="109"/>
      <c r="IEV4" s="109"/>
      <c r="IEW4" s="109"/>
      <c r="IEX4" s="109"/>
      <c r="IEY4" s="109"/>
      <c r="IEZ4" s="109"/>
      <c r="IFA4" s="109"/>
      <c r="IFB4" s="109"/>
      <c r="IFC4" s="109"/>
      <c r="IFD4" s="109"/>
      <c r="IFE4" s="109"/>
      <c r="IFF4" s="109"/>
      <c r="IFG4" s="109"/>
      <c r="IFH4" s="109"/>
      <c r="IFI4" s="109"/>
      <c r="IFJ4" s="109"/>
      <c r="IFK4" s="109"/>
      <c r="IFL4" s="109"/>
      <c r="IFM4" s="109"/>
      <c r="IFN4" s="109"/>
      <c r="IFO4" s="109"/>
      <c r="IFP4" s="109"/>
      <c r="IFQ4" s="109"/>
      <c r="IFR4" s="109"/>
      <c r="IFS4" s="109"/>
      <c r="IFT4" s="109"/>
      <c r="IFU4" s="109"/>
      <c r="IFV4" s="109"/>
      <c r="IFW4" s="109"/>
      <c r="IFX4" s="109"/>
      <c r="IFY4" s="109"/>
      <c r="IFZ4" s="109"/>
      <c r="IGA4" s="109"/>
      <c r="IGB4" s="109"/>
      <c r="IGC4" s="109"/>
      <c r="IGD4" s="109"/>
      <c r="IGE4" s="109"/>
      <c r="IGF4" s="109"/>
      <c r="IGG4" s="109"/>
      <c r="IGH4" s="109"/>
      <c r="IGI4" s="109"/>
      <c r="IGJ4" s="109"/>
      <c r="IGK4" s="109"/>
      <c r="IGL4" s="109"/>
      <c r="IGM4" s="109"/>
      <c r="IGN4" s="109"/>
      <c r="IGO4" s="109"/>
      <c r="IGP4" s="109"/>
      <c r="IGQ4" s="109"/>
      <c r="IGR4" s="109"/>
      <c r="IGS4" s="109"/>
      <c r="IGT4" s="109"/>
      <c r="IGU4" s="109"/>
      <c r="IGV4" s="109"/>
      <c r="IGW4" s="109"/>
      <c r="IGX4" s="109"/>
      <c r="IGY4" s="109"/>
      <c r="IGZ4" s="109"/>
      <c r="IHA4" s="109"/>
      <c r="IHB4" s="109"/>
      <c r="IHC4" s="109"/>
      <c r="IHD4" s="109"/>
      <c r="IHE4" s="109"/>
      <c r="IHF4" s="109"/>
      <c r="IHG4" s="109"/>
      <c r="IHH4" s="109"/>
      <c r="IHI4" s="109"/>
      <c r="IHJ4" s="109"/>
      <c r="IHK4" s="109"/>
      <c r="IHL4" s="109"/>
      <c r="IHM4" s="109"/>
      <c r="IHN4" s="109"/>
      <c r="IHO4" s="109"/>
      <c r="IHP4" s="109"/>
      <c r="IHQ4" s="109"/>
      <c r="IHR4" s="109"/>
      <c r="IHS4" s="109"/>
      <c r="IHT4" s="109"/>
      <c r="IHU4" s="109"/>
      <c r="IHV4" s="109"/>
      <c r="IHW4" s="109"/>
      <c r="IHX4" s="109"/>
      <c r="IHY4" s="109"/>
      <c r="IHZ4" s="109"/>
      <c r="IIA4" s="109"/>
      <c r="IIB4" s="109"/>
      <c r="IIC4" s="109"/>
      <c r="IID4" s="109"/>
      <c r="IIE4" s="109"/>
      <c r="IIF4" s="109"/>
      <c r="IIG4" s="109"/>
      <c r="IIH4" s="109"/>
      <c r="III4" s="109"/>
      <c r="IIJ4" s="109"/>
      <c r="IIK4" s="109"/>
      <c r="IIL4" s="109"/>
      <c r="IIM4" s="109"/>
      <c r="IIN4" s="109"/>
      <c r="IIO4" s="109"/>
      <c r="IIP4" s="109"/>
      <c r="IIQ4" s="109"/>
      <c r="IIR4" s="109"/>
      <c r="IIS4" s="109"/>
      <c r="IIT4" s="109"/>
      <c r="IIU4" s="109"/>
      <c r="IIV4" s="109"/>
      <c r="IIW4" s="109"/>
      <c r="IIX4" s="109"/>
      <c r="IIY4" s="109"/>
      <c r="IIZ4" s="109"/>
      <c r="IJA4" s="109"/>
      <c r="IJB4" s="109"/>
      <c r="IJC4" s="109"/>
      <c r="IJD4" s="109"/>
      <c r="IJE4" s="109"/>
      <c r="IJF4" s="109"/>
      <c r="IJG4" s="109"/>
      <c r="IJH4" s="109"/>
      <c r="IJI4" s="109"/>
      <c r="IJJ4" s="109"/>
      <c r="IJK4" s="109"/>
      <c r="IJL4" s="109"/>
      <c r="IJM4" s="109"/>
      <c r="IJN4" s="109"/>
      <c r="IJO4" s="109"/>
      <c r="IJP4" s="109"/>
      <c r="IJQ4" s="109"/>
      <c r="IJR4" s="109"/>
      <c r="IJS4" s="109"/>
      <c r="IJT4" s="109"/>
      <c r="IJU4" s="109"/>
      <c r="IJV4" s="109"/>
      <c r="IJW4" s="109"/>
      <c r="IJX4" s="109"/>
      <c r="IJY4" s="109"/>
      <c r="IJZ4" s="109"/>
      <c r="IKA4" s="109"/>
      <c r="IKB4" s="109"/>
      <c r="IKC4" s="109"/>
      <c r="IKD4" s="109"/>
      <c r="IKE4" s="109"/>
      <c r="IKF4" s="109"/>
      <c r="IKG4" s="109"/>
      <c r="IKH4" s="109"/>
      <c r="IKI4" s="109"/>
      <c r="IKJ4" s="109"/>
      <c r="IKK4" s="109"/>
      <c r="IKL4" s="109"/>
      <c r="IKM4" s="109"/>
      <c r="IKN4" s="109"/>
      <c r="IKO4" s="109"/>
      <c r="IKP4" s="109"/>
      <c r="IKQ4" s="109"/>
      <c r="IKR4" s="109"/>
      <c r="IKS4" s="109"/>
      <c r="IKT4" s="109"/>
      <c r="IKU4" s="109"/>
      <c r="IKV4" s="109"/>
      <c r="IKW4" s="109"/>
      <c r="IKX4" s="109"/>
      <c r="IKY4" s="109"/>
      <c r="IKZ4" s="109"/>
      <c r="ILA4" s="109"/>
      <c r="ILB4" s="109"/>
      <c r="ILC4" s="109"/>
      <c r="ILD4" s="109"/>
      <c r="ILE4" s="109"/>
      <c r="ILF4" s="109"/>
      <c r="ILG4" s="109"/>
      <c r="ILH4" s="109"/>
      <c r="ILI4" s="109"/>
      <c r="ILJ4" s="109"/>
      <c r="ILK4" s="109"/>
      <c r="ILL4" s="109"/>
      <c r="ILM4" s="109"/>
      <c r="ILN4" s="109"/>
      <c r="ILO4" s="109"/>
      <c r="ILP4" s="109"/>
      <c r="ILQ4" s="109"/>
      <c r="ILR4" s="109"/>
      <c r="ILS4" s="109"/>
      <c r="ILT4" s="109"/>
      <c r="ILU4" s="109"/>
      <c r="ILV4" s="109"/>
      <c r="ILW4" s="109"/>
      <c r="ILX4" s="109"/>
      <c r="ILY4" s="109"/>
      <c r="ILZ4" s="109"/>
      <c r="IMA4" s="109"/>
      <c r="IMB4" s="109"/>
      <c r="IMC4" s="109"/>
      <c r="IMD4" s="109"/>
      <c r="IME4" s="109"/>
      <c r="IMF4" s="109"/>
      <c r="IMG4" s="109"/>
      <c r="IMH4" s="109"/>
      <c r="IMI4" s="109"/>
      <c r="IMJ4" s="109"/>
      <c r="IMK4" s="109"/>
      <c r="IML4" s="109"/>
      <c r="IMM4" s="109"/>
      <c r="IMN4" s="109"/>
      <c r="IMO4" s="109"/>
      <c r="IMP4" s="109"/>
      <c r="IMQ4" s="109"/>
      <c r="IMR4" s="109"/>
      <c r="IMS4" s="109"/>
      <c r="IMT4" s="109"/>
      <c r="IMU4" s="109"/>
      <c r="IMV4" s="109"/>
      <c r="IMW4" s="109"/>
      <c r="IMX4" s="109"/>
      <c r="IMY4" s="109"/>
      <c r="IMZ4" s="109"/>
      <c r="INA4" s="109"/>
      <c r="INB4" s="109"/>
      <c r="INC4" s="109"/>
      <c r="IND4" s="109"/>
      <c r="INE4" s="109"/>
      <c r="INF4" s="109"/>
      <c r="ING4" s="109"/>
      <c r="INH4" s="109"/>
      <c r="INI4" s="109"/>
      <c r="INJ4" s="109"/>
      <c r="INK4" s="109"/>
      <c r="INL4" s="109"/>
      <c r="INM4" s="109"/>
      <c r="INN4" s="109"/>
      <c r="INO4" s="109"/>
      <c r="INP4" s="109"/>
      <c r="INQ4" s="109"/>
      <c r="INR4" s="109"/>
      <c r="INS4" s="109"/>
      <c r="INT4" s="109"/>
      <c r="INU4" s="109"/>
      <c r="INV4" s="109"/>
      <c r="INW4" s="109"/>
      <c r="INX4" s="109"/>
      <c r="INY4" s="109"/>
      <c r="INZ4" s="109"/>
      <c r="IOA4" s="109"/>
      <c r="IOB4" s="109"/>
      <c r="IOC4" s="109"/>
      <c r="IOD4" s="109"/>
      <c r="IOE4" s="109"/>
      <c r="IOF4" s="109"/>
      <c r="IOG4" s="109"/>
      <c r="IOH4" s="109"/>
      <c r="IOI4" s="109"/>
      <c r="IOJ4" s="109"/>
      <c r="IOK4" s="109"/>
      <c r="IOL4" s="109"/>
      <c r="IOM4" s="109"/>
      <c r="ION4" s="109"/>
      <c r="IOO4" s="109"/>
      <c r="IOP4" s="109"/>
      <c r="IOQ4" s="109"/>
      <c r="IOR4" s="109"/>
      <c r="IOS4" s="109"/>
      <c r="IOT4" s="109"/>
      <c r="IOU4" s="109"/>
      <c r="IOV4" s="109"/>
      <c r="IOW4" s="109"/>
      <c r="IOX4" s="109"/>
      <c r="IOY4" s="109"/>
      <c r="IOZ4" s="109"/>
      <c r="IPA4" s="109"/>
      <c r="IPB4" s="109"/>
      <c r="IPC4" s="109"/>
      <c r="IPD4" s="109"/>
      <c r="IPE4" s="109"/>
      <c r="IPF4" s="109"/>
      <c r="IPG4" s="109"/>
      <c r="IPH4" s="109"/>
      <c r="IPI4" s="109"/>
      <c r="IPJ4" s="109"/>
      <c r="IPK4" s="109"/>
      <c r="IPL4" s="109"/>
      <c r="IPM4" s="109"/>
      <c r="IPN4" s="109"/>
      <c r="IPO4" s="109"/>
      <c r="IPP4" s="109"/>
      <c r="IPQ4" s="109"/>
      <c r="IPR4" s="109"/>
      <c r="IPS4" s="109"/>
      <c r="IPT4" s="109"/>
      <c r="IPU4" s="109"/>
      <c r="IPV4" s="109"/>
      <c r="IPW4" s="109"/>
      <c r="IPX4" s="109"/>
      <c r="IPY4" s="109"/>
      <c r="IPZ4" s="109"/>
      <c r="IQA4" s="109"/>
      <c r="IQB4" s="109"/>
      <c r="IQC4" s="109"/>
      <c r="IQD4" s="109"/>
      <c r="IQE4" s="109"/>
      <c r="IQF4" s="109"/>
      <c r="IQG4" s="109"/>
      <c r="IQH4" s="109"/>
      <c r="IQI4" s="109"/>
      <c r="IQJ4" s="109"/>
      <c r="IQK4" s="109"/>
      <c r="IQL4" s="109"/>
      <c r="IQM4" s="109"/>
      <c r="IQN4" s="109"/>
      <c r="IQO4" s="109"/>
      <c r="IQP4" s="109"/>
      <c r="IQQ4" s="109"/>
      <c r="IQR4" s="109"/>
      <c r="IQS4" s="109"/>
      <c r="IQT4" s="109"/>
      <c r="IQU4" s="109"/>
      <c r="IQV4" s="109"/>
      <c r="IQW4" s="109"/>
      <c r="IQX4" s="109"/>
      <c r="IQY4" s="109"/>
      <c r="IQZ4" s="109"/>
      <c r="IRA4" s="109"/>
      <c r="IRB4" s="109"/>
      <c r="IRC4" s="109"/>
      <c r="IRD4" s="109"/>
      <c r="IRE4" s="109"/>
      <c r="IRF4" s="109"/>
      <c r="IRG4" s="109"/>
      <c r="IRH4" s="109"/>
      <c r="IRI4" s="109"/>
      <c r="IRJ4" s="109"/>
      <c r="IRK4" s="109"/>
      <c r="IRL4" s="109"/>
      <c r="IRM4" s="109"/>
      <c r="IRN4" s="109"/>
      <c r="IRO4" s="109"/>
      <c r="IRP4" s="109"/>
      <c r="IRQ4" s="109"/>
      <c r="IRR4" s="109"/>
      <c r="IRS4" s="109"/>
      <c r="IRT4" s="109"/>
      <c r="IRU4" s="109"/>
      <c r="IRV4" s="109"/>
      <c r="IRW4" s="109"/>
      <c r="IRX4" s="109"/>
      <c r="IRY4" s="109"/>
      <c r="IRZ4" s="109"/>
      <c r="ISA4" s="109"/>
      <c r="ISB4" s="109"/>
      <c r="ISC4" s="109"/>
      <c r="ISD4" s="109"/>
      <c r="ISE4" s="109"/>
      <c r="ISF4" s="109"/>
      <c r="ISG4" s="109"/>
      <c r="ISH4" s="109"/>
      <c r="ISI4" s="109"/>
      <c r="ISJ4" s="109"/>
      <c r="ISK4" s="109"/>
      <c r="ISL4" s="109"/>
      <c r="ISM4" s="109"/>
      <c r="ISN4" s="109"/>
      <c r="ISO4" s="109"/>
      <c r="ISP4" s="109"/>
      <c r="ISQ4" s="109"/>
      <c r="ISR4" s="109"/>
      <c r="ISS4" s="109"/>
      <c r="IST4" s="109"/>
      <c r="ISU4" s="109"/>
      <c r="ISV4" s="109"/>
      <c r="ISW4" s="109"/>
      <c r="ISX4" s="109"/>
      <c r="ISY4" s="109"/>
      <c r="ISZ4" s="109"/>
      <c r="ITA4" s="109"/>
      <c r="ITB4" s="109"/>
      <c r="ITC4" s="109"/>
      <c r="ITD4" s="109"/>
      <c r="ITE4" s="109"/>
      <c r="ITF4" s="109"/>
      <c r="ITG4" s="109"/>
      <c r="ITH4" s="109"/>
      <c r="ITI4" s="109"/>
      <c r="ITJ4" s="109"/>
      <c r="ITK4" s="109"/>
      <c r="ITL4" s="109"/>
      <c r="ITM4" s="109"/>
      <c r="ITN4" s="109"/>
      <c r="ITO4" s="109"/>
      <c r="ITP4" s="109"/>
      <c r="ITQ4" s="109"/>
      <c r="ITR4" s="109"/>
      <c r="ITS4" s="109"/>
      <c r="ITT4" s="109"/>
      <c r="ITU4" s="109"/>
      <c r="ITV4" s="109"/>
      <c r="ITW4" s="109"/>
      <c r="ITX4" s="109"/>
      <c r="ITY4" s="109"/>
      <c r="ITZ4" s="109"/>
      <c r="IUA4" s="109"/>
      <c r="IUB4" s="109"/>
      <c r="IUC4" s="109"/>
      <c r="IUD4" s="109"/>
      <c r="IUE4" s="109"/>
      <c r="IUF4" s="109"/>
      <c r="IUG4" s="109"/>
      <c r="IUH4" s="109"/>
      <c r="IUI4" s="109"/>
      <c r="IUJ4" s="109"/>
      <c r="IUK4" s="109"/>
      <c r="IUL4" s="109"/>
      <c r="IUM4" s="109"/>
      <c r="IUN4" s="109"/>
      <c r="IUO4" s="109"/>
      <c r="IUP4" s="109"/>
      <c r="IUQ4" s="109"/>
      <c r="IUR4" s="109"/>
      <c r="IUS4" s="109"/>
      <c r="IUT4" s="109"/>
      <c r="IUU4" s="109"/>
      <c r="IUV4" s="109"/>
      <c r="IUW4" s="109"/>
      <c r="IUX4" s="109"/>
      <c r="IUY4" s="109"/>
      <c r="IUZ4" s="109"/>
      <c r="IVA4" s="109"/>
      <c r="IVB4" s="109"/>
      <c r="IVC4" s="109"/>
      <c r="IVD4" s="109"/>
      <c r="IVE4" s="109"/>
      <c r="IVF4" s="109"/>
      <c r="IVG4" s="109"/>
      <c r="IVH4" s="109"/>
      <c r="IVI4" s="109"/>
      <c r="IVJ4" s="109"/>
      <c r="IVK4" s="109"/>
      <c r="IVL4" s="109"/>
      <c r="IVM4" s="109"/>
      <c r="IVN4" s="109"/>
      <c r="IVO4" s="109"/>
      <c r="IVP4" s="109"/>
      <c r="IVQ4" s="109"/>
      <c r="IVR4" s="109"/>
      <c r="IVS4" s="109"/>
      <c r="IVT4" s="109"/>
      <c r="IVU4" s="109"/>
      <c r="IVV4" s="109"/>
      <c r="IVW4" s="109"/>
      <c r="IVX4" s="109"/>
      <c r="IVY4" s="109"/>
      <c r="IVZ4" s="109"/>
      <c r="IWA4" s="109"/>
      <c r="IWB4" s="109"/>
      <c r="IWC4" s="109"/>
      <c r="IWD4" s="109"/>
      <c r="IWE4" s="109"/>
      <c r="IWF4" s="109"/>
      <c r="IWG4" s="109"/>
      <c r="IWH4" s="109"/>
      <c r="IWI4" s="109"/>
      <c r="IWJ4" s="109"/>
      <c r="IWK4" s="109"/>
      <c r="IWL4" s="109"/>
      <c r="IWM4" s="109"/>
      <c r="IWN4" s="109"/>
      <c r="IWO4" s="109"/>
      <c r="IWP4" s="109"/>
      <c r="IWQ4" s="109"/>
      <c r="IWR4" s="109"/>
      <c r="IWS4" s="109"/>
      <c r="IWT4" s="109"/>
      <c r="IWU4" s="109"/>
      <c r="IWV4" s="109"/>
      <c r="IWW4" s="109"/>
      <c r="IWX4" s="109"/>
      <c r="IWY4" s="109"/>
      <c r="IWZ4" s="109"/>
      <c r="IXA4" s="109"/>
      <c r="IXB4" s="109"/>
      <c r="IXC4" s="109"/>
      <c r="IXD4" s="109"/>
      <c r="IXE4" s="109"/>
      <c r="IXF4" s="109"/>
      <c r="IXG4" s="109"/>
      <c r="IXH4" s="109"/>
      <c r="IXI4" s="109"/>
      <c r="IXJ4" s="109"/>
      <c r="IXK4" s="109"/>
      <c r="IXL4" s="109"/>
      <c r="IXM4" s="109"/>
      <c r="IXN4" s="109"/>
      <c r="IXO4" s="109"/>
      <c r="IXP4" s="109"/>
      <c r="IXQ4" s="109"/>
      <c r="IXR4" s="109"/>
      <c r="IXS4" s="109"/>
      <c r="IXT4" s="109"/>
      <c r="IXU4" s="109"/>
      <c r="IXV4" s="109"/>
      <c r="IXW4" s="109"/>
      <c r="IXX4" s="109"/>
      <c r="IXY4" s="109"/>
      <c r="IXZ4" s="109"/>
      <c r="IYA4" s="109"/>
      <c r="IYB4" s="109"/>
      <c r="IYC4" s="109"/>
      <c r="IYD4" s="109"/>
      <c r="IYE4" s="109"/>
      <c r="IYF4" s="109"/>
      <c r="IYG4" s="109"/>
      <c r="IYH4" s="109"/>
      <c r="IYI4" s="109"/>
      <c r="IYJ4" s="109"/>
      <c r="IYK4" s="109"/>
      <c r="IYL4" s="109"/>
      <c r="IYM4" s="109"/>
      <c r="IYN4" s="109"/>
      <c r="IYO4" s="109"/>
      <c r="IYP4" s="109"/>
      <c r="IYQ4" s="109"/>
      <c r="IYR4" s="109"/>
      <c r="IYS4" s="109"/>
      <c r="IYT4" s="109"/>
      <c r="IYU4" s="109"/>
      <c r="IYV4" s="109"/>
      <c r="IYW4" s="109"/>
      <c r="IYX4" s="109"/>
      <c r="IYY4" s="109"/>
      <c r="IYZ4" s="109"/>
      <c r="IZA4" s="109"/>
      <c r="IZB4" s="109"/>
      <c r="IZC4" s="109"/>
      <c r="IZD4" s="109"/>
      <c r="IZE4" s="109"/>
      <c r="IZF4" s="109"/>
      <c r="IZG4" s="109"/>
      <c r="IZH4" s="109"/>
      <c r="IZI4" s="109"/>
      <c r="IZJ4" s="109"/>
      <c r="IZK4" s="109"/>
      <c r="IZL4" s="109"/>
      <c r="IZM4" s="109"/>
      <c r="IZN4" s="109"/>
      <c r="IZO4" s="109"/>
      <c r="IZP4" s="109"/>
      <c r="IZQ4" s="109"/>
      <c r="IZR4" s="109"/>
      <c r="IZS4" s="109"/>
      <c r="IZT4" s="109"/>
      <c r="IZU4" s="109"/>
      <c r="IZV4" s="109"/>
      <c r="IZW4" s="109"/>
      <c r="IZX4" s="109"/>
      <c r="IZY4" s="109"/>
      <c r="IZZ4" s="109"/>
      <c r="JAA4" s="109"/>
      <c r="JAB4" s="109"/>
      <c r="JAC4" s="109"/>
      <c r="JAD4" s="109"/>
      <c r="JAE4" s="109"/>
      <c r="JAF4" s="109"/>
      <c r="JAG4" s="109"/>
      <c r="JAH4" s="109"/>
      <c r="JAI4" s="109"/>
      <c r="JAJ4" s="109"/>
      <c r="JAK4" s="109"/>
      <c r="JAL4" s="109"/>
      <c r="JAM4" s="109"/>
      <c r="JAN4" s="109"/>
      <c r="JAO4" s="109"/>
      <c r="JAP4" s="109"/>
      <c r="JAQ4" s="109"/>
      <c r="JAR4" s="109"/>
      <c r="JAS4" s="109"/>
      <c r="JAT4" s="109"/>
      <c r="JAU4" s="109"/>
      <c r="JAV4" s="109"/>
      <c r="JAW4" s="109"/>
      <c r="JAX4" s="109"/>
      <c r="JAY4" s="109"/>
      <c r="JAZ4" s="109"/>
      <c r="JBA4" s="109"/>
      <c r="JBB4" s="109"/>
      <c r="JBC4" s="109"/>
      <c r="JBD4" s="109"/>
      <c r="JBE4" s="109"/>
      <c r="JBF4" s="109"/>
      <c r="JBG4" s="109"/>
      <c r="JBH4" s="109"/>
      <c r="JBI4" s="109"/>
      <c r="JBJ4" s="109"/>
      <c r="JBK4" s="109"/>
      <c r="JBL4" s="109"/>
      <c r="JBM4" s="109"/>
      <c r="JBN4" s="109"/>
      <c r="JBO4" s="109"/>
      <c r="JBP4" s="109"/>
      <c r="JBQ4" s="109"/>
      <c r="JBR4" s="109"/>
      <c r="JBS4" s="109"/>
      <c r="JBT4" s="109"/>
      <c r="JBU4" s="109"/>
      <c r="JBV4" s="109"/>
      <c r="JBW4" s="109"/>
      <c r="JBX4" s="109"/>
      <c r="JBY4" s="109"/>
      <c r="JBZ4" s="109"/>
      <c r="JCA4" s="109"/>
      <c r="JCB4" s="109"/>
      <c r="JCC4" s="109"/>
      <c r="JCD4" s="109"/>
      <c r="JCE4" s="109"/>
      <c r="JCF4" s="109"/>
      <c r="JCG4" s="109"/>
      <c r="JCH4" s="109"/>
      <c r="JCI4" s="109"/>
      <c r="JCJ4" s="109"/>
      <c r="JCK4" s="109"/>
      <c r="JCL4" s="109"/>
      <c r="JCM4" s="109"/>
      <c r="JCN4" s="109"/>
      <c r="JCO4" s="109"/>
      <c r="JCP4" s="109"/>
      <c r="JCQ4" s="109"/>
      <c r="JCR4" s="109"/>
      <c r="JCS4" s="109"/>
      <c r="JCT4" s="109"/>
      <c r="JCU4" s="109"/>
      <c r="JCV4" s="109"/>
      <c r="JCW4" s="109"/>
      <c r="JCX4" s="109"/>
      <c r="JCY4" s="109"/>
      <c r="JCZ4" s="109"/>
      <c r="JDA4" s="109"/>
      <c r="JDB4" s="109"/>
      <c r="JDC4" s="109"/>
      <c r="JDD4" s="109"/>
      <c r="JDE4" s="109"/>
      <c r="JDF4" s="109"/>
      <c r="JDG4" s="109"/>
      <c r="JDH4" s="109"/>
      <c r="JDI4" s="109"/>
      <c r="JDJ4" s="109"/>
      <c r="JDK4" s="109"/>
      <c r="JDL4" s="109"/>
      <c r="JDM4" s="109"/>
      <c r="JDN4" s="109"/>
      <c r="JDO4" s="109"/>
      <c r="JDP4" s="109"/>
      <c r="JDQ4" s="109"/>
      <c r="JDR4" s="109"/>
      <c r="JDS4" s="109"/>
      <c r="JDT4" s="109"/>
      <c r="JDU4" s="109"/>
      <c r="JDV4" s="109"/>
      <c r="JDW4" s="109"/>
      <c r="JDX4" s="109"/>
      <c r="JDY4" s="109"/>
      <c r="JDZ4" s="109"/>
      <c r="JEA4" s="109"/>
      <c r="JEB4" s="109"/>
      <c r="JEC4" s="109"/>
      <c r="JED4" s="109"/>
      <c r="JEE4" s="109"/>
      <c r="JEF4" s="109"/>
      <c r="JEG4" s="109"/>
      <c r="JEH4" s="109"/>
      <c r="JEI4" s="109"/>
      <c r="JEJ4" s="109"/>
      <c r="JEK4" s="109"/>
      <c r="JEL4" s="109"/>
      <c r="JEM4" s="109"/>
      <c r="JEN4" s="109"/>
      <c r="JEO4" s="109"/>
      <c r="JEP4" s="109"/>
      <c r="JEQ4" s="109"/>
      <c r="JER4" s="109"/>
      <c r="JES4" s="109"/>
      <c r="JET4" s="109"/>
      <c r="JEU4" s="109"/>
      <c r="JEV4" s="109"/>
      <c r="JEW4" s="109"/>
      <c r="JEX4" s="109"/>
      <c r="JEY4" s="109"/>
      <c r="JEZ4" s="109"/>
      <c r="JFA4" s="109"/>
      <c r="JFB4" s="109"/>
      <c r="JFC4" s="109"/>
      <c r="JFD4" s="109"/>
      <c r="JFE4" s="109"/>
      <c r="JFF4" s="109"/>
      <c r="JFG4" s="109"/>
      <c r="JFH4" s="109"/>
      <c r="JFI4" s="109"/>
      <c r="JFJ4" s="109"/>
      <c r="JFK4" s="109"/>
      <c r="JFL4" s="109"/>
      <c r="JFM4" s="109"/>
      <c r="JFN4" s="109"/>
      <c r="JFO4" s="109"/>
      <c r="JFP4" s="109"/>
      <c r="JFQ4" s="109"/>
      <c r="JFR4" s="109"/>
      <c r="JFS4" s="109"/>
      <c r="JFT4" s="109"/>
      <c r="JFU4" s="109"/>
      <c r="JFV4" s="109"/>
      <c r="JFW4" s="109"/>
      <c r="JFX4" s="109"/>
      <c r="JFY4" s="109"/>
      <c r="JFZ4" s="109"/>
      <c r="JGA4" s="109"/>
      <c r="JGB4" s="109"/>
      <c r="JGC4" s="109"/>
      <c r="JGD4" s="109"/>
      <c r="JGE4" s="109"/>
      <c r="JGF4" s="109"/>
      <c r="JGG4" s="109"/>
      <c r="JGH4" s="109"/>
      <c r="JGI4" s="109"/>
      <c r="JGJ4" s="109"/>
      <c r="JGK4" s="109"/>
      <c r="JGL4" s="109"/>
      <c r="JGM4" s="109"/>
      <c r="JGN4" s="109"/>
      <c r="JGO4" s="109"/>
      <c r="JGP4" s="109"/>
      <c r="JGQ4" s="109"/>
      <c r="JGR4" s="109"/>
      <c r="JGS4" s="109"/>
      <c r="JGT4" s="109"/>
      <c r="JGU4" s="109"/>
      <c r="JGV4" s="109"/>
      <c r="JGW4" s="109"/>
      <c r="JGX4" s="109"/>
      <c r="JGY4" s="109"/>
      <c r="JGZ4" s="109"/>
      <c r="JHA4" s="109"/>
      <c r="JHB4" s="109"/>
      <c r="JHC4" s="109"/>
      <c r="JHD4" s="109"/>
      <c r="JHE4" s="109"/>
      <c r="JHF4" s="109"/>
      <c r="JHG4" s="109"/>
      <c r="JHH4" s="109"/>
      <c r="JHI4" s="109"/>
      <c r="JHJ4" s="109"/>
      <c r="JHK4" s="109"/>
      <c r="JHL4" s="109"/>
      <c r="JHM4" s="109"/>
      <c r="JHN4" s="109"/>
      <c r="JHO4" s="109"/>
      <c r="JHP4" s="109"/>
      <c r="JHQ4" s="109"/>
      <c r="JHR4" s="109"/>
      <c r="JHS4" s="109"/>
      <c r="JHT4" s="109"/>
      <c r="JHU4" s="109"/>
      <c r="JHV4" s="109"/>
      <c r="JHW4" s="109"/>
      <c r="JHX4" s="109"/>
      <c r="JHY4" s="109"/>
      <c r="JHZ4" s="109"/>
      <c r="JIA4" s="109"/>
      <c r="JIB4" s="109"/>
      <c r="JIC4" s="109"/>
      <c r="JID4" s="109"/>
      <c r="JIE4" s="109"/>
      <c r="JIF4" s="109"/>
      <c r="JIG4" s="109"/>
      <c r="JIH4" s="109"/>
      <c r="JII4" s="109"/>
      <c r="JIJ4" s="109"/>
      <c r="JIK4" s="109"/>
      <c r="JIL4" s="109"/>
      <c r="JIM4" s="109"/>
      <c r="JIN4" s="109"/>
      <c r="JIO4" s="109"/>
      <c r="JIP4" s="109"/>
      <c r="JIQ4" s="109"/>
      <c r="JIR4" s="109"/>
      <c r="JIS4" s="109"/>
      <c r="JIT4" s="109"/>
      <c r="JIU4" s="109"/>
      <c r="JIV4" s="109"/>
      <c r="JIW4" s="109"/>
      <c r="JIX4" s="109"/>
      <c r="JIY4" s="109"/>
      <c r="JIZ4" s="109"/>
      <c r="JJA4" s="109"/>
      <c r="JJB4" s="109"/>
      <c r="JJC4" s="109"/>
      <c r="JJD4" s="109"/>
      <c r="JJE4" s="109"/>
      <c r="JJF4" s="109"/>
      <c r="JJG4" s="109"/>
      <c r="JJH4" s="109"/>
      <c r="JJI4" s="109"/>
      <c r="JJJ4" s="109"/>
      <c r="JJK4" s="109"/>
      <c r="JJL4" s="109"/>
      <c r="JJM4" s="109"/>
      <c r="JJN4" s="109"/>
      <c r="JJO4" s="109"/>
      <c r="JJP4" s="109"/>
      <c r="JJQ4" s="109"/>
      <c r="JJR4" s="109"/>
      <c r="JJS4" s="109"/>
      <c r="JJT4" s="109"/>
      <c r="JJU4" s="109"/>
      <c r="JJV4" s="109"/>
      <c r="JJW4" s="109"/>
      <c r="JJX4" s="109"/>
      <c r="JJY4" s="109"/>
      <c r="JJZ4" s="109"/>
      <c r="JKA4" s="109"/>
      <c r="JKB4" s="109"/>
      <c r="JKC4" s="109"/>
      <c r="JKD4" s="109"/>
      <c r="JKE4" s="109"/>
      <c r="JKF4" s="109"/>
      <c r="JKG4" s="109"/>
      <c r="JKH4" s="109"/>
      <c r="JKI4" s="109"/>
      <c r="JKJ4" s="109"/>
      <c r="JKK4" s="109"/>
      <c r="JKL4" s="109"/>
      <c r="JKM4" s="109"/>
      <c r="JKN4" s="109"/>
      <c r="JKO4" s="109"/>
      <c r="JKP4" s="109"/>
      <c r="JKQ4" s="109"/>
      <c r="JKR4" s="109"/>
      <c r="JKS4" s="109"/>
      <c r="JKT4" s="109"/>
      <c r="JKU4" s="109"/>
      <c r="JKV4" s="109"/>
      <c r="JKW4" s="109"/>
      <c r="JKX4" s="109"/>
      <c r="JKY4" s="109"/>
      <c r="JKZ4" s="109"/>
      <c r="JLA4" s="109"/>
      <c r="JLB4" s="109"/>
      <c r="JLC4" s="109"/>
      <c r="JLD4" s="109"/>
      <c r="JLE4" s="109"/>
      <c r="JLF4" s="109"/>
      <c r="JLG4" s="109"/>
      <c r="JLH4" s="109"/>
      <c r="JLI4" s="109"/>
      <c r="JLJ4" s="109"/>
      <c r="JLK4" s="109"/>
      <c r="JLL4" s="109"/>
      <c r="JLM4" s="109"/>
      <c r="JLN4" s="109"/>
      <c r="JLO4" s="109"/>
      <c r="JLP4" s="109"/>
      <c r="JLQ4" s="109"/>
      <c r="JLR4" s="109"/>
      <c r="JLS4" s="109"/>
      <c r="JLT4" s="109"/>
      <c r="JLU4" s="109"/>
      <c r="JLV4" s="109"/>
      <c r="JLW4" s="109"/>
      <c r="JLX4" s="109"/>
      <c r="JLY4" s="109"/>
      <c r="JLZ4" s="109"/>
      <c r="JMA4" s="109"/>
      <c r="JMB4" s="109"/>
      <c r="JMC4" s="109"/>
      <c r="JMD4" s="109"/>
      <c r="JME4" s="109"/>
      <c r="JMF4" s="109"/>
      <c r="JMG4" s="109"/>
      <c r="JMH4" s="109"/>
      <c r="JMI4" s="109"/>
      <c r="JMJ4" s="109"/>
      <c r="JMK4" s="109"/>
      <c r="JML4" s="109"/>
      <c r="JMM4" s="109"/>
      <c r="JMN4" s="109"/>
      <c r="JMO4" s="109"/>
      <c r="JMP4" s="109"/>
      <c r="JMQ4" s="109"/>
      <c r="JMR4" s="109"/>
      <c r="JMS4" s="109"/>
      <c r="JMT4" s="109"/>
      <c r="JMU4" s="109"/>
      <c r="JMV4" s="109"/>
      <c r="JMW4" s="109"/>
      <c r="JMX4" s="109"/>
      <c r="JMY4" s="109"/>
      <c r="JMZ4" s="109"/>
      <c r="JNA4" s="109"/>
      <c r="JNB4" s="109"/>
      <c r="JNC4" s="109"/>
      <c r="JND4" s="109"/>
      <c r="JNE4" s="109"/>
      <c r="JNF4" s="109"/>
      <c r="JNG4" s="109"/>
      <c r="JNH4" s="109"/>
      <c r="JNI4" s="109"/>
      <c r="JNJ4" s="109"/>
      <c r="JNK4" s="109"/>
      <c r="JNL4" s="109"/>
      <c r="JNM4" s="109"/>
      <c r="JNN4" s="109"/>
      <c r="JNO4" s="109"/>
      <c r="JNP4" s="109"/>
      <c r="JNQ4" s="109"/>
      <c r="JNR4" s="109"/>
      <c r="JNS4" s="109"/>
      <c r="JNT4" s="109"/>
      <c r="JNU4" s="109"/>
      <c r="JNV4" s="109"/>
      <c r="JNW4" s="109"/>
      <c r="JNX4" s="109"/>
      <c r="JNY4" s="109"/>
      <c r="JNZ4" s="109"/>
      <c r="JOA4" s="109"/>
      <c r="JOB4" s="109"/>
      <c r="JOC4" s="109"/>
      <c r="JOD4" s="109"/>
      <c r="JOE4" s="109"/>
      <c r="JOF4" s="109"/>
      <c r="JOG4" s="109"/>
      <c r="JOH4" s="109"/>
      <c r="JOI4" s="109"/>
      <c r="JOJ4" s="109"/>
      <c r="JOK4" s="109"/>
      <c r="JOL4" s="109"/>
      <c r="JOM4" s="109"/>
      <c r="JON4" s="109"/>
      <c r="JOO4" s="109"/>
      <c r="JOP4" s="109"/>
      <c r="JOQ4" s="109"/>
      <c r="JOR4" s="109"/>
      <c r="JOS4" s="109"/>
      <c r="JOT4" s="109"/>
      <c r="JOU4" s="109"/>
      <c r="JOV4" s="109"/>
      <c r="JOW4" s="109"/>
      <c r="JOX4" s="109"/>
      <c r="JOY4" s="109"/>
      <c r="JOZ4" s="109"/>
      <c r="JPA4" s="109"/>
      <c r="JPB4" s="109"/>
      <c r="JPC4" s="109"/>
      <c r="JPD4" s="109"/>
      <c r="JPE4" s="109"/>
      <c r="JPF4" s="109"/>
      <c r="JPG4" s="109"/>
      <c r="JPH4" s="109"/>
      <c r="JPI4" s="109"/>
      <c r="JPJ4" s="109"/>
      <c r="JPK4" s="109"/>
      <c r="JPL4" s="109"/>
      <c r="JPM4" s="109"/>
      <c r="JPN4" s="109"/>
      <c r="JPO4" s="109"/>
      <c r="JPP4" s="109"/>
      <c r="JPQ4" s="109"/>
      <c r="JPR4" s="109"/>
      <c r="JPS4" s="109"/>
      <c r="JPT4" s="109"/>
      <c r="JPU4" s="109"/>
      <c r="JPV4" s="109"/>
      <c r="JPW4" s="109"/>
      <c r="JPX4" s="109"/>
      <c r="JPY4" s="109"/>
      <c r="JPZ4" s="109"/>
      <c r="JQA4" s="109"/>
      <c r="JQB4" s="109"/>
      <c r="JQC4" s="109"/>
      <c r="JQD4" s="109"/>
      <c r="JQE4" s="109"/>
      <c r="JQF4" s="109"/>
      <c r="JQG4" s="109"/>
      <c r="JQH4" s="109"/>
      <c r="JQI4" s="109"/>
      <c r="JQJ4" s="109"/>
      <c r="JQK4" s="109"/>
      <c r="JQL4" s="109"/>
      <c r="JQM4" s="109"/>
      <c r="JQN4" s="109"/>
      <c r="JQO4" s="109"/>
      <c r="JQP4" s="109"/>
      <c r="JQQ4" s="109"/>
      <c r="JQR4" s="109"/>
      <c r="JQS4" s="109"/>
      <c r="JQT4" s="109"/>
      <c r="JQU4" s="109"/>
      <c r="JQV4" s="109"/>
      <c r="JQW4" s="109"/>
      <c r="JQX4" s="109"/>
      <c r="JQY4" s="109"/>
      <c r="JQZ4" s="109"/>
      <c r="JRA4" s="109"/>
      <c r="JRB4" s="109"/>
      <c r="JRC4" s="109"/>
      <c r="JRD4" s="109"/>
      <c r="JRE4" s="109"/>
      <c r="JRF4" s="109"/>
      <c r="JRG4" s="109"/>
      <c r="JRH4" s="109"/>
      <c r="JRI4" s="109"/>
      <c r="JRJ4" s="109"/>
      <c r="JRK4" s="109"/>
      <c r="JRL4" s="109"/>
      <c r="JRM4" s="109"/>
      <c r="JRN4" s="109"/>
      <c r="JRO4" s="109"/>
      <c r="JRP4" s="109"/>
      <c r="JRQ4" s="109"/>
      <c r="JRR4" s="109"/>
      <c r="JRS4" s="109"/>
      <c r="JRT4" s="109"/>
      <c r="JRU4" s="109"/>
      <c r="JRV4" s="109"/>
      <c r="JRW4" s="109"/>
      <c r="JRX4" s="109"/>
      <c r="JRY4" s="109"/>
      <c r="JRZ4" s="109"/>
      <c r="JSA4" s="109"/>
      <c r="JSB4" s="109"/>
      <c r="JSC4" s="109"/>
      <c r="JSD4" s="109"/>
      <c r="JSE4" s="109"/>
      <c r="JSF4" s="109"/>
      <c r="JSG4" s="109"/>
      <c r="JSH4" s="109"/>
      <c r="JSI4" s="109"/>
      <c r="JSJ4" s="109"/>
      <c r="JSK4" s="109"/>
      <c r="JSL4" s="109"/>
      <c r="JSM4" s="109"/>
      <c r="JSN4" s="109"/>
      <c r="JSO4" s="109"/>
      <c r="JSP4" s="109"/>
      <c r="JSQ4" s="109"/>
      <c r="JSR4" s="109"/>
      <c r="JSS4" s="109"/>
      <c r="JST4" s="109"/>
      <c r="JSU4" s="109"/>
      <c r="JSV4" s="109"/>
      <c r="JSW4" s="109"/>
      <c r="JSX4" s="109"/>
      <c r="JSY4" s="109"/>
      <c r="JSZ4" s="109"/>
      <c r="JTA4" s="109"/>
      <c r="JTB4" s="109"/>
      <c r="JTC4" s="109"/>
      <c r="JTD4" s="109"/>
      <c r="JTE4" s="109"/>
      <c r="JTF4" s="109"/>
      <c r="JTG4" s="109"/>
      <c r="JTH4" s="109"/>
      <c r="JTI4" s="109"/>
      <c r="JTJ4" s="109"/>
      <c r="JTK4" s="109"/>
      <c r="JTL4" s="109"/>
      <c r="JTM4" s="109"/>
      <c r="JTN4" s="109"/>
      <c r="JTO4" s="109"/>
      <c r="JTP4" s="109"/>
      <c r="JTQ4" s="109"/>
      <c r="JTR4" s="109"/>
      <c r="JTS4" s="109"/>
      <c r="JTT4" s="109"/>
      <c r="JTU4" s="109"/>
      <c r="JTV4" s="109"/>
      <c r="JTW4" s="109"/>
      <c r="JTX4" s="109"/>
      <c r="JTY4" s="109"/>
      <c r="JTZ4" s="109"/>
      <c r="JUA4" s="109"/>
      <c r="JUB4" s="109"/>
      <c r="JUC4" s="109"/>
      <c r="JUD4" s="109"/>
      <c r="JUE4" s="109"/>
      <c r="JUF4" s="109"/>
      <c r="JUG4" s="109"/>
      <c r="JUH4" s="109"/>
      <c r="JUI4" s="109"/>
      <c r="JUJ4" s="109"/>
      <c r="JUK4" s="109"/>
      <c r="JUL4" s="109"/>
      <c r="JUM4" s="109"/>
      <c r="JUN4" s="109"/>
      <c r="JUO4" s="109"/>
      <c r="JUP4" s="109"/>
      <c r="JUQ4" s="109"/>
      <c r="JUR4" s="109"/>
      <c r="JUS4" s="109"/>
      <c r="JUT4" s="109"/>
      <c r="JUU4" s="109"/>
      <c r="JUV4" s="109"/>
      <c r="JUW4" s="109"/>
      <c r="JUX4" s="109"/>
      <c r="JUY4" s="109"/>
      <c r="JUZ4" s="109"/>
      <c r="JVA4" s="109"/>
      <c r="JVB4" s="109"/>
      <c r="JVC4" s="109"/>
      <c r="JVD4" s="109"/>
      <c r="JVE4" s="109"/>
      <c r="JVF4" s="109"/>
      <c r="JVG4" s="109"/>
      <c r="JVH4" s="109"/>
      <c r="JVI4" s="109"/>
      <c r="JVJ4" s="109"/>
      <c r="JVK4" s="109"/>
      <c r="JVL4" s="109"/>
      <c r="JVM4" s="109"/>
      <c r="JVN4" s="109"/>
      <c r="JVO4" s="109"/>
      <c r="JVP4" s="109"/>
      <c r="JVQ4" s="109"/>
      <c r="JVR4" s="109"/>
      <c r="JVS4" s="109"/>
      <c r="JVT4" s="109"/>
      <c r="JVU4" s="109"/>
      <c r="JVV4" s="109"/>
      <c r="JVW4" s="109"/>
      <c r="JVX4" s="109"/>
      <c r="JVY4" s="109"/>
      <c r="JVZ4" s="109"/>
      <c r="JWA4" s="109"/>
      <c r="JWB4" s="109"/>
      <c r="JWC4" s="109"/>
      <c r="JWD4" s="109"/>
      <c r="JWE4" s="109"/>
      <c r="JWF4" s="109"/>
      <c r="JWG4" s="109"/>
      <c r="JWH4" s="109"/>
      <c r="JWI4" s="109"/>
      <c r="JWJ4" s="109"/>
      <c r="JWK4" s="109"/>
      <c r="JWL4" s="109"/>
      <c r="JWM4" s="109"/>
      <c r="JWN4" s="109"/>
      <c r="JWO4" s="109"/>
      <c r="JWP4" s="109"/>
      <c r="JWQ4" s="109"/>
      <c r="JWR4" s="109"/>
      <c r="JWS4" s="109"/>
      <c r="JWT4" s="109"/>
      <c r="JWU4" s="109"/>
      <c r="JWV4" s="109"/>
      <c r="JWW4" s="109"/>
      <c r="JWX4" s="109"/>
      <c r="JWY4" s="109"/>
      <c r="JWZ4" s="109"/>
      <c r="JXA4" s="109"/>
      <c r="JXB4" s="109"/>
      <c r="JXC4" s="109"/>
      <c r="JXD4" s="109"/>
      <c r="JXE4" s="109"/>
      <c r="JXF4" s="109"/>
      <c r="JXG4" s="109"/>
      <c r="JXH4" s="109"/>
      <c r="JXI4" s="109"/>
      <c r="JXJ4" s="109"/>
      <c r="JXK4" s="109"/>
      <c r="JXL4" s="109"/>
      <c r="JXM4" s="109"/>
      <c r="JXN4" s="109"/>
      <c r="JXO4" s="109"/>
      <c r="JXP4" s="109"/>
      <c r="JXQ4" s="109"/>
      <c r="JXR4" s="109"/>
      <c r="JXS4" s="109"/>
      <c r="JXT4" s="109"/>
      <c r="JXU4" s="109"/>
      <c r="JXV4" s="109"/>
      <c r="JXW4" s="109"/>
      <c r="JXX4" s="109"/>
      <c r="JXY4" s="109"/>
      <c r="JXZ4" s="109"/>
      <c r="JYA4" s="109"/>
      <c r="JYB4" s="109"/>
      <c r="JYC4" s="109"/>
      <c r="JYD4" s="109"/>
      <c r="JYE4" s="109"/>
      <c r="JYF4" s="109"/>
      <c r="JYG4" s="109"/>
      <c r="JYH4" s="109"/>
      <c r="JYI4" s="109"/>
      <c r="JYJ4" s="109"/>
      <c r="JYK4" s="109"/>
      <c r="JYL4" s="109"/>
      <c r="JYM4" s="109"/>
      <c r="JYN4" s="109"/>
      <c r="JYO4" s="109"/>
      <c r="JYP4" s="109"/>
      <c r="JYQ4" s="109"/>
      <c r="JYR4" s="109"/>
      <c r="JYS4" s="109"/>
      <c r="JYT4" s="109"/>
      <c r="JYU4" s="109"/>
      <c r="JYV4" s="109"/>
      <c r="JYW4" s="109"/>
      <c r="JYX4" s="109"/>
      <c r="JYY4" s="109"/>
      <c r="JYZ4" s="109"/>
      <c r="JZA4" s="109"/>
      <c r="JZB4" s="109"/>
      <c r="JZC4" s="109"/>
      <c r="JZD4" s="109"/>
      <c r="JZE4" s="109"/>
      <c r="JZF4" s="109"/>
      <c r="JZG4" s="109"/>
      <c r="JZH4" s="109"/>
      <c r="JZI4" s="109"/>
      <c r="JZJ4" s="109"/>
      <c r="JZK4" s="109"/>
      <c r="JZL4" s="109"/>
      <c r="JZM4" s="109"/>
      <c r="JZN4" s="109"/>
      <c r="JZO4" s="109"/>
      <c r="JZP4" s="109"/>
      <c r="JZQ4" s="109"/>
      <c r="JZR4" s="109"/>
      <c r="JZS4" s="109"/>
      <c r="JZT4" s="109"/>
      <c r="JZU4" s="109"/>
      <c r="JZV4" s="109"/>
      <c r="JZW4" s="109"/>
      <c r="JZX4" s="109"/>
      <c r="JZY4" s="109"/>
      <c r="JZZ4" s="109"/>
      <c r="KAA4" s="109"/>
      <c r="KAB4" s="109"/>
      <c r="KAC4" s="109"/>
      <c r="KAD4" s="109"/>
      <c r="KAE4" s="109"/>
      <c r="KAF4" s="109"/>
      <c r="KAG4" s="109"/>
      <c r="KAH4" s="109"/>
      <c r="KAI4" s="109"/>
      <c r="KAJ4" s="109"/>
      <c r="KAK4" s="109"/>
      <c r="KAL4" s="109"/>
      <c r="KAM4" s="109"/>
      <c r="KAN4" s="109"/>
      <c r="KAO4" s="109"/>
      <c r="KAP4" s="109"/>
      <c r="KAQ4" s="109"/>
      <c r="KAR4" s="109"/>
      <c r="KAS4" s="109"/>
      <c r="KAT4" s="109"/>
      <c r="KAU4" s="109"/>
      <c r="KAV4" s="109"/>
      <c r="KAW4" s="109"/>
      <c r="KAX4" s="109"/>
      <c r="KAY4" s="109"/>
      <c r="KAZ4" s="109"/>
      <c r="KBA4" s="109"/>
      <c r="KBB4" s="109"/>
      <c r="KBC4" s="109"/>
      <c r="KBD4" s="109"/>
      <c r="KBE4" s="109"/>
      <c r="KBF4" s="109"/>
      <c r="KBG4" s="109"/>
      <c r="KBH4" s="109"/>
      <c r="KBI4" s="109"/>
      <c r="KBJ4" s="109"/>
      <c r="KBK4" s="109"/>
      <c r="KBL4" s="109"/>
      <c r="KBM4" s="109"/>
      <c r="KBN4" s="109"/>
      <c r="KBO4" s="109"/>
      <c r="KBP4" s="109"/>
      <c r="KBQ4" s="109"/>
      <c r="KBR4" s="109"/>
      <c r="KBS4" s="109"/>
      <c r="KBT4" s="109"/>
      <c r="KBU4" s="109"/>
      <c r="KBV4" s="109"/>
      <c r="KBW4" s="109"/>
      <c r="KBX4" s="109"/>
      <c r="KBY4" s="109"/>
      <c r="KBZ4" s="109"/>
      <c r="KCA4" s="109"/>
      <c r="KCB4" s="109"/>
      <c r="KCC4" s="109"/>
      <c r="KCD4" s="109"/>
      <c r="KCE4" s="109"/>
      <c r="KCF4" s="109"/>
      <c r="KCG4" s="109"/>
      <c r="KCH4" s="109"/>
      <c r="KCI4" s="109"/>
      <c r="KCJ4" s="109"/>
      <c r="KCK4" s="109"/>
      <c r="KCL4" s="109"/>
      <c r="KCM4" s="109"/>
      <c r="KCN4" s="109"/>
      <c r="KCO4" s="109"/>
      <c r="KCP4" s="109"/>
      <c r="KCQ4" s="109"/>
      <c r="KCR4" s="109"/>
      <c r="KCS4" s="109"/>
      <c r="KCT4" s="109"/>
      <c r="KCU4" s="109"/>
      <c r="KCV4" s="109"/>
      <c r="KCW4" s="109"/>
      <c r="KCX4" s="109"/>
      <c r="KCY4" s="109"/>
      <c r="KCZ4" s="109"/>
      <c r="KDA4" s="109"/>
      <c r="KDB4" s="109"/>
      <c r="KDC4" s="109"/>
      <c r="KDD4" s="109"/>
      <c r="KDE4" s="109"/>
      <c r="KDF4" s="109"/>
      <c r="KDG4" s="109"/>
      <c r="KDH4" s="109"/>
      <c r="KDI4" s="109"/>
      <c r="KDJ4" s="109"/>
      <c r="KDK4" s="109"/>
      <c r="KDL4" s="109"/>
      <c r="KDM4" s="109"/>
      <c r="KDN4" s="109"/>
      <c r="KDO4" s="109"/>
      <c r="KDP4" s="109"/>
      <c r="KDQ4" s="109"/>
      <c r="KDR4" s="109"/>
      <c r="KDS4" s="109"/>
      <c r="KDT4" s="109"/>
      <c r="KDU4" s="109"/>
      <c r="KDV4" s="109"/>
      <c r="KDW4" s="109"/>
      <c r="KDX4" s="109"/>
      <c r="KDY4" s="109"/>
      <c r="KDZ4" s="109"/>
      <c r="KEA4" s="109"/>
      <c r="KEB4" s="109"/>
      <c r="KEC4" s="109"/>
      <c r="KED4" s="109"/>
      <c r="KEE4" s="109"/>
      <c r="KEF4" s="109"/>
      <c r="KEG4" s="109"/>
      <c r="KEH4" s="109"/>
      <c r="KEI4" s="109"/>
      <c r="KEJ4" s="109"/>
      <c r="KEK4" s="109"/>
      <c r="KEL4" s="109"/>
      <c r="KEM4" s="109"/>
      <c r="KEN4" s="109"/>
      <c r="KEO4" s="109"/>
      <c r="KEP4" s="109"/>
      <c r="KEQ4" s="109"/>
      <c r="KER4" s="109"/>
      <c r="KES4" s="109"/>
      <c r="KET4" s="109"/>
      <c r="KEU4" s="109"/>
      <c r="KEV4" s="109"/>
      <c r="KEW4" s="109"/>
      <c r="KEX4" s="109"/>
      <c r="KEY4" s="109"/>
      <c r="KEZ4" s="109"/>
      <c r="KFA4" s="109"/>
      <c r="KFB4" s="109"/>
      <c r="KFC4" s="109"/>
      <c r="KFD4" s="109"/>
      <c r="KFE4" s="109"/>
      <c r="KFF4" s="109"/>
      <c r="KFG4" s="109"/>
      <c r="KFH4" s="109"/>
      <c r="KFI4" s="109"/>
      <c r="KFJ4" s="109"/>
      <c r="KFK4" s="109"/>
      <c r="KFL4" s="109"/>
      <c r="KFM4" s="109"/>
      <c r="KFN4" s="109"/>
      <c r="KFO4" s="109"/>
      <c r="KFP4" s="109"/>
      <c r="KFQ4" s="109"/>
      <c r="KFR4" s="109"/>
      <c r="KFS4" s="109"/>
      <c r="KFT4" s="109"/>
      <c r="KFU4" s="109"/>
      <c r="KFV4" s="109"/>
      <c r="KFW4" s="109"/>
      <c r="KFX4" s="109"/>
      <c r="KFY4" s="109"/>
      <c r="KFZ4" s="109"/>
      <c r="KGA4" s="109"/>
      <c r="KGB4" s="109"/>
      <c r="KGC4" s="109"/>
      <c r="KGD4" s="109"/>
      <c r="KGE4" s="109"/>
      <c r="KGF4" s="109"/>
      <c r="KGG4" s="109"/>
      <c r="KGH4" s="109"/>
      <c r="KGI4" s="109"/>
      <c r="KGJ4" s="109"/>
      <c r="KGK4" s="109"/>
      <c r="KGL4" s="109"/>
      <c r="KGM4" s="109"/>
      <c r="KGN4" s="109"/>
      <c r="KGO4" s="109"/>
      <c r="KGP4" s="109"/>
      <c r="KGQ4" s="109"/>
      <c r="KGR4" s="109"/>
      <c r="KGS4" s="109"/>
      <c r="KGT4" s="109"/>
      <c r="KGU4" s="109"/>
      <c r="KGV4" s="109"/>
      <c r="KGW4" s="109"/>
      <c r="KGX4" s="109"/>
      <c r="KGY4" s="109"/>
      <c r="KGZ4" s="109"/>
      <c r="KHA4" s="109"/>
      <c r="KHB4" s="109"/>
      <c r="KHC4" s="109"/>
      <c r="KHD4" s="109"/>
      <c r="KHE4" s="109"/>
      <c r="KHF4" s="109"/>
      <c r="KHG4" s="109"/>
      <c r="KHH4" s="109"/>
      <c r="KHI4" s="109"/>
      <c r="KHJ4" s="109"/>
      <c r="KHK4" s="109"/>
      <c r="KHL4" s="109"/>
      <c r="KHM4" s="109"/>
      <c r="KHN4" s="109"/>
      <c r="KHO4" s="109"/>
      <c r="KHP4" s="109"/>
      <c r="KHQ4" s="109"/>
      <c r="KHR4" s="109"/>
      <c r="KHS4" s="109"/>
      <c r="KHT4" s="109"/>
      <c r="KHU4" s="109"/>
      <c r="KHV4" s="109"/>
      <c r="KHW4" s="109"/>
      <c r="KHX4" s="109"/>
      <c r="KHY4" s="109"/>
      <c r="KHZ4" s="109"/>
      <c r="KIA4" s="109"/>
      <c r="KIB4" s="109"/>
      <c r="KIC4" s="109"/>
      <c r="KID4" s="109"/>
      <c r="KIE4" s="109"/>
      <c r="KIF4" s="109"/>
      <c r="KIG4" s="109"/>
      <c r="KIH4" s="109"/>
      <c r="KII4" s="109"/>
      <c r="KIJ4" s="109"/>
      <c r="KIK4" s="109"/>
      <c r="KIL4" s="109"/>
      <c r="KIM4" s="109"/>
      <c r="KIN4" s="109"/>
      <c r="KIO4" s="109"/>
      <c r="KIP4" s="109"/>
      <c r="KIQ4" s="109"/>
      <c r="KIR4" s="109"/>
      <c r="KIS4" s="109"/>
      <c r="KIT4" s="109"/>
      <c r="KIU4" s="109"/>
      <c r="KIV4" s="109"/>
      <c r="KIW4" s="109"/>
      <c r="KIX4" s="109"/>
      <c r="KIY4" s="109"/>
      <c r="KIZ4" s="109"/>
      <c r="KJA4" s="109"/>
      <c r="KJB4" s="109"/>
      <c r="KJC4" s="109"/>
      <c r="KJD4" s="109"/>
      <c r="KJE4" s="109"/>
      <c r="KJF4" s="109"/>
      <c r="KJG4" s="109"/>
      <c r="KJH4" s="109"/>
      <c r="KJI4" s="109"/>
      <c r="KJJ4" s="109"/>
      <c r="KJK4" s="109"/>
      <c r="KJL4" s="109"/>
      <c r="KJM4" s="109"/>
      <c r="KJN4" s="109"/>
      <c r="KJO4" s="109"/>
      <c r="KJP4" s="109"/>
      <c r="KJQ4" s="109"/>
      <c r="KJR4" s="109"/>
      <c r="KJS4" s="109"/>
      <c r="KJT4" s="109"/>
      <c r="KJU4" s="109"/>
      <c r="KJV4" s="109"/>
      <c r="KJW4" s="109"/>
      <c r="KJX4" s="109"/>
      <c r="KJY4" s="109"/>
      <c r="KJZ4" s="109"/>
      <c r="KKA4" s="109"/>
      <c r="KKB4" s="109"/>
      <c r="KKC4" s="109"/>
      <c r="KKD4" s="109"/>
      <c r="KKE4" s="109"/>
      <c r="KKF4" s="109"/>
      <c r="KKG4" s="109"/>
      <c r="KKH4" s="109"/>
      <c r="KKI4" s="109"/>
      <c r="KKJ4" s="109"/>
      <c r="KKK4" s="109"/>
      <c r="KKL4" s="109"/>
      <c r="KKM4" s="109"/>
      <c r="KKN4" s="109"/>
      <c r="KKO4" s="109"/>
      <c r="KKP4" s="109"/>
      <c r="KKQ4" s="109"/>
      <c r="KKR4" s="109"/>
      <c r="KKS4" s="109"/>
      <c r="KKT4" s="109"/>
      <c r="KKU4" s="109"/>
      <c r="KKV4" s="109"/>
      <c r="KKW4" s="109"/>
      <c r="KKX4" s="109"/>
      <c r="KKY4" s="109"/>
      <c r="KKZ4" s="109"/>
      <c r="KLA4" s="109"/>
      <c r="KLB4" s="109"/>
      <c r="KLC4" s="109"/>
      <c r="KLD4" s="109"/>
      <c r="KLE4" s="109"/>
      <c r="KLF4" s="109"/>
      <c r="KLG4" s="109"/>
      <c r="KLH4" s="109"/>
      <c r="KLI4" s="109"/>
      <c r="KLJ4" s="109"/>
      <c r="KLK4" s="109"/>
      <c r="KLL4" s="109"/>
      <c r="KLM4" s="109"/>
      <c r="KLN4" s="109"/>
      <c r="KLO4" s="109"/>
      <c r="KLP4" s="109"/>
      <c r="KLQ4" s="109"/>
      <c r="KLR4" s="109"/>
      <c r="KLS4" s="109"/>
      <c r="KLT4" s="109"/>
      <c r="KLU4" s="109"/>
      <c r="KLV4" s="109"/>
      <c r="KLW4" s="109"/>
      <c r="KLX4" s="109"/>
      <c r="KLY4" s="109"/>
      <c r="KLZ4" s="109"/>
      <c r="KMA4" s="109"/>
      <c r="KMB4" s="109"/>
      <c r="KMC4" s="109"/>
      <c r="KMD4" s="109"/>
      <c r="KME4" s="109"/>
      <c r="KMF4" s="109"/>
      <c r="KMG4" s="109"/>
      <c r="KMH4" s="109"/>
      <c r="KMI4" s="109"/>
      <c r="KMJ4" s="109"/>
      <c r="KMK4" s="109"/>
      <c r="KML4" s="109"/>
      <c r="KMM4" s="109"/>
      <c r="KMN4" s="109"/>
      <c r="KMO4" s="109"/>
      <c r="KMP4" s="109"/>
      <c r="KMQ4" s="109"/>
      <c r="KMR4" s="109"/>
      <c r="KMS4" s="109"/>
      <c r="KMT4" s="109"/>
      <c r="KMU4" s="109"/>
      <c r="KMV4" s="109"/>
      <c r="KMW4" s="109"/>
      <c r="KMX4" s="109"/>
      <c r="KMY4" s="109"/>
      <c r="KMZ4" s="109"/>
      <c r="KNA4" s="109"/>
      <c r="KNB4" s="109"/>
      <c r="KNC4" s="109"/>
      <c r="KND4" s="109"/>
      <c r="KNE4" s="109"/>
      <c r="KNF4" s="109"/>
      <c r="KNG4" s="109"/>
      <c r="KNH4" s="109"/>
      <c r="KNI4" s="109"/>
      <c r="KNJ4" s="109"/>
      <c r="KNK4" s="109"/>
      <c r="KNL4" s="109"/>
      <c r="KNM4" s="109"/>
      <c r="KNN4" s="109"/>
      <c r="KNO4" s="109"/>
      <c r="KNP4" s="109"/>
      <c r="KNQ4" s="109"/>
      <c r="KNR4" s="109"/>
      <c r="KNS4" s="109"/>
      <c r="KNT4" s="109"/>
      <c r="KNU4" s="109"/>
      <c r="KNV4" s="109"/>
      <c r="KNW4" s="109"/>
      <c r="KNX4" s="109"/>
      <c r="KNY4" s="109"/>
      <c r="KNZ4" s="109"/>
      <c r="KOA4" s="109"/>
      <c r="KOB4" s="109"/>
      <c r="KOC4" s="109"/>
      <c r="KOD4" s="109"/>
      <c r="KOE4" s="109"/>
      <c r="KOF4" s="109"/>
      <c r="KOG4" s="109"/>
      <c r="KOH4" s="109"/>
      <c r="KOI4" s="109"/>
      <c r="KOJ4" s="109"/>
      <c r="KOK4" s="109"/>
      <c r="KOL4" s="109"/>
      <c r="KOM4" s="109"/>
      <c r="KON4" s="109"/>
      <c r="KOO4" s="109"/>
      <c r="KOP4" s="109"/>
      <c r="KOQ4" s="109"/>
      <c r="KOR4" s="109"/>
      <c r="KOS4" s="109"/>
      <c r="KOT4" s="109"/>
      <c r="KOU4" s="109"/>
      <c r="KOV4" s="109"/>
      <c r="KOW4" s="109"/>
      <c r="KOX4" s="109"/>
      <c r="KOY4" s="109"/>
      <c r="KOZ4" s="109"/>
      <c r="KPA4" s="109"/>
      <c r="KPB4" s="109"/>
      <c r="KPC4" s="109"/>
      <c r="KPD4" s="109"/>
      <c r="KPE4" s="109"/>
      <c r="KPF4" s="109"/>
      <c r="KPG4" s="109"/>
      <c r="KPH4" s="109"/>
      <c r="KPI4" s="109"/>
      <c r="KPJ4" s="109"/>
      <c r="KPK4" s="109"/>
      <c r="KPL4" s="109"/>
      <c r="KPM4" s="109"/>
      <c r="KPN4" s="109"/>
      <c r="KPO4" s="109"/>
      <c r="KPP4" s="109"/>
      <c r="KPQ4" s="109"/>
      <c r="KPR4" s="109"/>
      <c r="KPS4" s="109"/>
      <c r="KPT4" s="109"/>
      <c r="KPU4" s="109"/>
      <c r="KPV4" s="109"/>
      <c r="KPW4" s="109"/>
      <c r="KPX4" s="109"/>
      <c r="KPY4" s="109"/>
      <c r="KPZ4" s="109"/>
      <c r="KQA4" s="109"/>
      <c r="KQB4" s="109"/>
      <c r="KQC4" s="109"/>
      <c r="KQD4" s="109"/>
      <c r="KQE4" s="109"/>
      <c r="KQF4" s="109"/>
      <c r="KQG4" s="109"/>
      <c r="KQH4" s="109"/>
      <c r="KQI4" s="109"/>
      <c r="KQJ4" s="109"/>
      <c r="KQK4" s="109"/>
      <c r="KQL4" s="109"/>
      <c r="KQM4" s="109"/>
      <c r="KQN4" s="109"/>
      <c r="KQO4" s="109"/>
      <c r="KQP4" s="109"/>
      <c r="KQQ4" s="109"/>
      <c r="KQR4" s="109"/>
      <c r="KQS4" s="109"/>
      <c r="KQT4" s="109"/>
      <c r="KQU4" s="109"/>
      <c r="KQV4" s="109"/>
      <c r="KQW4" s="109"/>
      <c r="KQX4" s="109"/>
      <c r="KQY4" s="109"/>
      <c r="KQZ4" s="109"/>
      <c r="KRA4" s="109"/>
      <c r="KRB4" s="109"/>
      <c r="KRC4" s="109"/>
      <c r="KRD4" s="109"/>
      <c r="KRE4" s="109"/>
      <c r="KRF4" s="109"/>
      <c r="KRG4" s="109"/>
      <c r="KRH4" s="109"/>
      <c r="KRI4" s="109"/>
      <c r="KRJ4" s="109"/>
      <c r="KRK4" s="109"/>
      <c r="KRL4" s="109"/>
      <c r="KRM4" s="109"/>
      <c r="KRN4" s="109"/>
      <c r="KRO4" s="109"/>
      <c r="KRP4" s="109"/>
      <c r="KRQ4" s="109"/>
      <c r="KRR4" s="109"/>
      <c r="KRS4" s="109"/>
      <c r="KRT4" s="109"/>
      <c r="KRU4" s="109"/>
      <c r="KRV4" s="109"/>
      <c r="KRW4" s="109"/>
      <c r="KRX4" s="109"/>
      <c r="KRY4" s="109"/>
      <c r="KRZ4" s="109"/>
      <c r="KSA4" s="109"/>
      <c r="KSB4" s="109"/>
      <c r="KSC4" s="109"/>
      <c r="KSD4" s="109"/>
      <c r="KSE4" s="109"/>
      <c r="KSF4" s="109"/>
      <c r="KSG4" s="109"/>
      <c r="KSH4" s="109"/>
      <c r="KSI4" s="109"/>
      <c r="KSJ4" s="109"/>
      <c r="KSK4" s="109"/>
      <c r="KSL4" s="109"/>
      <c r="KSM4" s="109"/>
      <c r="KSN4" s="109"/>
      <c r="KSO4" s="109"/>
      <c r="KSP4" s="109"/>
      <c r="KSQ4" s="109"/>
      <c r="KSR4" s="109"/>
      <c r="KSS4" s="109"/>
      <c r="KST4" s="109"/>
      <c r="KSU4" s="109"/>
      <c r="KSV4" s="109"/>
      <c r="KSW4" s="109"/>
      <c r="KSX4" s="109"/>
      <c r="KSY4" s="109"/>
      <c r="KSZ4" s="109"/>
      <c r="KTA4" s="109"/>
      <c r="KTB4" s="109"/>
      <c r="KTC4" s="109"/>
      <c r="KTD4" s="109"/>
      <c r="KTE4" s="109"/>
      <c r="KTF4" s="109"/>
      <c r="KTG4" s="109"/>
      <c r="KTH4" s="109"/>
      <c r="KTI4" s="109"/>
      <c r="KTJ4" s="109"/>
      <c r="KTK4" s="109"/>
      <c r="KTL4" s="109"/>
      <c r="KTM4" s="109"/>
      <c r="KTN4" s="109"/>
      <c r="KTO4" s="109"/>
      <c r="KTP4" s="109"/>
      <c r="KTQ4" s="109"/>
      <c r="KTR4" s="109"/>
      <c r="KTS4" s="109"/>
      <c r="KTT4" s="109"/>
      <c r="KTU4" s="109"/>
      <c r="KTV4" s="109"/>
      <c r="KTW4" s="109"/>
      <c r="KTX4" s="109"/>
      <c r="KTY4" s="109"/>
      <c r="KTZ4" s="109"/>
      <c r="KUA4" s="109"/>
      <c r="KUB4" s="109"/>
      <c r="KUC4" s="109"/>
      <c r="KUD4" s="109"/>
      <c r="KUE4" s="109"/>
      <c r="KUF4" s="109"/>
      <c r="KUG4" s="109"/>
      <c r="KUH4" s="109"/>
      <c r="KUI4" s="109"/>
      <c r="KUJ4" s="109"/>
      <c r="KUK4" s="109"/>
      <c r="KUL4" s="109"/>
      <c r="KUM4" s="109"/>
      <c r="KUN4" s="109"/>
      <c r="KUO4" s="109"/>
      <c r="KUP4" s="109"/>
      <c r="KUQ4" s="109"/>
      <c r="KUR4" s="109"/>
      <c r="KUS4" s="109"/>
      <c r="KUT4" s="109"/>
      <c r="KUU4" s="109"/>
      <c r="KUV4" s="109"/>
      <c r="KUW4" s="109"/>
      <c r="KUX4" s="109"/>
      <c r="KUY4" s="109"/>
      <c r="KUZ4" s="109"/>
      <c r="KVA4" s="109"/>
      <c r="KVB4" s="109"/>
      <c r="KVC4" s="109"/>
      <c r="KVD4" s="109"/>
      <c r="KVE4" s="109"/>
      <c r="KVF4" s="109"/>
      <c r="KVG4" s="109"/>
      <c r="KVH4" s="109"/>
      <c r="KVI4" s="109"/>
      <c r="KVJ4" s="109"/>
      <c r="KVK4" s="109"/>
      <c r="KVL4" s="109"/>
      <c r="KVM4" s="109"/>
      <c r="KVN4" s="109"/>
      <c r="KVO4" s="109"/>
      <c r="KVP4" s="109"/>
      <c r="KVQ4" s="109"/>
      <c r="KVR4" s="109"/>
      <c r="KVS4" s="109"/>
      <c r="KVT4" s="109"/>
      <c r="KVU4" s="109"/>
      <c r="KVV4" s="109"/>
      <c r="KVW4" s="109"/>
      <c r="KVX4" s="109"/>
      <c r="KVY4" s="109"/>
      <c r="KVZ4" s="109"/>
      <c r="KWA4" s="109"/>
      <c r="KWB4" s="109"/>
      <c r="KWC4" s="109"/>
      <c r="KWD4" s="109"/>
      <c r="KWE4" s="109"/>
      <c r="KWF4" s="109"/>
      <c r="KWG4" s="109"/>
      <c r="KWH4" s="109"/>
      <c r="KWI4" s="109"/>
      <c r="KWJ4" s="109"/>
      <c r="KWK4" s="109"/>
      <c r="KWL4" s="109"/>
      <c r="KWM4" s="109"/>
      <c r="KWN4" s="109"/>
      <c r="KWO4" s="109"/>
      <c r="KWP4" s="109"/>
      <c r="KWQ4" s="109"/>
      <c r="KWR4" s="109"/>
      <c r="KWS4" s="109"/>
      <c r="KWT4" s="109"/>
      <c r="KWU4" s="109"/>
      <c r="KWV4" s="109"/>
      <c r="KWW4" s="109"/>
      <c r="KWX4" s="109"/>
      <c r="KWY4" s="109"/>
      <c r="KWZ4" s="109"/>
      <c r="KXA4" s="109"/>
      <c r="KXB4" s="109"/>
      <c r="KXC4" s="109"/>
      <c r="KXD4" s="109"/>
      <c r="KXE4" s="109"/>
      <c r="KXF4" s="109"/>
      <c r="KXG4" s="109"/>
      <c r="KXH4" s="109"/>
      <c r="KXI4" s="109"/>
      <c r="KXJ4" s="109"/>
      <c r="KXK4" s="109"/>
      <c r="KXL4" s="109"/>
      <c r="KXM4" s="109"/>
      <c r="KXN4" s="109"/>
      <c r="KXO4" s="109"/>
      <c r="KXP4" s="109"/>
      <c r="KXQ4" s="109"/>
      <c r="KXR4" s="109"/>
      <c r="KXS4" s="109"/>
      <c r="KXT4" s="109"/>
      <c r="KXU4" s="109"/>
      <c r="KXV4" s="109"/>
      <c r="KXW4" s="109"/>
      <c r="KXX4" s="109"/>
      <c r="KXY4" s="109"/>
      <c r="KXZ4" s="109"/>
      <c r="KYA4" s="109"/>
      <c r="KYB4" s="109"/>
      <c r="KYC4" s="109"/>
      <c r="KYD4" s="109"/>
      <c r="KYE4" s="109"/>
      <c r="KYF4" s="109"/>
      <c r="KYG4" s="109"/>
      <c r="KYH4" s="109"/>
      <c r="KYI4" s="109"/>
      <c r="KYJ4" s="109"/>
      <c r="KYK4" s="109"/>
      <c r="KYL4" s="109"/>
      <c r="KYM4" s="109"/>
      <c r="KYN4" s="109"/>
      <c r="KYO4" s="109"/>
      <c r="KYP4" s="109"/>
      <c r="KYQ4" s="109"/>
      <c r="KYR4" s="109"/>
      <c r="KYS4" s="109"/>
      <c r="KYT4" s="109"/>
      <c r="KYU4" s="109"/>
      <c r="KYV4" s="109"/>
      <c r="KYW4" s="109"/>
      <c r="KYX4" s="109"/>
      <c r="KYY4" s="109"/>
      <c r="KYZ4" s="109"/>
      <c r="KZA4" s="109"/>
      <c r="KZB4" s="109"/>
      <c r="KZC4" s="109"/>
      <c r="KZD4" s="109"/>
      <c r="KZE4" s="109"/>
      <c r="KZF4" s="109"/>
      <c r="KZG4" s="109"/>
      <c r="KZH4" s="109"/>
      <c r="KZI4" s="109"/>
      <c r="KZJ4" s="109"/>
      <c r="KZK4" s="109"/>
      <c r="KZL4" s="109"/>
      <c r="KZM4" s="109"/>
      <c r="KZN4" s="109"/>
      <c r="KZO4" s="109"/>
      <c r="KZP4" s="109"/>
      <c r="KZQ4" s="109"/>
      <c r="KZR4" s="109"/>
      <c r="KZS4" s="109"/>
      <c r="KZT4" s="109"/>
      <c r="KZU4" s="109"/>
      <c r="KZV4" s="109"/>
      <c r="KZW4" s="109"/>
      <c r="KZX4" s="109"/>
      <c r="KZY4" s="109"/>
      <c r="KZZ4" s="109"/>
      <c r="LAA4" s="109"/>
      <c r="LAB4" s="109"/>
      <c r="LAC4" s="109"/>
      <c r="LAD4" s="109"/>
      <c r="LAE4" s="109"/>
      <c r="LAF4" s="109"/>
      <c r="LAG4" s="109"/>
      <c r="LAH4" s="109"/>
      <c r="LAI4" s="109"/>
      <c r="LAJ4" s="109"/>
      <c r="LAK4" s="109"/>
      <c r="LAL4" s="109"/>
      <c r="LAM4" s="109"/>
      <c r="LAN4" s="109"/>
      <c r="LAO4" s="109"/>
      <c r="LAP4" s="109"/>
      <c r="LAQ4" s="109"/>
      <c r="LAR4" s="109"/>
      <c r="LAS4" s="109"/>
      <c r="LAT4" s="109"/>
      <c r="LAU4" s="109"/>
      <c r="LAV4" s="109"/>
      <c r="LAW4" s="109"/>
      <c r="LAX4" s="109"/>
      <c r="LAY4" s="109"/>
      <c r="LAZ4" s="109"/>
      <c r="LBA4" s="109"/>
      <c r="LBB4" s="109"/>
      <c r="LBC4" s="109"/>
      <c r="LBD4" s="109"/>
      <c r="LBE4" s="109"/>
      <c r="LBF4" s="109"/>
      <c r="LBG4" s="109"/>
      <c r="LBH4" s="109"/>
      <c r="LBI4" s="109"/>
      <c r="LBJ4" s="109"/>
      <c r="LBK4" s="109"/>
      <c r="LBL4" s="109"/>
      <c r="LBM4" s="109"/>
      <c r="LBN4" s="109"/>
      <c r="LBO4" s="109"/>
      <c r="LBP4" s="109"/>
      <c r="LBQ4" s="109"/>
      <c r="LBR4" s="109"/>
      <c r="LBS4" s="109"/>
      <c r="LBT4" s="109"/>
      <c r="LBU4" s="109"/>
      <c r="LBV4" s="109"/>
      <c r="LBW4" s="109"/>
      <c r="LBX4" s="109"/>
      <c r="LBY4" s="109"/>
      <c r="LBZ4" s="109"/>
      <c r="LCA4" s="109"/>
      <c r="LCB4" s="109"/>
      <c r="LCC4" s="109"/>
      <c r="LCD4" s="109"/>
      <c r="LCE4" s="109"/>
      <c r="LCF4" s="109"/>
      <c r="LCG4" s="109"/>
      <c r="LCH4" s="109"/>
      <c r="LCI4" s="109"/>
      <c r="LCJ4" s="109"/>
      <c r="LCK4" s="109"/>
      <c r="LCL4" s="109"/>
      <c r="LCM4" s="109"/>
      <c r="LCN4" s="109"/>
      <c r="LCO4" s="109"/>
      <c r="LCP4" s="109"/>
      <c r="LCQ4" s="109"/>
      <c r="LCR4" s="109"/>
      <c r="LCS4" s="109"/>
      <c r="LCT4" s="109"/>
      <c r="LCU4" s="109"/>
      <c r="LCV4" s="109"/>
      <c r="LCW4" s="109"/>
      <c r="LCX4" s="109"/>
      <c r="LCY4" s="109"/>
      <c r="LCZ4" s="109"/>
      <c r="LDA4" s="109"/>
      <c r="LDB4" s="109"/>
      <c r="LDC4" s="109"/>
      <c r="LDD4" s="109"/>
      <c r="LDE4" s="109"/>
      <c r="LDF4" s="109"/>
      <c r="LDG4" s="109"/>
      <c r="LDH4" s="109"/>
      <c r="LDI4" s="109"/>
      <c r="LDJ4" s="109"/>
      <c r="LDK4" s="109"/>
      <c r="LDL4" s="109"/>
      <c r="LDM4" s="109"/>
      <c r="LDN4" s="109"/>
      <c r="LDO4" s="109"/>
      <c r="LDP4" s="109"/>
      <c r="LDQ4" s="109"/>
      <c r="LDR4" s="109"/>
      <c r="LDS4" s="109"/>
      <c r="LDT4" s="109"/>
      <c r="LDU4" s="109"/>
      <c r="LDV4" s="109"/>
      <c r="LDW4" s="109"/>
      <c r="LDX4" s="109"/>
      <c r="LDY4" s="109"/>
      <c r="LDZ4" s="109"/>
      <c r="LEA4" s="109"/>
      <c r="LEB4" s="109"/>
      <c r="LEC4" s="109"/>
      <c r="LED4" s="109"/>
      <c r="LEE4" s="109"/>
      <c r="LEF4" s="109"/>
      <c r="LEG4" s="109"/>
      <c r="LEH4" s="109"/>
      <c r="LEI4" s="109"/>
      <c r="LEJ4" s="109"/>
      <c r="LEK4" s="109"/>
      <c r="LEL4" s="109"/>
      <c r="LEM4" s="109"/>
      <c r="LEN4" s="109"/>
      <c r="LEO4" s="109"/>
      <c r="LEP4" s="109"/>
      <c r="LEQ4" s="109"/>
      <c r="LER4" s="109"/>
      <c r="LES4" s="109"/>
      <c r="LET4" s="109"/>
      <c r="LEU4" s="109"/>
      <c r="LEV4" s="109"/>
      <c r="LEW4" s="109"/>
      <c r="LEX4" s="109"/>
      <c r="LEY4" s="109"/>
      <c r="LEZ4" s="109"/>
      <c r="LFA4" s="109"/>
      <c r="LFB4" s="109"/>
      <c r="LFC4" s="109"/>
      <c r="LFD4" s="109"/>
      <c r="LFE4" s="109"/>
      <c r="LFF4" s="109"/>
      <c r="LFG4" s="109"/>
      <c r="LFH4" s="109"/>
      <c r="LFI4" s="109"/>
      <c r="LFJ4" s="109"/>
      <c r="LFK4" s="109"/>
      <c r="LFL4" s="109"/>
      <c r="LFM4" s="109"/>
      <c r="LFN4" s="109"/>
      <c r="LFO4" s="109"/>
      <c r="LFP4" s="109"/>
      <c r="LFQ4" s="109"/>
      <c r="LFR4" s="109"/>
      <c r="LFS4" s="109"/>
      <c r="LFT4" s="109"/>
      <c r="LFU4" s="109"/>
      <c r="LFV4" s="109"/>
      <c r="LFW4" s="109"/>
      <c r="LFX4" s="109"/>
      <c r="LFY4" s="109"/>
      <c r="LFZ4" s="109"/>
      <c r="LGA4" s="109"/>
      <c r="LGB4" s="109"/>
      <c r="LGC4" s="109"/>
      <c r="LGD4" s="109"/>
      <c r="LGE4" s="109"/>
      <c r="LGF4" s="109"/>
      <c r="LGG4" s="109"/>
      <c r="LGH4" s="109"/>
      <c r="LGI4" s="109"/>
      <c r="LGJ4" s="109"/>
      <c r="LGK4" s="109"/>
      <c r="LGL4" s="109"/>
      <c r="LGM4" s="109"/>
      <c r="LGN4" s="109"/>
      <c r="LGO4" s="109"/>
      <c r="LGP4" s="109"/>
      <c r="LGQ4" s="109"/>
      <c r="LGR4" s="109"/>
      <c r="LGS4" s="109"/>
      <c r="LGT4" s="109"/>
      <c r="LGU4" s="109"/>
      <c r="LGV4" s="109"/>
      <c r="LGW4" s="109"/>
      <c r="LGX4" s="109"/>
      <c r="LGY4" s="109"/>
      <c r="LGZ4" s="109"/>
      <c r="LHA4" s="109"/>
      <c r="LHB4" s="109"/>
      <c r="LHC4" s="109"/>
      <c r="LHD4" s="109"/>
      <c r="LHE4" s="109"/>
      <c r="LHF4" s="109"/>
      <c r="LHG4" s="109"/>
      <c r="LHH4" s="109"/>
      <c r="LHI4" s="109"/>
      <c r="LHJ4" s="109"/>
      <c r="LHK4" s="109"/>
      <c r="LHL4" s="109"/>
      <c r="LHM4" s="109"/>
      <c r="LHN4" s="109"/>
      <c r="LHO4" s="109"/>
      <c r="LHP4" s="109"/>
      <c r="LHQ4" s="109"/>
      <c r="LHR4" s="109"/>
      <c r="LHS4" s="109"/>
      <c r="LHT4" s="109"/>
      <c r="LHU4" s="109"/>
      <c r="LHV4" s="109"/>
      <c r="LHW4" s="109"/>
      <c r="LHX4" s="109"/>
      <c r="LHY4" s="109"/>
      <c r="LHZ4" s="109"/>
      <c r="LIA4" s="109"/>
      <c r="LIB4" s="109"/>
      <c r="LIC4" s="109"/>
      <c r="LID4" s="109"/>
      <c r="LIE4" s="109"/>
      <c r="LIF4" s="109"/>
      <c r="LIG4" s="109"/>
      <c r="LIH4" s="109"/>
      <c r="LII4" s="109"/>
      <c r="LIJ4" s="109"/>
      <c r="LIK4" s="109"/>
      <c r="LIL4" s="109"/>
      <c r="LIM4" s="109"/>
      <c r="LIN4" s="109"/>
      <c r="LIO4" s="109"/>
      <c r="LIP4" s="109"/>
      <c r="LIQ4" s="109"/>
      <c r="LIR4" s="109"/>
      <c r="LIS4" s="109"/>
      <c r="LIT4" s="109"/>
      <c r="LIU4" s="109"/>
      <c r="LIV4" s="109"/>
      <c r="LIW4" s="109"/>
      <c r="LIX4" s="109"/>
      <c r="LIY4" s="109"/>
      <c r="LIZ4" s="109"/>
      <c r="LJA4" s="109"/>
      <c r="LJB4" s="109"/>
      <c r="LJC4" s="109"/>
      <c r="LJD4" s="109"/>
      <c r="LJE4" s="109"/>
      <c r="LJF4" s="109"/>
      <c r="LJG4" s="109"/>
      <c r="LJH4" s="109"/>
      <c r="LJI4" s="109"/>
      <c r="LJJ4" s="109"/>
      <c r="LJK4" s="109"/>
      <c r="LJL4" s="109"/>
      <c r="LJM4" s="109"/>
      <c r="LJN4" s="109"/>
      <c r="LJO4" s="109"/>
      <c r="LJP4" s="109"/>
      <c r="LJQ4" s="109"/>
      <c r="LJR4" s="109"/>
      <c r="LJS4" s="109"/>
      <c r="LJT4" s="109"/>
      <c r="LJU4" s="109"/>
      <c r="LJV4" s="109"/>
      <c r="LJW4" s="109"/>
      <c r="LJX4" s="109"/>
      <c r="LJY4" s="109"/>
      <c r="LJZ4" s="109"/>
      <c r="LKA4" s="109"/>
      <c r="LKB4" s="109"/>
      <c r="LKC4" s="109"/>
      <c r="LKD4" s="109"/>
      <c r="LKE4" s="109"/>
      <c r="LKF4" s="109"/>
      <c r="LKG4" s="109"/>
      <c r="LKH4" s="109"/>
      <c r="LKI4" s="109"/>
      <c r="LKJ4" s="109"/>
      <c r="LKK4" s="109"/>
      <c r="LKL4" s="109"/>
      <c r="LKM4" s="109"/>
      <c r="LKN4" s="109"/>
      <c r="LKO4" s="109"/>
      <c r="LKP4" s="109"/>
      <c r="LKQ4" s="109"/>
      <c r="LKR4" s="109"/>
      <c r="LKS4" s="109"/>
      <c r="LKT4" s="109"/>
      <c r="LKU4" s="109"/>
      <c r="LKV4" s="109"/>
      <c r="LKW4" s="109"/>
      <c r="LKX4" s="109"/>
      <c r="LKY4" s="109"/>
      <c r="LKZ4" s="109"/>
      <c r="LLA4" s="109"/>
      <c r="LLB4" s="109"/>
      <c r="LLC4" s="109"/>
      <c r="LLD4" s="109"/>
      <c r="LLE4" s="109"/>
      <c r="LLF4" s="109"/>
      <c r="LLG4" s="109"/>
      <c r="LLH4" s="109"/>
      <c r="LLI4" s="109"/>
      <c r="LLJ4" s="109"/>
      <c r="LLK4" s="109"/>
      <c r="LLL4" s="109"/>
      <c r="LLM4" s="109"/>
      <c r="LLN4" s="109"/>
      <c r="LLO4" s="109"/>
      <c r="LLP4" s="109"/>
      <c r="LLQ4" s="109"/>
      <c r="LLR4" s="109"/>
      <c r="LLS4" s="109"/>
      <c r="LLT4" s="109"/>
      <c r="LLU4" s="109"/>
      <c r="LLV4" s="109"/>
      <c r="LLW4" s="109"/>
      <c r="LLX4" s="109"/>
      <c r="LLY4" s="109"/>
      <c r="LLZ4" s="109"/>
      <c r="LMA4" s="109"/>
      <c r="LMB4" s="109"/>
      <c r="LMC4" s="109"/>
      <c r="LMD4" s="109"/>
      <c r="LME4" s="109"/>
      <c r="LMF4" s="109"/>
      <c r="LMG4" s="109"/>
      <c r="LMH4" s="109"/>
      <c r="LMI4" s="109"/>
      <c r="LMJ4" s="109"/>
      <c r="LMK4" s="109"/>
      <c r="LML4" s="109"/>
      <c r="LMM4" s="109"/>
      <c r="LMN4" s="109"/>
      <c r="LMO4" s="109"/>
      <c r="LMP4" s="109"/>
      <c r="LMQ4" s="109"/>
      <c r="LMR4" s="109"/>
      <c r="LMS4" s="109"/>
      <c r="LMT4" s="109"/>
      <c r="LMU4" s="109"/>
      <c r="LMV4" s="109"/>
      <c r="LMW4" s="109"/>
      <c r="LMX4" s="109"/>
      <c r="LMY4" s="109"/>
      <c r="LMZ4" s="109"/>
      <c r="LNA4" s="109"/>
      <c r="LNB4" s="109"/>
      <c r="LNC4" s="109"/>
      <c r="LND4" s="109"/>
      <c r="LNE4" s="109"/>
      <c r="LNF4" s="109"/>
      <c r="LNG4" s="109"/>
      <c r="LNH4" s="109"/>
      <c r="LNI4" s="109"/>
      <c r="LNJ4" s="109"/>
      <c r="LNK4" s="109"/>
      <c r="LNL4" s="109"/>
      <c r="LNM4" s="109"/>
      <c r="LNN4" s="109"/>
      <c r="LNO4" s="109"/>
      <c r="LNP4" s="109"/>
      <c r="LNQ4" s="109"/>
      <c r="LNR4" s="109"/>
      <c r="LNS4" s="109"/>
      <c r="LNT4" s="109"/>
      <c r="LNU4" s="109"/>
      <c r="LNV4" s="109"/>
      <c r="LNW4" s="109"/>
      <c r="LNX4" s="109"/>
      <c r="LNY4" s="109"/>
      <c r="LNZ4" s="109"/>
      <c r="LOA4" s="109"/>
      <c r="LOB4" s="109"/>
      <c r="LOC4" s="109"/>
      <c r="LOD4" s="109"/>
      <c r="LOE4" s="109"/>
      <c r="LOF4" s="109"/>
      <c r="LOG4" s="109"/>
      <c r="LOH4" s="109"/>
      <c r="LOI4" s="109"/>
      <c r="LOJ4" s="109"/>
      <c r="LOK4" s="109"/>
      <c r="LOL4" s="109"/>
      <c r="LOM4" s="109"/>
      <c r="LON4" s="109"/>
      <c r="LOO4" s="109"/>
      <c r="LOP4" s="109"/>
      <c r="LOQ4" s="109"/>
      <c r="LOR4" s="109"/>
      <c r="LOS4" s="109"/>
      <c r="LOT4" s="109"/>
      <c r="LOU4" s="109"/>
      <c r="LOV4" s="109"/>
      <c r="LOW4" s="109"/>
      <c r="LOX4" s="109"/>
      <c r="LOY4" s="109"/>
      <c r="LOZ4" s="109"/>
      <c r="LPA4" s="109"/>
      <c r="LPB4" s="109"/>
      <c r="LPC4" s="109"/>
      <c r="LPD4" s="109"/>
      <c r="LPE4" s="109"/>
      <c r="LPF4" s="109"/>
      <c r="LPG4" s="109"/>
      <c r="LPH4" s="109"/>
      <c r="LPI4" s="109"/>
      <c r="LPJ4" s="109"/>
      <c r="LPK4" s="109"/>
      <c r="LPL4" s="109"/>
      <c r="LPM4" s="109"/>
      <c r="LPN4" s="109"/>
      <c r="LPO4" s="109"/>
      <c r="LPP4" s="109"/>
      <c r="LPQ4" s="109"/>
      <c r="LPR4" s="109"/>
      <c r="LPS4" s="109"/>
      <c r="LPT4" s="109"/>
      <c r="LPU4" s="109"/>
      <c r="LPV4" s="109"/>
      <c r="LPW4" s="109"/>
      <c r="LPX4" s="109"/>
      <c r="LPY4" s="109"/>
      <c r="LPZ4" s="109"/>
      <c r="LQA4" s="109"/>
      <c r="LQB4" s="109"/>
      <c r="LQC4" s="109"/>
      <c r="LQD4" s="109"/>
      <c r="LQE4" s="109"/>
      <c r="LQF4" s="109"/>
      <c r="LQG4" s="109"/>
      <c r="LQH4" s="109"/>
      <c r="LQI4" s="109"/>
      <c r="LQJ4" s="109"/>
      <c r="LQK4" s="109"/>
      <c r="LQL4" s="109"/>
      <c r="LQM4" s="109"/>
      <c r="LQN4" s="109"/>
      <c r="LQO4" s="109"/>
      <c r="LQP4" s="109"/>
      <c r="LQQ4" s="109"/>
      <c r="LQR4" s="109"/>
      <c r="LQS4" s="109"/>
      <c r="LQT4" s="109"/>
      <c r="LQU4" s="109"/>
      <c r="LQV4" s="109"/>
      <c r="LQW4" s="109"/>
      <c r="LQX4" s="109"/>
      <c r="LQY4" s="109"/>
      <c r="LQZ4" s="109"/>
      <c r="LRA4" s="109"/>
      <c r="LRB4" s="109"/>
      <c r="LRC4" s="109"/>
      <c r="LRD4" s="109"/>
      <c r="LRE4" s="109"/>
      <c r="LRF4" s="109"/>
      <c r="LRG4" s="109"/>
      <c r="LRH4" s="109"/>
      <c r="LRI4" s="109"/>
      <c r="LRJ4" s="109"/>
      <c r="LRK4" s="109"/>
      <c r="LRL4" s="109"/>
      <c r="LRM4" s="109"/>
      <c r="LRN4" s="109"/>
      <c r="LRO4" s="109"/>
      <c r="LRP4" s="109"/>
      <c r="LRQ4" s="109"/>
      <c r="LRR4" s="109"/>
      <c r="LRS4" s="109"/>
      <c r="LRT4" s="109"/>
      <c r="LRU4" s="109"/>
      <c r="LRV4" s="109"/>
      <c r="LRW4" s="109"/>
      <c r="LRX4" s="109"/>
      <c r="LRY4" s="109"/>
      <c r="LRZ4" s="109"/>
      <c r="LSA4" s="109"/>
      <c r="LSB4" s="109"/>
      <c r="LSC4" s="109"/>
      <c r="LSD4" s="109"/>
      <c r="LSE4" s="109"/>
      <c r="LSF4" s="109"/>
      <c r="LSG4" s="109"/>
      <c r="LSH4" s="109"/>
      <c r="LSI4" s="109"/>
      <c r="LSJ4" s="109"/>
      <c r="LSK4" s="109"/>
      <c r="LSL4" s="109"/>
      <c r="LSM4" s="109"/>
      <c r="LSN4" s="109"/>
      <c r="LSO4" s="109"/>
      <c r="LSP4" s="109"/>
      <c r="LSQ4" s="109"/>
      <c r="LSR4" s="109"/>
      <c r="LSS4" s="109"/>
      <c r="LST4" s="109"/>
      <c r="LSU4" s="109"/>
      <c r="LSV4" s="109"/>
      <c r="LSW4" s="109"/>
      <c r="LSX4" s="109"/>
      <c r="LSY4" s="109"/>
      <c r="LSZ4" s="109"/>
      <c r="LTA4" s="109"/>
      <c r="LTB4" s="109"/>
      <c r="LTC4" s="109"/>
      <c r="LTD4" s="109"/>
      <c r="LTE4" s="109"/>
      <c r="LTF4" s="109"/>
      <c r="LTG4" s="109"/>
      <c r="LTH4" s="109"/>
      <c r="LTI4" s="109"/>
      <c r="LTJ4" s="109"/>
      <c r="LTK4" s="109"/>
      <c r="LTL4" s="109"/>
      <c r="LTM4" s="109"/>
      <c r="LTN4" s="109"/>
      <c r="LTO4" s="109"/>
      <c r="LTP4" s="109"/>
      <c r="LTQ4" s="109"/>
      <c r="LTR4" s="109"/>
      <c r="LTS4" s="109"/>
      <c r="LTT4" s="109"/>
      <c r="LTU4" s="109"/>
      <c r="LTV4" s="109"/>
      <c r="LTW4" s="109"/>
      <c r="LTX4" s="109"/>
      <c r="LTY4" s="109"/>
      <c r="LTZ4" s="109"/>
      <c r="LUA4" s="109"/>
      <c r="LUB4" s="109"/>
      <c r="LUC4" s="109"/>
      <c r="LUD4" s="109"/>
      <c r="LUE4" s="109"/>
      <c r="LUF4" s="109"/>
      <c r="LUG4" s="109"/>
      <c r="LUH4" s="109"/>
      <c r="LUI4" s="109"/>
      <c r="LUJ4" s="109"/>
      <c r="LUK4" s="109"/>
      <c r="LUL4" s="109"/>
      <c r="LUM4" s="109"/>
      <c r="LUN4" s="109"/>
      <c r="LUO4" s="109"/>
      <c r="LUP4" s="109"/>
      <c r="LUQ4" s="109"/>
      <c r="LUR4" s="109"/>
      <c r="LUS4" s="109"/>
      <c r="LUT4" s="109"/>
      <c r="LUU4" s="109"/>
      <c r="LUV4" s="109"/>
      <c r="LUW4" s="109"/>
      <c r="LUX4" s="109"/>
      <c r="LUY4" s="109"/>
      <c r="LUZ4" s="109"/>
      <c r="LVA4" s="109"/>
      <c r="LVB4" s="109"/>
      <c r="LVC4" s="109"/>
      <c r="LVD4" s="109"/>
      <c r="LVE4" s="109"/>
      <c r="LVF4" s="109"/>
      <c r="LVG4" s="109"/>
      <c r="LVH4" s="109"/>
      <c r="LVI4" s="109"/>
      <c r="LVJ4" s="109"/>
      <c r="LVK4" s="109"/>
      <c r="LVL4" s="109"/>
      <c r="LVM4" s="109"/>
      <c r="LVN4" s="109"/>
      <c r="LVO4" s="109"/>
      <c r="LVP4" s="109"/>
      <c r="LVQ4" s="109"/>
      <c r="LVR4" s="109"/>
      <c r="LVS4" s="109"/>
      <c r="LVT4" s="109"/>
      <c r="LVU4" s="109"/>
      <c r="LVV4" s="109"/>
      <c r="LVW4" s="109"/>
      <c r="LVX4" s="109"/>
      <c r="LVY4" s="109"/>
      <c r="LVZ4" s="109"/>
      <c r="LWA4" s="109"/>
      <c r="LWB4" s="109"/>
      <c r="LWC4" s="109"/>
      <c r="LWD4" s="109"/>
      <c r="LWE4" s="109"/>
      <c r="LWF4" s="109"/>
      <c r="LWG4" s="109"/>
      <c r="LWH4" s="109"/>
      <c r="LWI4" s="109"/>
      <c r="LWJ4" s="109"/>
      <c r="LWK4" s="109"/>
      <c r="LWL4" s="109"/>
      <c r="LWM4" s="109"/>
      <c r="LWN4" s="109"/>
      <c r="LWO4" s="109"/>
      <c r="LWP4" s="109"/>
      <c r="LWQ4" s="109"/>
      <c r="LWR4" s="109"/>
      <c r="LWS4" s="109"/>
      <c r="LWT4" s="109"/>
      <c r="LWU4" s="109"/>
      <c r="LWV4" s="109"/>
      <c r="LWW4" s="109"/>
      <c r="LWX4" s="109"/>
      <c r="LWY4" s="109"/>
      <c r="LWZ4" s="109"/>
      <c r="LXA4" s="109"/>
      <c r="LXB4" s="109"/>
      <c r="LXC4" s="109"/>
      <c r="LXD4" s="109"/>
      <c r="LXE4" s="109"/>
      <c r="LXF4" s="109"/>
      <c r="LXG4" s="109"/>
      <c r="LXH4" s="109"/>
      <c r="LXI4" s="109"/>
      <c r="LXJ4" s="109"/>
      <c r="LXK4" s="109"/>
      <c r="LXL4" s="109"/>
      <c r="LXM4" s="109"/>
      <c r="LXN4" s="109"/>
      <c r="LXO4" s="109"/>
      <c r="LXP4" s="109"/>
      <c r="LXQ4" s="109"/>
      <c r="LXR4" s="109"/>
      <c r="LXS4" s="109"/>
      <c r="LXT4" s="109"/>
      <c r="LXU4" s="109"/>
      <c r="LXV4" s="109"/>
      <c r="LXW4" s="109"/>
      <c r="LXX4" s="109"/>
      <c r="LXY4" s="109"/>
      <c r="LXZ4" s="109"/>
      <c r="LYA4" s="109"/>
      <c r="LYB4" s="109"/>
      <c r="LYC4" s="109"/>
      <c r="LYD4" s="109"/>
      <c r="LYE4" s="109"/>
      <c r="LYF4" s="109"/>
      <c r="LYG4" s="109"/>
      <c r="LYH4" s="109"/>
      <c r="LYI4" s="109"/>
      <c r="LYJ4" s="109"/>
      <c r="LYK4" s="109"/>
      <c r="LYL4" s="109"/>
      <c r="LYM4" s="109"/>
      <c r="LYN4" s="109"/>
      <c r="LYO4" s="109"/>
      <c r="LYP4" s="109"/>
      <c r="LYQ4" s="109"/>
      <c r="LYR4" s="109"/>
      <c r="LYS4" s="109"/>
      <c r="LYT4" s="109"/>
      <c r="LYU4" s="109"/>
      <c r="LYV4" s="109"/>
      <c r="LYW4" s="109"/>
      <c r="LYX4" s="109"/>
      <c r="LYY4" s="109"/>
      <c r="LYZ4" s="109"/>
      <c r="LZA4" s="109"/>
      <c r="LZB4" s="109"/>
      <c r="LZC4" s="109"/>
      <c r="LZD4" s="109"/>
      <c r="LZE4" s="109"/>
      <c r="LZF4" s="109"/>
      <c r="LZG4" s="109"/>
      <c r="LZH4" s="109"/>
      <c r="LZI4" s="109"/>
      <c r="LZJ4" s="109"/>
      <c r="LZK4" s="109"/>
      <c r="LZL4" s="109"/>
      <c r="LZM4" s="109"/>
      <c r="LZN4" s="109"/>
      <c r="LZO4" s="109"/>
      <c r="LZP4" s="109"/>
      <c r="LZQ4" s="109"/>
      <c r="LZR4" s="109"/>
      <c r="LZS4" s="109"/>
      <c r="LZT4" s="109"/>
      <c r="LZU4" s="109"/>
      <c r="LZV4" s="109"/>
      <c r="LZW4" s="109"/>
      <c r="LZX4" s="109"/>
      <c r="LZY4" s="109"/>
      <c r="LZZ4" s="109"/>
      <c r="MAA4" s="109"/>
      <c r="MAB4" s="109"/>
      <c r="MAC4" s="109"/>
      <c r="MAD4" s="109"/>
      <c r="MAE4" s="109"/>
      <c r="MAF4" s="109"/>
      <c r="MAG4" s="109"/>
      <c r="MAH4" s="109"/>
      <c r="MAI4" s="109"/>
      <c r="MAJ4" s="109"/>
      <c r="MAK4" s="109"/>
      <c r="MAL4" s="109"/>
      <c r="MAM4" s="109"/>
      <c r="MAN4" s="109"/>
      <c r="MAO4" s="109"/>
      <c r="MAP4" s="109"/>
      <c r="MAQ4" s="109"/>
      <c r="MAR4" s="109"/>
      <c r="MAS4" s="109"/>
      <c r="MAT4" s="109"/>
      <c r="MAU4" s="109"/>
      <c r="MAV4" s="109"/>
      <c r="MAW4" s="109"/>
      <c r="MAX4" s="109"/>
      <c r="MAY4" s="109"/>
      <c r="MAZ4" s="109"/>
      <c r="MBA4" s="109"/>
      <c r="MBB4" s="109"/>
      <c r="MBC4" s="109"/>
      <c r="MBD4" s="109"/>
      <c r="MBE4" s="109"/>
      <c r="MBF4" s="109"/>
      <c r="MBG4" s="109"/>
      <c r="MBH4" s="109"/>
      <c r="MBI4" s="109"/>
      <c r="MBJ4" s="109"/>
      <c r="MBK4" s="109"/>
      <c r="MBL4" s="109"/>
      <c r="MBM4" s="109"/>
      <c r="MBN4" s="109"/>
      <c r="MBO4" s="109"/>
      <c r="MBP4" s="109"/>
      <c r="MBQ4" s="109"/>
      <c r="MBR4" s="109"/>
      <c r="MBS4" s="109"/>
      <c r="MBT4" s="109"/>
      <c r="MBU4" s="109"/>
      <c r="MBV4" s="109"/>
      <c r="MBW4" s="109"/>
      <c r="MBX4" s="109"/>
      <c r="MBY4" s="109"/>
      <c r="MBZ4" s="109"/>
      <c r="MCA4" s="109"/>
      <c r="MCB4" s="109"/>
      <c r="MCC4" s="109"/>
      <c r="MCD4" s="109"/>
      <c r="MCE4" s="109"/>
      <c r="MCF4" s="109"/>
      <c r="MCG4" s="109"/>
      <c r="MCH4" s="109"/>
      <c r="MCI4" s="109"/>
      <c r="MCJ4" s="109"/>
      <c r="MCK4" s="109"/>
      <c r="MCL4" s="109"/>
      <c r="MCM4" s="109"/>
      <c r="MCN4" s="109"/>
      <c r="MCO4" s="109"/>
      <c r="MCP4" s="109"/>
      <c r="MCQ4" s="109"/>
      <c r="MCR4" s="109"/>
      <c r="MCS4" s="109"/>
      <c r="MCT4" s="109"/>
      <c r="MCU4" s="109"/>
      <c r="MCV4" s="109"/>
      <c r="MCW4" s="109"/>
      <c r="MCX4" s="109"/>
      <c r="MCY4" s="109"/>
      <c r="MCZ4" s="109"/>
      <c r="MDA4" s="109"/>
      <c r="MDB4" s="109"/>
      <c r="MDC4" s="109"/>
      <c r="MDD4" s="109"/>
      <c r="MDE4" s="109"/>
      <c r="MDF4" s="109"/>
      <c r="MDG4" s="109"/>
      <c r="MDH4" s="109"/>
      <c r="MDI4" s="109"/>
      <c r="MDJ4" s="109"/>
      <c r="MDK4" s="109"/>
      <c r="MDL4" s="109"/>
      <c r="MDM4" s="109"/>
      <c r="MDN4" s="109"/>
      <c r="MDO4" s="109"/>
      <c r="MDP4" s="109"/>
      <c r="MDQ4" s="109"/>
      <c r="MDR4" s="109"/>
      <c r="MDS4" s="109"/>
      <c r="MDT4" s="109"/>
      <c r="MDU4" s="109"/>
      <c r="MDV4" s="109"/>
      <c r="MDW4" s="109"/>
      <c r="MDX4" s="109"/>
      <c r="MDY4" s="109"/>
      <c r="MDZ4" s="109"/>
      <c r="MEA4" s="109"/>
      <c r="MEB4" s="109"/>
      <c r="MEC4" s="109"/>
      <c r="MED4" s="109"/>
      <c r="MEE4" s="109"/>
      <c r="MEF4" s="109"/>
      <c r="MEG4" s="109"/>
      <c r="MEH4" s="109"/>
      <c r="MEI4" s="109"/>
      <c r="MEJ4" s="109"/>
      <c r="MEK4" s="109"/>
      <c r="MEL4" s="109"/>
      <c r="MEM4" s="109"/>
      <c r="MEN4" s="109"/>
      <c r="MEO4" s="109"/>
      <c r="MEP4" s="109"/>
      <c r="MEQ4" s="109"/>
      <c r="MER4" s="109"/>
      <c r="MES4" s="109"/>
      <c r="MET4" s="109"/>
      <c r="MEU4" s="109"/>
      <c r="MEV4" s="109"/>
      <c r="MEW4" s="109"/>
      <c r="MEX4" s="109"/>
      <c r="MEY4" s="109"/>
      <c r="MEZ4" s="109"/>
      <c r="MFA4" s="109"/>
      <c r="MFB4" s="109"/>
      <c r="MFC4" s="109"/>
      <c r="MFD4" s="109"/>
      <c r="MFE4" s="109"/>
      <c r="MFF4" s="109"/>
      <c r="MFG4" s="109"/>
      <c r="MFH4" s="109"/>
      <c r="MFI4" s="109"/>
      <c r="MFJ4" s="109"/>
      <c r="MFK4" s="109"/>
      <c r="MFL4" s="109"/>
      <c r="MFM4" s="109"/>
      <c r="MFN4" s="109"/>
      <c r="MFO4" s="109"/>
      <c r="MFP4" s="109"/>
      <c r="MFQ4" s="109"/>
      <c r="MFR4" s="109"/>
      <c r="MFS4" s="109"/>
      <c r="MFT4" s="109"/>
      <c r="MFU4" s="109"/>
      <c r="MFV4" s="109"/>
      <c r="MFW4" s="109"/>
      <c r="MFX4" s="109"/>
      <c r="MFY4" s="109"/>
      <c r="MFZ4" s="109"/>
      <c r="MGA4" s="109"/>
      <c r="MGB4" s="109"/>
      <c r="MGC4" s="109"/>
      <c r="MGD4" s="109"/>
      <c r="MGE4" s="109"/>
      <c r="MGF4" s="109"/>
      <c r="MGG4" s="109"/>
      <c r="MGH4" s="109"/>
      <c r="MGI4" s="109"/>
      <c r="MGJ4" s="109"/>
      <c r="MGK4" s="109"/>
      <c r="MGL4" s="109"/>
      <c r="MGM4" s="109"/>
      <c r="MGN4" s="109"/>
      <c r="MGO4" s="109"/>
      <c r="MGP4" s="109"/>
      <c r="MGQ4" s="109"/>
      <c r="MGR4" s="109"/>
      <c r="MGS4" s="109"/>
      <c r="MGT4" s="109"/>
      <c r="MGU4" s="109"/>
      <c r="MGV4" s="109"/>
      <c r="MGW4" s="109"/>
      <c r="MGX4" s="109"/>
      <c r="MGY4" s="109"/>
      <c r="MGZ4" s="109"/>
      <c r="MHA4" s="109"/>
      <c r="MHB4" s="109"/>
      <c r="MHC4" s="109"/>
      <c r="MHD4" s="109"/>
      <c r="MHE4" s="109"/>
      <c r="MHF4" s="109"/>
      <c r="MHG4" s="109"/>
      <c r="MHH4" s="109"/>
      <c r="MHI4" s="109"/>
      <c r="MHJ4" s="109"/>
      <c r="MHK4" s="109"/>
      <c r="MHL4" s="109"/>
      <c r="MHM4" s="109"/>
      <c r="MHN4" s="109"/>
      <c r="MHO4" s="109"/>
      <c r="MHP4" s="109"/>
      <c r="MHQ4" s="109"/>
      <c r="MHR4" s="109"/>
      <c r="MHS4" s="109"/>
      <c r="MHT4" s="109"/>
      <c r="MHU4" s="109"/>
      <c r="MHV4" s="109"/>
      <c r="MHW4" s="109"/>
      <c r="MHX4" s="109"/>
      <c r="MHY4" s="109"/>
      <c r="MHZ4" s="109"/>
      <c r="MIA4" s="109"/>
      <c r="MIB4" s="109"/>
      <c r="MIC4" s="109"/>
      <c r="MID4" s="109"/>
      <c r="MIE4" s="109"/>
      <c r="MIF4" s="109"/>
      <c r="MIG4" s="109"/>
      <c r="MIH4" s="109"/>
      <c r="MII4" s="109"/>
      <c r="MIJ4" s="109"/>
      <c r="MIK4" s="109"/>
      <c r="MIL4" s="109"/>
      <c r="MIM4" s="109"/>
      <c r="MIN4" s="109"/>
      <c r="MIO4" s="109"/>
      <c r="MIP4" s="109"/>
      <c r="MIQ4" s="109"/>
      <c r="MIR4" s="109"/>
      <c r="MIS4" s="109"/>
      <c r="MIT4" s="109"/>
      <c r="MIU4" s="109"/>
      <c r="MIV4" s="109"/>
      <c r="MIW4" s="109"/>
      <c r="MIX4" s="109"/>
      <c r="MIY4" s="109"/>
      <c r="MIZ4" s="109"/>
      <c r="MJA4" s="109"/>
      <c r="MJB4" s="109"/>
      <c r="MJC4" s="109"/>
      <c r="MJD4" s="109"/>
      <c r="MJE4" s="109"/>
      <c r="MJF4" s="109"/>
      <c r="MJG4" s="109"/>
      <c r="MJH4" s="109"/>
      <c r="MJI4" s="109"/>
      <c r="MJJ4" s="109"/>
      <c r="MJK4" s="109"/>
      <c r="MJL4" s="109"/>
      <c r="MJM4" s="109"/>
      <c r="MJN4" s="109"/>
      <c r="MJO4" s="109"/>
      <c r="MJP4" s="109"/>
      <c r="MJQ4" s="109"/>
      <c r="MJR4" s="109"/>
      <c r="MJS4" s="109"/>
      <c r="MJT4" s="109"/>
      <c r="MJU4" s="109"/>
      <c r="MJV4" s="109"/>
      <c r="MJW4" s="109"/>
      <c r="MJX4" s="109"/>
      <c r="MJY4" s="109"/>
      <c r="MJZ4" s="109"/>
      <c r="MKA4" s="109"/>
      <c r="MKB4" s="109"/>
      <c r="MKC4" s="109"/>
      <c r="MKD4" s="109"/>
      <c r="MKE4" s="109"/>
      <c r="MKF4" s="109"/>
      <c r="MKG4" s="109"/>
      <c r="MKH4" s="109"/>
      <c r="MKI4" s="109"/>
      <c r="MKJ4" s="109"/>
      <c r="MKK4" s="109"/>
      <c r="MKL4" s="109"/>
      <c r="MKM4" s="109"/>
      <c r="MKN4" s="109"/>
      <c r="MKO4" s="109"/>
      <c r="MKP4" s="109"/>
      <c r="MKQ4" s="109"/>
      <c r="MKR4" s="109"/>
      <c r="MKS4" s="109"/>
      <c r="MKT4" s="109"/>
      <c r="MKU4" s="109"/>
      <c r="MKV4" s="109"/>
      <c r="MKW4" s="109"/>
      <c r="MKX4" s="109"/>
      <c r="MKY4" s="109"/>
      <c r="MKZ4" s="109"/>
      <c r="MLA4" s="109"/>
      <c r="MLB4" s="109"/>
      <c r="MLC4" s="109"/>
      <c r="MLD4" s="109"/>
      <c r="MLE4" s="109"/>
      <c r="MLF4" s="109"/>
      <c r="MLG4" s="109"/>
      <c r="MLH4" s="109"/>
      <c r="MLI4" s="109"/>
      <c r="MLJ4" s="109"/>
      <c r="MLK4" s="109"/>
      <c r="MLL4" s="109"/>
      <c r="MLM4" s="109"/>
      <c r="MLN4" s="109"/>
      <c r="MLO4" s="109"/>
      <c r="MLP4" s="109"/>
      <c r="MLQ4" s="109"/>
      <c r="MLR4" s="109"/>
      <c r="MLS4" s="109"/>
      <c r="MLT4" s="109"/>
      <c r="MLU4" s="109"/>
      <c r="MLV4" s="109"/>
      <c r="MLW4" s="109"/>
      <c r="MLX4" s="109"/>
      <c r="MLY4" s="109"/>
      <c r="MLZ4" s="109"/>
      <c r="MMA4" s="109"/>
      <c r="MMB4" s="109"/>
      <c r="MMC4" s="109"/>
      <c r="MMD4" s="109"/>
      <c r="MME4" s="109"/>
      <c r="MMF4" s="109"/>
      <c r="MMG4" s="109"/>
      <c r="MMH4" s="109"/>
      <c r="MMI4" s="109"/>
      <c r="MMJ4" s="109"/>
      <c r="MMK4" s="109"/>
      <c r="MML4" s="109"/>
      <c r="MMM4" s="109"/>
      <c r="MMN4" s="109"/>
      <c r="MMO4" s="109"/>
      <c r="MMP4" s="109"/>
      <c r="MMQ4" s="109"/>
      <c r="MMR4" s="109"/>
      <c r="MMS4" s="109"/>
      <c r="MMT4" s="109"/>
      <c r="MMU4" s="109"/>
      <c r="MMV4" s="109"/>
      <c r="MMW4" s="109"/>
      <c r="MMX4" s="109"/>
      <c r="MMY4" s="109"/>
      <c r="MMZ4" s="109"/>
      <c r="MNA4" s="109"/>
      <c r="MNB4" s="109"/>
      <c r="MNC4" s="109"/>
      <c r="MND4" s="109"/>
      <c r="MNE4" s="109"/>
      <c r="MNF4" s="109"/>
      <c r="MNG4" s="109"/>
      <c r="MNH4" s="109"/>
      <c r="MNI4" s="109"/>
      <c r="MNJ4" s="109"/>
      <c r="MNK4" s="109"/>
      <c r="MNL4" s="109"/>
      <c r="MNM4" s="109"/>
      <c r="MNN4" s="109"/>
      <c r="MNO4" s="109"/>
      <c r="MNP4" s="109"/>
      <c r="MNQ4" s="109"/>
      <c r="MNR4" s="109"/>
      <c r="MNS4" s="109"/>
      <c r="MNT4" s="109"/>
      <c r="MNU4" s="109"/>
      <c r="MNV4" s="109"/>
      <c r="MNW4" s="109"/>
      <c r="MNX4" s="109"/>
      <c r="MNY4" s="109"/>
      <c r="MNZ4" s="109"/>
      <c r="MOA4" s="109"/>
      <c r="MOB4" s="109"/>
      <c r="MOC4" s="109"/>
      <c r="MOD4" s="109"/>
      <c r="MOE4" s="109"/>
      <c r="MOF4" s="109"/>
      <c r="MOG4" s="109"/>
      <c r="MOH4" s="109"/>
      <c r="MOI4" s="109"/>
      <c r="MOJ4" s="109"/>
      <c r="MOK4" s="109"/>
      <c r="MOL4" s="109"/>
      <c r="MOM4" s="109"/>
      <c r="MON4" s="109"/>
      <c r="MOO4" s="109"/>
      <c r="MOP4" s="109"/>
      <c r="MOQ4" s="109"/>
      <c r="MOR4" s="109"/>
      <c r="MOS4" s="109"/>
      <c r="MOT4" s="109"/>
      <c r="MOU4" s="109"/>
      <c r="MOV4" s="109"/>
      <c r="MOW4" s="109"/>
      <c r="MOX4" s="109"/>
      <c r="MOY4" s="109"/>
      <c r="MOZ4" s="109"/>
      <c r="MPA4" s="109"/>
      <c r="MPB4" s="109"/>
      <c r="MPC4" s="109"/>
      <c r="MPD4" s="109"/>
      <c r="MPE4" s="109"/>
      <c r="MPF4" s="109"/>
      <c r="MPG4" s="109"/>
      <c r="MPH4" s="109"/>
      <c r="MPI4" s="109"/>
      <c r="MPJ4" s="109"/>
      <c r="MPK4" s="109"/>
      <c r="MPL4" s="109"/>
      <c r="MPM4" s="109"/>
      <c r="MPN4" s="109"/>
      <c r="MPO4" s="109"/>
      <c r="MPP4" s="109"/>
      <c r="MPQ4" s="109"/>
      <c r="MPR4" s="109"/>
      <c r="MPS4" s="109"/>
      <c r="MPT4" s="109"/>
      <c r="MPU4" s="109"/>
      <c r="MPV4" s="109"/>
      <c r="MPW4" s="109"/>
      <c r="MPX4" s="109"/>
      <c r="MPY4" s="109"/>
      <c r="MPZ4" s="109"/>
      <c r="MQA4" s="109"/>
      <c r="MQB4" s="109"/>
      <c r="MQC4" s="109"/>
      <c r="MQD4" s="109"/>
      <c r="MQE4" s="109"/>
      <c r="MQF4" s="109"/>
      <c r="MQG4" s="109"/>
      <c r="MQH4" s="109"/>
      <c r="MQI4" s="109"/>
      <c r="MQJ4" s="109"/>
      <c r="MQK4" s="109"/>
      <c r="MQL4" s="109"/>
      <c r="MQM4" s="109"/>
      <c r="MQN4" s="109"/>
      <c r="MQO4" s="109"/>
      <c r="MQP4" s="109"/>
      <c r="MQQ4" s="109"/>
      <c r="MQR4" s="109"/>
      <c r="MQS4" s="109"/>
      <c r="MQT4" s="109"/>
      <c r="MQU4" s="109"/>
      <c r="MQV4" s="109"/>
      <c r="MQW4" s="109"/>
      <c r="MQX4" s="109"/>
      <c r="MQY4" s="109"/>
      <c r="MQZ4" s="109"/>
      <c r="MRA4" s="109"/>
      <c r="MRB4" s="109"/>
      <c r="MRC4" s="109"/>
      <c r="MRD4" s="109"/>
      <c r="MRE4" s="109"/>
      <c r="MRF4" s="109"/>
      <c r="MRG4" s="109"/>
      <c r="MRH4" s="109"/>
      <c r="MRI4" s="109"/>
      <c r="MRJ4" s="109"/>
      <c r="MRK4" s="109"/>
      <c r="MRL4" s="109"/>
      <c r="MRM4" s="109"/>
      <c r="MRN4" s="109"/>
      <c r="MRO4" s="109"/>
      <c r="MRP4" s="109"/>
      <c r="MRQ4" s="109"/>
      <c r="MRR4" s="109"/>
      <c r="MRS4" s="109"/>
      <c r="MRT4" s="109"/>
      <c r="MRU4" s="109"/>
      <c r="MRV4" s="109"/>
      <c r="MRW4" s="109"/>
      <c r="MRX4" s="109"/>
      <c r="MRY4" s="109"/>
      <c r="MRZ4" s="109"/>
      <c r="MSA4" s="109"/>
      <c r="MSB4" s="109"/>
      <c r="MSC4" s="109"/>
      <c r="MSD4" s="109"/>
      <c r="MSE4" s="109"/>
      <c r="MSF4" s="109"/>
      <c r="MSG4" s="109"/>
      <c r="MSH4" s="109"/>
      <c r="MSI4" s="109"/>
      <c r="MSJ4" s="109"/>
      <c r="MSK4" s="109"/>
      <c r="MSL4" s="109"/>
      <c r="MSM4" s="109"/>
      <c r="MSN4" s="109"/>
      <c r="MSO4" s="109"/>
      <c r="MSP4" s="109"/>
      <c r="MSQ4" s="109"/>
      <c r="MSR4" s="109"/>
      <c r="MSS4" s="109"/>
      <c r="MST4" s="109"/>
      <c r="MSU4" s="109"/>
      <c r="MSV4" s="109"/>
      <c r="MSW4" s="109"/>
      <c r="MSX4" s="109"/>
      <c r="MSY4" s="109"/>
      <c r="MSZ4" s="109"/>
      <c r="MTA4" s="109"/>
      <c r="MTB4" s="109"/>
      <c r="MTC4" s="109"/>
      <c r="MTD4" s="109"/>
      <c r="MTE4" s="109"/>
      <c r="MTF4" s="109"/>
      <c r="MTG4" s="109"/>
      <c r="MTH4" s="109"/>
      <c r="MTI4" s="109"/>
      <c r="MTJ4" s="109"/>
      <c r="MTK4" s="109"/>
      <c r="MTL4" s="109"/>
      <c r="MTM4" s="109"/>
      <c r="MTN4" s="109"/>
      <c r="MTO4" s="109"/>
      <c r="MTP4" s="109"/>
      <c r="MTQ4" s="109"/>
      <c r="MTR4" s="109"/>
      <c r="MTS4" s="109"/>
      <c r="MTT4" s="109"/>
      <c r="MTU4" s="109"/>
      <c r="MTV4" s="109"/>
      <c r="MTW4" s="109"/>
      <c r="MTX4" s="109"/>
      <c r="MTY4" s="109"/>
      <c r="MTZ4" s="109"/>
      <c r="MUA4" s="109"/>
      <c r="MUB4" s="109"/>
      <c r="MUC4" s="109"/>
      <c r="MUD4" s="109"/>
      <c r="MUE4" s="109"/>
      <c r="MUF4" s="109"/>
      <c r="MUG4" s="109"/>
      <c r="MUH4" s="109"/>
      <c r="MUI4" s="109"/>
      <c r="MUJ4" s="109"/>
      <c r="MUK4" s="109"/>
      <c r="MUL4" s="109"/>
      <c r="MUM4" s="109"/>
      <c r="MUN4" s="109"/>
      <c r="MUO4" s="109"/>
      <c r="MUP4" s="109"/>
      <c r="MUQ4" s="109"/>
      <c r="MUR4" s="109"/>
      <c r="MUS4" s="109"/>
      <c r="MUT4" s="109"/>
      <c r="MUU4" s="109"/>
      <c r="MUV4" s="109"/>
      <c r="MUW4" s="109"/>
      <c r="MUX4" s="109"/>
      <c r="MUY4" s="109"/>
      <c r="MUZ4" s="109"/>
      <c r="MVA4" s="109"/>
      <c r="MVB4" s="109"/>
      <c r="MVC4" s="109"/>
      <c r="MVD4" s="109"/>
      <c r="MVE4" s="109"/>
      <c r="MVF4" s="109"/>
      <c r="MVG4" s="109"/>
      <c r="MVH4" s="109"/>
      <c r="MVI4" s="109"/>
      <c r="MVJ4" s="109"/>
      <c r="MVK4" s="109"/>
      <c r="MVL4" s="109"/>
      <c r="MVM4" s="109"/>
      <c r="MVN4" s="109"/>
      <c r="MVO4" s="109"/>
      <c r="MVP4" s="109"/>
      <c r="MVQ4" s="109"/>
      <c r="MVR4" s="109"/>
      <c r="MVS4" s="109"/>
      <c r="MVT4" s="109"/>
      <c r="MVU4" s="109"/>
      <c r="MVV4" s="109"/>
      <c r="MVW4" s="109"/>
      <c r="MVX4" s="109"/>
      <c r="MVY4" s="109"/>
      <c r="MVZ4" s="109"/>
      <c r="MWA4" s="109"/>
      <c r="MWB4" s="109"/>
      <c r="MWC4" s="109"/>
      <c r="MWD4" s="109"/>
      <c r="MWE4" s="109"/>
      <c r="MWF4" s="109"/>
      <c r="MWG4" s="109"/>
      <c r="MWH4" s="109"/>
      <c r="MWI4" s="109"/>
      <c r="MWJ4" s="109"/>
      <c r="MWK4" s="109"/>
      <c r="MWL4" s="109"/>
      <c r="MWM4" s="109"/>
      <c r="MWN4" s="109"/>
      <c r="MWO4" s="109"/>
      <c r="MWP4" s="109"/>
      <c r="MWQ4" s="109"/>
      <c r="MWR4" s="109"/>
      <c r="MWS4" s="109"/>
      <c r="MWT4" s="109"/>
      <c r="MWU4" s="109"/>
      <c r="MWV4" s="109"/>
      <c r="MWW4" s="109"/>
      <c r="MWX4" s="109"/>
      <c r="MWY4" s="109"/>
      <c r="MWZ4" s="109"/>
      <c r="MXA4" s="109"/>
      <c r="MXB4" s="109"/>
      <c r="MXC4" s="109"/>
      <c r="MXD4" s="109"/>
      <c r="MXE4" s="109"/>
      <c r="MXF4" s="109"/>
      <c r="MXG4" s="109"/>
      <c r="MXH4" s="109"/>
      <c r="MXI4" s="109"/>
      <c r="MXJ4" s="109"/>
      <c r="MXK4" s="109"/>
      <c r="MXL4" s="109"/>
      <c r="MXM4" s="109"/>
      <c r="MXN4" s="109"/>
      <c r="MXO4" s="109"/>
      <c r="MXP4" s="109"/>
      <c r="MXQ4" s="109"/>
      <c r="MXR4" s="109"/>
      <c r="MXS4" s="109"/>
      <c r="MXT4" s="109"/>
      <c r="MXU4" s="109"/>
      <c r="MXV4" s="109"/>
      <c r="MXW4" s="109"/>
      <c r="MXX4" s="109"/>
      <c r="MXY4" s="109"/>
      <c r="MXZ4" s="109"/>
      <c r="MYA4" s="109"/>
      <c r="MYB4" s="109"/>
      <c r="MYC4" s="109"/>
      <c r="MYD4" s="109"/>
      <c r="MYE4" s="109"/>
      <c r="MYF4" s="109"/>
      <c r="MYG4" s="109"/>
      <c r="MYH4" s="109"/>
      <c r="MYI4" s="109"/>
      <c r="MYJ4" s="109"/>
      <c r="MYK4" s="109"/>
      <c r="MYL4" s="109"/>
      <c r="MYM4" s="109"/>
      <c r="MYN4" s="109"/>
      <c r="MYO4" s="109"/>
      <c r="MYP4" s="109"/>
      <c r="MYQ4" s="109"/>
      <c r="MYR4" s="109"/>
      <c r="MYS4" s="109"/>
      <c r="MYT4" s="109"/>
      <c r="MYU4" s="109"/>
      <c r="MYV4" s="109"/>
      <c r="MYW4" s="109"/>
      <c r="MYX4" s="109"/>
      <c r="MYY4" s="109"/>
      <c r="MYZ4" s="109"/>
      <c r="MZA4" s="109"/>
      <c r="MZB4" s="109"/>
      <c r="MZC4" s="109"/>
      <c r="MZD4" s="109"/>
      <c r="MZE4" s="109"/>
      <c r="MZF4" s="109"/>
      <c r="MZG4" s="109"/>
      <c r="MZH4" s="109"/>
      <c r="MZI4" s="109"/>
      <c r="MZJ4" s="109"/>
      <c r="MZK4" s="109"/>
      <c r="MZL4" s="109"/>
      <c r="MZM4" s="109"/>
      <c r="MZN4" s="109"/>
      <c r="MZO4" s="109"/>
      <c r="MZP4" s="109"/>
      <c r="MZQ4" s="109"/>
      <c r="MZR4" s="109"/>
      <c r="MZS4" s="109"/>
      <c r="MZT4" s="109"/>
      <c r="MZU4" s="109"/>
      <c r="MZV4" s="109"/>
      <c r="MZW4" s="109"/>
      <c r="MZX4" s="109"/>
      <c r="MZY4" s="109"/>
      <c r="MZZ4" s="109"/>
      <c r="NAA4" s="109"/>
      <c r="NAB4" s="109"/>
      <c r="NAC4" s="109"/>
      <c r="NAD4" s="109"/>
      <c r="NAE4" s="109"/>
      <c r="NAF4" s="109"/>
      <c r="NAG4" s="109"/>
      <c r="NAH4" s="109"/>
      <c r="NAI4" s="109"/>
      <c r="NAJ4" s="109"/>
      <c r="NAK4" s="109"/>
      <c r="NAL4" s="109"/>
      <c r="NAM4" s="109"/>
      <c r="NAN4" s="109"/>
      <c r="NAO4" s="109"/>
      <c r="NAP4" s="109"/>
      <c r="NAQ4" s="109"/>
      <c r="NAR4" s="109"/>
      <c r="NAS4" s="109"/>
      <c r="NAT4" s="109"/>
      <c r="NAU4" s="109"/>
      <c r="NAV4" s="109"/>
      <c r="NAW4" s="109"/>
      <c r="NAX4" s="109"/>
      <c r="NAY4" s="109"/>
      <c r="NAZ4" s="109"/>
      <c r="NBA4" s="109"/>
      <c r="NBB4" s="109"/>
      <c r="NBC4" s="109"/>
      <c r="NBD4" s="109"/>
      <c r="NBE4" s="109"/>
      <c r="NBF4" s="109"/>
      <c r="NBG4" s="109"/>
      <c r="NBH4" s="109"/>
      <c r="NBI4" s="109"/>
      <c r="NBJ4" s="109"/>
      <c r="NBK4" s="109"/>
      <c r="NBL4" s="109"/>
      <c r="NBM4" s="109"/>
      <c r="NBN4" s="109"/>
      <c r="NBO4" s="109"/>
      <c r="NBP4" s="109"/>
      <c r="NBQ4" s="109"/>
      <c r="NBR4" s="109"/>
      <c r="NBS4" s="109"/>
      <c r="NBT4" s="109"/>
      <c r="NBU4" s="109"/>
      <c r="NBV4" s="109"/>
      <c r="NBW4" s="109"/>
      <c r="NBX4" s="109"/>
      <c r="NBY4" s="109"/>
      <c r="NBZ4" s="109"/>
      <c r="NCA4" s="109"/>
      <c r="NCB4" s="109"/>
      <c r="NCC4" s="109"/>
      <c r="NCD4" s="109"/>
      <c r="NCE4" s="109"/>
      <c r="NCF4" s="109"/>
      <c r="NCG4" s="109"/>
      <c r="NCH4" s="109"/>
      <c r="NCI4" s="109"/>
      <c r="NCJ4" s="109"/>
      <c r="NCK4" s="109"/>
      <c r="NCL4" s="109"/>
      <c r="NCM4" s="109"/>
      <c r="NCN4" s="109"/>
      <c r="NCO4" s="109"/>
      <c r="NCP4" s="109"/>
      <c r="NCQ4" s="109"/>
      <c r="NCR4" s="109"/>
      <c r="NCS4" s="109"/>
      <c r="NCT4" s="109"/>
      <c r="NCU4" s="109"/>
      <c r="NCV4" s="109"/>
      <c r="NCW4" s="109"/>
      <c r="NCX4" s="109"/>
      <c r="NCY4" s="109"/>
      <c r="NCZ4" s="109"/>
      <c r="NDA4" s="109"/>
      <c r="NDB4" s="109"/>
      <c r="NDC4" s="109"/>
      <c r="NDD4" s="109"/>
      <c r="NDE4" s="109"/>
      <c r="NDF4" s="109"/>
      <c r="NDG4" s="109"/>
      <c r="NDH4" s="109"/>
      <c r="NDI4" s="109"/>
      <c r="NDJ4" s="109"/>
      <c r="NDK4" s="109"/>
      <c r="NDL4" s="109"/>
      <c r="NDM4" s="109"/>
      <c r="NDN4" s="109"/>
      <c r="NDO4" s="109"/>
      <c r="NDP4" s="109"/>
      <c r="NDQ4" s="109"/>
      <c r="NDR4" s="109"/>
      <c r="NDS4" s="109"/>
      <c r="NDT4" s="109"/>
      <c r="NDU4" s="109"/>
      <c r="NDV4" s="109"/>
      <c r="NDW4" s="109"/>
      <c r="NDX4" s="109"/>
      <c r="NDY4" s="109"/>
      <c r="NDZ4" s="109"/>
      <c r="NEA4" s="109"/>
      <c r="NEB4" s="109"/>
      <c r="NEC4" s="109"/>
      <c r="NED4" s="109"/>
      <c r="NEE4" s="109"/>
      <c r="NEF4" s="109"/>
      <c r="NEG4" s="109"/>
      <c r="NEH4" s="109"/>
      <c r="NEI4" s="109"/>
      <c r="NEJ4" s="109"/>
      <c r="NEK4" s="109"/>
      <c r="NEL4" s="109"/>
      <c r="NEM4" s="109"/>
      <c r="NEN4" s="109"/>
      <c r="NEO4" s="109"/>
      <c r="NEP4" s="109"/>
      <c r="NEQ4" s="109"/>
      <c r="NER4" s="109"/>
      <c r="NES4" s="109"/>
      <c r="NET4" s="109"/>
      <c r="NEU4" s="109"/>
      <c r="NEV4" s="109"/>
      <c r="NEW4" s="109"/>
      <c r="NEX4" s="109"/>
      <c r="NEY4" s="109"/>
      <c r="NEZ4" s="109"/>
      <c r="NFA4" s="109"/>
      <c r="NFB4" s="109"/>
      <c r="NFC4" s="109"/>
      <c r="NFD4" s="109"/>
      <c r="NFE4" s="109"/>
      <c r="NFF4" s="109"/>
      <c r="NFG4" s="109"/>
      <c r="NFH4" s="109"/>
      <c r="NFI4" s="109"/>
      <c r="NFJ4" s="109"/>
      <c r="NFK4" s="109"/>
      <c r="NFL4" s="109"/>
      <c r="NFM4" s="109"/>
      <c r="NFN4" s="109"/>
      <c r="NFO4" s="109"/>
      <c r="NFP4" s="109"/>
      <c r="NFQ4" s="109"/>
      <c r="NFR4" s="109"/>
      <c r="NFS4" s="109"/>
      <c r="NFT4" s="109"/>
      <c r="NFU4" s="109"/>
      <c r="NFV4" s="109"/>
      <c r="NFW4" s="109"/>
      <c r="NFX4" s="109"/>
      <c r="NFY4" s="109"/>
      <c r="NFZ4" s="109"/>
      <c r="NGA4" s="109"/>
      <c r="NGB4" s="109"/>
      <c r="NGC4" s="109"/>
      <c r="NGD4" s="109"/>
      <c r="NGE4" s="109"/>
      <c r="NGF4" s="109"/>
      <c r="NGG4" s="109"/>
      <c r="NGH4" s="109"/>
      <c r="NGI4" s="109"/>
      <c r="NGJ4" s="109"/>
      <c r="NGK4" s="109"/>
      <c r="NGL4" s="109"/>
      <c r="NGM4" s="109"/>
      <c r="NGN4" s="109"/>
      <c r="NGO4" s="109"/>
      <c r="NGP4" s="109"/>
      <c r="NGQ4" s="109"/>
      <c r="NGR4" s="109"/>
      <c r="NGS4" s="109"/>
      <c r="NGT4" s="109"/>
      <c r="NGU4" s="109"/>
      <c r="NGV4" s="109"/>
      <c r="NGW4" s="109"/>
      <c r="NGX4" s="109"/>
      <c r="NGY4" s="109"/>
      <c r="NGZ4" s="109"/>
      <c r="NHA4" s="109"/>
      <c r="NHB4" s="109"/>
      <c r="NHC4" s="109"/>
      <c r="NHD4" s="109"/>
      <c r="NHE4" s="109"/>
      <c r="NHF4" s="109"/>
      <c r="NHG4" s="109"/>
      <c r="NHH4" s="109"/>
      <c r="NHI4" s="109"/>
      <c r="NHJ4" s="109"/>
      <c r="NHK4" s="109"/>
      <c r="NHL4" s="109"/>
      <c r="NHM4" s="109"/>
      <c r="NHN4" s="109"/>
      <c r="NHO4" s="109"/>
      <c r="NHP4" s="109"/>
      <c r="NHQ4" s="109"/>
      <c r="NHR4" s="109"/>
      <c r="NHS4" s="109"/>
      <c r="NHT4" s="109"/>
      <c r="NHU4" s="109"/>
      <c r="NHV4" s="109"/>
      <c r="NHW4" s="109"/>
      <c r="NHX4" s="109"/>
      <c r="NHY4" s="109"/>
      <c r="NHZ4" s="109"/>
      <c r="NIA4" s="109"/>
      <c r="NIB4" s="109"/>
      <c r="NIC4" s="109"/>
      <c r="NID4" s="109"/>
      <c r="NIE4" s="109"/>
      <c r="NIF4" s="109"/>
      <c r="NIG4" s="109"/>
      <c r="NIH4" s="109"/>
      <c r="NII4" s="109"/>
      <c r="NIJ4" s="109"/>
      <c r="NIK4" s="109"/>
      <c r="NIL4" s="109"/>
      <c r="NIM4" s="109"/>
      <c r="NIN4" s="109"/>
      <c r="NIO4" s="109"/>
      <c r="NIP4" s="109"/>
      <c r="NIQ4" s="109"/>
      <c r="NIR4" s="109"/>
      <c r="NIS4" s="109"/>
      <c r="NIT4" s="109"/>
      <c r="NIU4" s="109"/>
      <c r="NIV4" s="109"/>
      <c r="NIW4" s="109"/>
      <c r="NIX4" s="109"/>
      <c r="NIY4" s="109"/>
      <c r="NIZ4" s="109"/>
      <c r="NJA4" s="109"/>
      <c r="NJB4" s="109"/>
      <c r="NJC4" s="109"/>
      <c r="NJD4" s="109"/>
      <c r="NJE4" s="109"/>
      <c r="NJF4" s="109"/>
      <c r="NJG4" s="109"/>
      <c r="NJH4" s="109"/>
      <c r="NJI4" s="109"/>
      <c r="NJJ4" s="109"/>
      <c r="NJK4" s="109"/>
      <c r="NJL4" s="109"/>
      <c r="NJM4" s="109"/>
      <c r="NJN4" s="109"/>
      <c r="NJO4" s="109"/>
      <c r="NJP4" s="109"/>
      <c r="NJQ4" s="109"/>
      <c r="NJR4" s="109"/>
      <c r="NJS4" s="109"/>
      <c r="NJT4" s="109"/>
      <c r="NJU4" s="109"/>
      <c r="NJV4" s="109"/>
      <c r="NJW4" s="109"/>
      <c r="NJX4" s="109"/>
      <c r="NJY4" s="109"/>
      <c r="NJZ4" s="109"/>
      <c r="NKA4" s="109"/>
      <c r="NKB4" s="109"/>
      <c r="NKC4" s="109"/>
      <c r="NKD4" s="109"/>
      <c r="NKE4" s="109"/>
      <c r="NKF4" s="109"/>
      <c r="NKG4" s="109"/>
      <c r="NKH4" s="109"/>
      <c r="NKI4" s="109"/>
      <c r="NKJ4" s="109"/>
      <c r="NKK4" s="109"/>
      <c r="NKL4" s="109"/>
      <c r="NKM4" s="109"/>
      <c r="NKN4" s="109"/>
      <c r="NKO4" s="109"/>
      <c r="NKP4" s="109"/>
      <c r="NKQ4" s="109"/>
      <c r="NKR4" s="109"/>
      <c r="NKS4" s="109"/>
      <c r="NKT4" s="109"/>
      <c r="NKU4" s="109"/>
      <c r="NKV4" s="109"/>
      <c r="NKW4" s="109"/>
      <c r="NKX4" s="109"/>
      <c r="NKY4" s="109"/>
      <c r="NKZ4" s="109"/>
      <c r="NLA4" s="109"/>
      <c r="NLB4" s="109"/>
      <c r="NLC4" s="109"/>
      <c r="NLD4" s="109"/>
      <c r="NLE4" s="109"/>
      <c r="NLF4" s="109"/>
      <c r="NLG4" s="109"/>
      <c r="NLH4" s="109"/>
      <c r="NLI4" s="109"/>
      <c r="NLJ4" s="109"/>
      <c r="NLK4" s="109"/>
      <c r="NLL4" s="109"/>
      <c r="NLM4" s="109"/>
      <c r="NLN4" s="109"/>
      <c r="NLO4" s="109"/>
      <c r="NLP4" s="109"/>
      <c r="NLQ4" s="109"/>
      <c r="NLR4" s="109"/>
      <c r="NLS4" s="109"/>
      <c r="NLT4" s="109"/>
      <c r="NLU4" s="109"/>
      <c r="NLV4" s="109"/>
      <c r="NLW4" s="109"/>
      <c r="NLX4" s="109"/>
      <c r="NLY4" s="109"/>
      <c r="NLZ4" s="109"/>
      <c r="NMA4" s="109"/>
      <c r="NMB4" s="109"/>
      <c r="NMC4" s="109"/>
      <c r="NMD4" s="109"/>
      <c r="NME4" s="109"/>
      <c r="NMF4" s="109"/>
      <c r="NMG4" s="109"/>
      <c r="NMH4" s="109"/>
      <c r="NMI4" s="109"/>
      <c r="NMJ4" s="109"/>
      <c r="NMK4" s="109"/>
      <c r="NML4" s="109"/>
      <c r="NMM4" s="109"/>
      <c r="NMN4" s="109"/>
      <c r="NMO4" s="109"/>
      <c r="NMP4" s="109"/>
      <c r="NMQ4" s="109"/>
      <c r="NMR4" s="109"/>
      <c r="NMS4" s="109"/>
      <c r="NMT4" s="109"/>
      <c r="NMU4" s="109"/>
      <c r="NMV4" s="109"/>
      <c r="NMW4" s="109"/>
      <c r="NMX4" s="109"/>
      <c r="NMY4" s="109"/>
      <c r="NMZ4" s="109"/>
      <c r="NNA4" s="109"/>
      <c r="NNB4" s="109"/>
      <c r="NNC4" s="109"/>
      <c r="NND4" s="109"/>
      <c r="NNE4" s="109"/>
      <c r="NNF4" s="109"/>
      <c r="NNG4" s="109"/>
      <c r="NNH4" s="109"/>
      <c r="NNI4" s="109"/>
      <c r="NNJ4" s="109"/>
      <c r="NNK4" s="109"/>
      <c r="NNL4" s="109"/>
      <c r="NNM4" s="109"/>
      <c r="NNN4" s="109"/>
      <c r="NNO4" s="109"/>
      <c r="NNP4" s="109"/>
      <c r="NNQ4" s="109"/>
      <c r="NNR4" s="109"/>
      <c r="NNS4" s="109"/>
      <c r="NNT4" s="109"/>
      <c r="NNU4" s="109"/>
      <c r="NNV4" s="109"/>
      <c r="NNW4" s="109"/>
      <c r="NNX4" s="109"/>
      <c r="NNY4" s="109"/>
      <c r="NNZ4" s="109"/>
      <c r="NOA4" s="109"/>
      <c r="NOB4" s="109"/>
      <c r="NOC4" s="109"/>
      <c r="NOD4" s="109"/>
      <c r="NOE4" s="109"/>
      <c r="NOF4" s="109"/>
      <c r="NOG4" s="109"/>
      <c r="NOH4" s="109"/>
      <c r="NOI4" s="109"/>
      <c r="NOJ4" s="109"/>
      <c r="NOK4" s="109"/>
      <c r="NOL4" s="109"/>
      <c r="NOM4" s="109"/>
      <c r="NON4" s="109"/>
      <c r="NOO4" s="109"/>
      <c r="NOP4" s="109"/>
      <c r="NOQ4" s="109"/>
      <c r="NOR4" s="109"/>
      <c r="NOS4" s="109"/>
      <c r="NOT4" s="109"/>
      <c r="NOU4" s="109"/>
      <c r="NOV4" s="109"/>
      <c r="NOW4" s="109"/>
      <c r="NOX4" s="109"/>
      <c r="NOY4" s="109"/>
      <c r="NOZ4" s="109"/>
      <c r="NPA4" s="109"/>
      <c r="NPB4" s="109"/>
      <c r="NPC4" s="109"/>
      <c r="NPD4" s="109"/>
      <c r="NPE4" s="109"/>
      <c r="NPF4" s="109"/>
      <c r="NPG4" s="109"/>
      <c r="NPH4" s="109"/>
      <c r="NPI4" s="109"/>
      <c r="NPJ4" s="109"/>
      <c r="NPK4" s="109"/>
      <c r="NPL4" s="109"/>
      <c r="NPM4" s="109"/>
      <c r="NPN4" s="109"/>
      <c r="NPO4" s="109"/>
      <c r="NPP4" s="109"/>
      <c r="NPQ4" s="109"/>
      <c r="NPR4" s="109"/>
      <c r="NPS4" s="109"/>
      <c r="NPT4" s="109"/>
      <c r="NPU4" s="109"/>
      <c r="NPV4" s="109"/>
      <c r="NPW4" s="109"/>
      <c r="NPX4" s="109"/>
      <c r="NPY4" s="109"/>
      <c r="NPZ4" s="109"/>
      <c r="NQA4" s="109"/>
      <c r="NQB4" s="109"/>
      <c r="NQC4" s="109"/>
      <c r="NQD4" s="109"/>
      <c r="NQE4" s="109"/>
      <c r="NQF4" s="109"/>
      <c r="NQG4" s="109"/>
      <c r="NQH4" s="109"/>
      <c r="NQI4" s="109"/>
      <c r="NQJ4" s="109"/>
      <c r="NQK4" s="109"/>
      <c r="NQL4" s="109"/>
      <c r="NQM4" s="109"/>
      <c r="NQN4" s="109"/>
      <c r="NQO4" s="109"/>
      <c r="NQP4" s="109"/>
      <c r="NQQ4" s="109"/>
      <c r="NQR4" s="109"/>
      <c r="NQS4" s="109"/>
      <c r="NQT4" s="109"/>
      <c r="NQU4" s="109"/>
      <c r="NQV4" s="109"/>
      <c r="NQW4" s="109"/>
      <c r="NQX4" s="109"/>
      <c r="NQY4" s="109"/>
      <c r="NQZ4" s="109"/>
      <c r="NRA4" s="109"/>
      <c r="NRB4" s="109"/>
      <c r="NRC4" s="109"/>
      <c r="NRD4" s="109"/>
      <c r="NRE4" s="109"/>
      <c r="NRF4" s="109"/>
      <c r="NRG4" s="109"/>
      <c r="NRH4" s="109"/>
      <c r="NRI4" s="109"/>
      <c r="NRJ4" s="109"/>
      <c r="NRK4" s="109"/>
      <c r="NRL4" s="109"/>
      <c r="NRM4" s="109"/>
      <c r="NRN4" s="109"/>
      <c r="NRO4" s="109"/>
      <c r="NRP4" s="109"/>
      <c r="NRQ4" s="109"/>
      <c r="NRR4" s="109"/>
      <c r="NRS4" s="109"/>
      <c r="NRT4" s="109"/>
      <c r="NRU4" s="109"/>
      <c r="NRV4" s="109"/>
      <c r="NRW4" s="109"/>
      <c r="NRX4" s="109"/>
      <c r="NRY4" s="109"/>
      <c r="NRZ4" s="109"/>
      <c r="NSA4" s="109"/>
      <c r="NSB4" s="109"/>
      <c r="NSC4" s="109"/>
      <c r="NSD4" s="109"/>
      <c r="NSE4" s="109"/>
      <c r="NSF4" s="109"/>
      <c r="NSG4" s="109"/>
      <c r="NSH4" s="109"/>
      <c r="NSI4" s="109"/>
      <c r="NSJ4" s="109"/>
      <c r="NSK4" s="109"/>
      <c r="NSL4" s="109"/>
      <c r="NSM4" s="109"/>
      <c r="NSN4" s="109"/>
      <c r="NSO4" s="109"/>
      <c r="NSP4" s="109"/>
      <c r="NSQ4" s="109"/>
      <c r="NSR4" s="109"/>
      <c r="NSS4" s="109"/>
      <c r="NST4" s="109"/>
      <c r="NSU4" s="109"/>
      <c r="NSV4" s="109"/>
      <c r="NSW4" s="109"/>
      <c r="NSX4" s="109"/>
      <c r="NSY4" s="109"/>
      <c r="NSZ4" s="109"/>
      <c r="NTA4" s="109"/>
      <c r="NTB4" s="109"/>
      <c r="NTC4" s="109"/>
      <c r="NTD4" s="109"/>
      <c r="NTE4" s="109"/>
      <c r="NTF4" s="109"/>
      <c r="NTG4" s="109"/>
      <c r="NTH4" s="109"/>
      <c r="NTI4" s="109"/>
      <c r="NTJ4" s="109"/>
      <c r="NTK4" s="109"/>
      <c r="NTL4" s="109"/>
      <c r="NTM4" s="109"/>
      <c r="NTN4" s="109"/>
      <c r="NTO4" s="109"/>
      <c r="NTP4" s="109"/>
      <c r="NTQ4" s="109"/>
      <c r="NTR4" s="109"/>
      <c r="NTS4" s="109"/>
      <c r="NTT4" s="109"/>
      <c r="NTU4" s="109"/>
      <c r="NTV4" s="109"/>
      <c r="NTW4" s="109"/>
      <c r="NTX4" s="109"/>
      <c r="NTY4" s="109"/>
      <c r="NTZ4" s="109"/>
      <c r="NUA4" s="109"/>
      <c r="NUB4" s="109"/>
      <c r="NUC4" s="109"/>
      <c r="NUD4" s="109"/>
      <c r="NUE4" s="109"/>
      <c r="NUF4" s="109"/>
      <c r="NUG4" s="109"/>
      <c r="NUH4" s="109"/>
      <c r="NUI4" s="109"/>
      <c r="NUJ4" s="109"/>
      <c r="NUK4" s="109"/>
      <c r="NUL4" s="109"/>
      <c r="NUM4" s="109"/>
      <c r="NUN4" s="109"/>
      <c r="NUO4" s="109"/>
      <c r="NUP4" s="109"/>
      <c r="NUQ4" s="109"/>
      <c r="NUR4" s="109"/>
      <c r="NUS4" s="109"/>
      <c r="NUT4" s="109"/>
      <c r="NUU4" s="109"/>
      <c r="NUV4" s="109"/>
      <c r="NUW4" s="109"/>
      <c r="NUX4" s="109"/>
      <c r="NUY4" s="109"/>
      <c r="NUZ4" s="109"/>
      <c r="NVA4" s="109"/>
      <c r="NVB4" s="109"/>
      <c r="NVC4" s="109"/>
      <c r="NVD4" s="109"/>
      <c r="NVE4" s="109"/>
      <c r="NVF4" s="109"/>
      <c r="NVG4" s="109"/>
      <c r="NVH4" s="109"/>
      <c r="NVI4" s="109"/>
      <c r="NVJ4" s="109"/>
      <c r="NVK4" s="109"/>
      <c r="NVL4" s="109"/>
      <c r="NVM4" s="109"/>
      <c r="NVN4" s="109"/>
      <c r="NVO4" s="109"/>
      <c r="NVP4" s="109"/>
      <c r="NVQ4" s="109"/>
      <c r="NVR4" s="109"/>
      <c r="NVS4" s="109"/>
      <c r="NVT4" s="109"/>
      <c r="NVU4" s="109"/>
      <c r="NVV4" s="109"/>
      <c r="NVW4" s="109"/>
      <c r="NVX4" s="109"/>
      <c r="NVY4" s="109"/>
      <c r="NVZ4" s="109"/>
      <c r="NWA4" s="109"/>
      <c r="NWB4" s="109"/>
      <c r="NWC4" s="109"/>
      <c r="NWD4" s="109"/>
      <c r="NWE4" s="109"/>
      <c r="NWF4" s="109"/>
      <c r="NWG4" s="109"/>
      <c r="NWH4" s="109"/>
      <c r="NWI4" s="109"/>
      <c r="NWJ4" s="109"/>
      <c r="NWK4" s="109"/>
      <c r="NWL4" s="109"/>
      <c r="NWM4" s="109"/>
      <c r="NWN4" s="109"/>
      <c r="NWO4" s="109"/>
      <c r="NWP4" s="109"/>
      <c r="NWQ4" s="109"/>
      <c r="NWR4" s="109"/>
      <c r="NWS4" s="109"/>
      <c r="NWT4" s="109"/>
      <c r="NWU4" s="109"/>
      <c r="NWV4" s="109"/>
      <c r="NWW4" s="109"/>
      <c r="NWX4" s="109"/>
      <c r="NWY4" s="109"/>
      <c r="NWZ4" s="109"/>
      <c r="NXA4" s="109"/>
      <c r="NXB4" s="109"/>
      <c r="NXC4" s="109"/>
      <c r="NXD4" s="109"/>
      <c r="NXE4" s="109"/>
      <c r="NXF4" s="109"/>
      <c r="NXG4" s="109"/>
      <c r="NXH4" s="109"/>
      <c r="NXI4" s="109"/>
      <c r="NXJ4" s="109"/>
      <c r="NXK4" s="109"/>
      <c r="NXL4" s="109"/>
      <c r="NXM4" s="109"/>
      <c r="NXN4" s="109"/>
      <c r="NXO4" s="109"/>
      <c r="NXP4" s="109"/>
      <c r="NXQ4" s="109"/>
      <c r="NXR4" s="109"/>
      <c r="NXS4" s="109"/>
      <c r="NXT4" s="109"/>
      <c r="NXU4" s="109"/>
      <c r="NXV4" s="109"/>
      <c r="NXW4" s="109"/>
      <c r="NXX4" s="109"/>
      <c r="NXY4" s="109"/>
      <c r="NXZ4" s="109"/>
      <c r="NYA4" s="109"/>
      <c r="NYB4" s="109"/>
      <c r="NYC4" s="109"/>
      <c r="NYD4" s="109"/>
      <c r="NYE4" s="109"/>
      <c r="NYF4" s="109"/>
      <c r="NYG4" s="109"/>
      <c r="NYH4" s="109"/>
      <c r="NYI4" s="109"/>
      <c r="NYJ4" s="109"/>
      <c r="NYK4" s="109"/>
      <c r="NYL4" s="109"/>
      <c r="NYM4" s="109"/>
      <c r="NYN4" s="109"/>
      <c r="NYO4" s="109"/>
      <c r="NYP4" s="109"/>
      <c r="NYQ4" s="109"/>
      <c r="NYR4" s="109"/>
      <c r="NYS4" s="109"/>
      <c r="NYT4" s="109"/>
      <c r="NYU4" s="109"/>
      <c r="NYV4" s="109"/>
      <c r="NYW4" s="109"/>
      <c r="NYX4" s="109"/>
      <c r="NYY4" s="109"/>
      <c r="NYZ4" s="109"/>
      <c r="NZA4" s="109"/>
      <c r="NZB4" s="109"/>
      <c r="NZC4" s="109"/>
      <c r="NZD4" s="109"/>
      <c r="NZE4" s="109"/>
      <c r="NZF4" s="109"/>
      <c r="NZG4" s="109"/>
      <c r="NZH4" s="109"/>
      <c r="NZI4" s="109"/>
      <c r="NZJ4" s="109"/>
      <c r="NZK4" s="109"/>
      <c r="NZL4" s="109"/>
      <c r="NZM4" s="109"/>
      <c r="NZN4" s="109"/>
      <c r="NZO4" s="109"/>
      <c r="NZP4" s="109"/>
      <c r="NZQ4" s="109"/>
      <c r="NZR4" s="109"/>
      <c r="NZS4" s="109"/>
      <c r="NZT4" s="109"/>
      <c r="NZU4" s="109"/>
      <c r="NZV4" s="109"/>
      <c r="NZW4" s="109"/>
      <c r="NZX4" s="109"/>
      <c r="NZY4" s="109"/>
      <c r="NZZ4" s="109"/>
      <c r="OAA4" s="109"/>
      <c r="OAB4" s="109"/>
      <c r="OAC4" s="109"/>
      <c r="OAD4" s="109"/>
      <c r="OAE4" s="109"/>
      <c r="OAF4" s="109"/>
      <c r="OAG4" s="109"/>
      <c r="OAH4" s="109"/>
      <c r="OAI4" s="109"/>
      <c r="OAJ4" s="109"/>
      <c r="OAK4" s="109"/>
      <c r="OAL4" s="109"/>
      <c r="OAM4" s="109"/>
      <c r="OAN4" s="109"/>
      <c r="OAO4" s="109"/>
      <c r="OAP4" s="109"/>
      <c r="OAQ4" s="109"/>
      <c r="OAR4" s="109"/>
      <c r="OAS4" s="109"/>
      <c r="OAT4" s="109"/>
      <c r="OAU4" s="109"/>
      <c r="OAV4" s="109"/>
      <c r="OAW4" s="109"/>
      <c r="OAX4" s="109"/>
      <c r="OAY4" s="109"/>
      <c r="OAZ4" s="109"/>
      <c r="OBA4" s="109"/>
      <c r="OBB4" s="109"/>
      <c r="OBC4" s="109"/>
      <c r="OBD4" s="109"/>
      <c r="OBE4" s="109"/>
      <c r="OBF4" s="109"/>
      <c r="OBG4" s="109"/>
      <c r="OBH4" s="109"/>
      <c r="OBI4" s="109"/>
      <c r="OBJ4" s="109"/>
      <c r="OBK4" s="109"/>
      <c r="OBL4" s="109"/>
      <c r="OBM4" s="109"/>
      <c r="OBN4" s="109"/>
      <c r="OBO4" s="109"/>
      <c r="OBP4" s="109"/>
      <c r="OBQ4" s="109"/>
      <c r="OBR4" s="109"/>
      <c r="OBS4" s="109"/>
      <c r="OBT4" s="109"/>
      <c r="OBU4" s="109"/>
      <c r="OBV4" s="109"/>
      <c r="OBW4" s="109"/>
      <c r="OBX4" s="109"/>
      <c r="OBY4" s="109"/>
      <c r="OBZ4" s="109"/>
      <c r="OCA4" s="109"/>
      <c r="OCB4" s="109"/>
      <c r="OCC4" s="109"/>
      <c r="OCD4" s="109"/>
      <c r="OCE4" s="109"/>
      <c r="OCF4" s="109"/>
      <c r="OCG4" s="109"/>
      <c r="OCH4" s="109"/>
      <c r="OCI4" s="109"/>
      <c r="OCJ4" s="109"/>
      <c r="OCK4" s="109"/>
      <c r="OCL4" s="109"/>
      <c r="OCM4" s="109"/>
      <c r="OCN4" s="109"/>
      <c r="OCO4" s="109"/>
      <c r="OCP4" s="109"/>
      <c r="OCQ4" s="109"/>
      <c r="OCR4" s="109"/>
      <c r="OCS4" s="109"/>
      <c r="OCT4" s="109"/>
      <c r="OCU4" s="109"/>
      <c r="OCV4" s="109"/>
      <c r="OCW4" s="109"/>
      <c r="OCX4" s="109"/>
      <c r="OCY4" s="109"/>
      <c r="OCZ4" s="109"/>
      <c r="ODA4" s="109"/>
      <c r="ODB4" s="109"/>
      <c r="ODC4" s="109"/>
      <c r="ODD4" s="109"/>
      <c r="ODE4" s="109"/>
      <c r="ODF4" s="109"/>
      <c r="ODG4" s="109"/>
      <c r="ODH4" s="109"/>
      <c r="ODI4" s="109"/>
      <c r="ODJ4" s="109"/>
      <c r="ODK4" s="109"/>
      <c r="ODL4" s="109"/>
      <c r="ODM4" s="109"/>
      <c r="ODN4" s="109"/>
      <c r="ODO4" s="109"/>
      <c r="ODP4" s="109"/>
      <c r="ODQ4" s="109"/>
      <c r="ODR4" s="109"/>
      <c r="ODS4" s="109"/>
      <c r="ODT4" s="109"/>
      <c r="ODU4" s="109"/>
      <c r="ODV4" s="109"/>
      <c r="ODW4" s="109"/>
      <c r="ODX4" s="109"/>
      <c r="ODY4" s="109"/>
      <c r="ODZ4" s="109"/>
      <c r="OEA4" s="109"/>
      <c r="OEB4" s="109"/>
      <c r="OEC4" s="109"/>
      <c r="OED4" s="109"/>
      <c r="OEE4" s="109"/>
      <c r="OEF4" s="109"/>
      <c r="OEG4" s="109"/>
      <c r="OEH4" s="109"/>
      <c r="OEI4" s="109"/>
      <c r="OEJ4" s="109"/>
      <c r="OEK4" s="109"/>
      <c r="OEL4" s="109"/>
      <c r="OEM4" s="109"/>
      <c r="OEN4" s="109"/>
      <c r="OEO4" s="109"/>
      <c r="OEP4" s="109"/>
      <c r="OEQ4" s="109"/>
      <c r="OER4" s="109"/>
      <c r="OES4" s="109"/>
      <c r="OET4" s="109"/>
      <c r="OEU4" s="109"/>
      <c r="OEV4" s="109"/>
      <c r="OEW4" s="109"/>
      <c r="OEX4" s="109"/>
      <c r="OEY4" s="109"/>
      <c r="OEZ4" s="109"/>
      <c r="OFA4" s="109"/>
      <c r="OFB4" s="109"/>
      <c r="OFC4" s="109"/>
      <c r="OFD4" s="109"/>
      <c r="OFE4" s="109"/>
      <c r="OFF4" s="109"/>
      <c r="OFG4" s="109"/>
      <c r="OFH4" s="109"/>
      <c r="OFI4" s="109"/>
      <c r="OFJ4" s="109"/>
      <c r="OFK4" s="109"/>
      <c r="OFL4" s="109"/>
      <c r="OFM4" s="109"/>
      <c r="OFN4" s="109"/>
      <c r="OFO4" s="109"/>
      <c r="OFP4" s="109"/>
      <c r="OFQ4" s="109"/>
      <c r="OFR4" s="109"/>
      <c r="OFS4" s="109"/>
      <c r="OFT4" s="109"/>
      <c r="OFU4" s="109"/>
      <c r="OFV4" s="109"/>
      <c r="OFW4" s="109"/>
      <c r="OFX4" s="109"/>
      <c r="OFY4" s="109"/>
      <c r="OFZ4" s="109"/>
      <c r="OGA4" s="109"/>
      <c r="OGB4" s="109"/>
      <c r="OGC4" s="109"/>
      <c r="OGD4" s="109"/>
      <c r="OGE4" s="109"/>
      <c r="OGF4" s="109"/>
      <c r="OGG4" s="109"/>
      <c r="OGH4" s="109"/>
      <c r="OGI4" s="109"/>
      <c r="OGJ4" s="109"/>
      <c r="OGK4" s="109"/>
      <c r="OGL4" s="109"/>
      <c r="OGM4" s="109"/>
      <c r="OGN4" s="109"/>
      <c r="OGO4" s="109"/>
      <c r="OGP4" s="109"/>
      <c r="OGQ4" s="109"/>
      <c r="OGR4" s="109"/>
      <c r="OGS4" s="109"/>
      <c r="OGT4" s="109"/>
      <c r="OGU4" s="109"/>
      <c r="OGV4" s="109"/>
      <c r="OGW4" s="109"/>
      <c r="OGX4" s="109"/>
      <c r="OGY4" s="109"/>
      <c r="OGZ4" s="109"/>
      <c r="OHA4" s="109"/>
      <c r="OHB4" s="109"/>
      <c r="OHC4" s="109"/>
      <c r="OHD4" s="109"/>
      <c r="OHE4" s="109"/>
      <c r="OHF4" s="109"/>
      <c r="OHG4" s="109"/>
      <c r="OHH4" s="109"/>
      <c r="OHI4" s="109"/>
      <c r="OHJ4" s="109"/>
      <c r="OHK4" s="109"/>
      <c r="OHL4" s="109"/>
      <c r="OHM4" s="109"/>
      <c r="OHN4" s="109"/>
      <c r="OHO4" s="109"/>
      <c r="OHP4" s="109"/>
      <c r="OHQ4" s="109"/>
      <c r="OHR4" s="109"/>
      <c r="OHS4" s="109"/>
      <c r="OHT4" s="109"/>
      <c r="OHU4" s="109"/>
      <c r="OHV4" s="109"/>
      <c r="OHW4" s="109"/>
      <c r="OHX4" s="109"/>
      <c r="OHY4" s="109"/>
      <c r="OHZ4" s="109"/>
      <c r="OIA4" s="109"/>
      <c r="OIB4" s="109"/>
      <c r="OIC4" s="109"/>
      <c r="OID4" s="109"/>
      <c r="OIE4" s="109"/>
      <c r="OIF4" s="109"/>
      <c r="OIG4" s="109"/>
      <c r="OIH4" s="109"/>
      <c r="OII4" s="109"/>
      <c r="OIJ4" s="109"/>
      <c r="OIK4" s="109"/>
      <c r="OIL4" s="109"/>
      <c r="OIM4" s="109"/>
      <c r="OIN4" s="109"/>
      <c r="OIO4" s="109"/>
      <c r="OIP4" s="109"/>
      <c r="OIQ4" s="109"/>
      <c r="OIR4" s="109"/>
      <c r="OIS4" s="109"/>
      <c r="OIT4" s="109"/>
      <c r="OIU4" s="109"/>
      <c r="OIV4" s="109"/>
      <c r="OIW4" s="109"/>
      <c r="OIX4" s="109"/>
      <c r="OIY4" s="109"/>
      <c r="OIZ4" s="109"/>
      <c r="OJA4" s="109"/>
      <c r="OJB4" s="109"/>
      <c r="OJC4" s="109"/>
      <c r="OJD4" s="109"/>
      <c r="OJE4" s="109"/>
      <c r="OJF4" s="109"/>
      <c r="OJG4" s="109"/>
      <c r="OJH4" s="109"/>
      <c r="OJI4" s="109"/>
      <c r="OJJ4" s="109"/>
      <c r="OJK4" s="109"/>
      <c r="OJL4" s="109"/>
      <c r="OJM4" s="109"/>
      <c r="OJN4" s="109"/>
      <c r="OJO4" s="109"/>
      <c r="OJP4" s="109"/>
      <c r="OJQ4" s="109"/>
      <c r="OJR4" s="109"/>
      <c r="OJS4" s="109"/>
      <c r="OJT4" s="109"/>
      <c r="OJU4" s="109"/>
      <c r="OJV4" s="109"/>
      <c r="OJW4" s="109"/>
      <c r="OJX4" s="109"/>
      <c r="OJY4" s="109"/>
      <c r="OJZ4" s="109"/>
      <c r="OKA4" s="109"/>
      <c r="OKB4" s="109"/>
      <c r="OKC4" s="109"/>
      <c r="OKD4" s="109"/>
      <c r="OKE4" s="109"/>
      <c r="OKF4" s="109"/>
      <c r="OKG4" s="109"/>
      <c r="OKH4" s="109"/>
      <c r="OKI4" s="109"/>
      <c r="OKJ4" s="109"/>
      <c r="OKK4" s="109"/>
      <c r="OKL4" s="109"/>
      <c r="OKM4" s="109"/>
      <c r="OKN4" s="109"/>
      <c r="OKO4" s="109"/>
      <c r="OKP4" s="109"/>
      <c r="OKQ4" s="109"/>
      <c r="OKR4" s="109"/>
      <c r="OKS4" s="109"/>
      <c r="OKT4" s="109"/>
      <c r="OKU4" s="109"/>
      <c r="OKV4" s="109"/>
      <c r="OKW4" s="109"/>
      <c r="OKX4" s="109"/>
      <c r="OKY4" s="109"/>
      <c r="OKZ4" s="109"/>
      <c r="OLA4" s="109"/>
      <c r="OLB4" s="109"/>
      <c r="OLC4" s="109"/>
      <c r="OLD4" s="109"/>
      <c r="OLE4" s="109"/>
      <c r="OLF4" s="109"/>
      <c r="OLG4" s="109"/>
      <c r="OLH4" s="109"/>
      <c r="OLI4" s="109"/>
      <c r="OLJ4" s="109"/>
      <c r="OLK4" s="109"/>
      <c r="OLL4" s="109"/>
      <c r="OLM4" s="109"/>
      <c r="OLN4" s="109"/>
      <c r="OLO4" s="109"/>
      <c r="OLP4" s="109"/>
      <c r="OLQ4" s="109"/>
      <c r="OLR4" s="109"/>
      <c r="OLS4" s="109"/>
      <c r="OLT4" s="109"/>
      <c r="OLU4" s="109"/>
      <c r="OLV4" s="109"/>
      <c r="OLW4" s="109"/>
      <c r="OLX4" s="109"/>
      <c r="OLY4" s="109"/>
      <c r="OLZ4" s="109"/>
      <c r="OMA4" s="109"/>
      <c r="OMB4" s="109"/>
      <c r="OMC4" s="109"/>
      <c r="OMD4" s="109"/>
      <c r="OME4" s="109"/>
      <c r="OMF4" s="109"/>
      <c r="OMG4" s="109"/>
      <c r="OMH4" s="109"/>
      <c r="OMI4" s="109"/>
      <c r="OMJ4" s="109"/>
      <c r="OMK4" s="109"/>
      <c r="OML4" s="109"/>
      <c r="OMM4" s="109"/>
      <c r="OMN4" s="109"/>
      <c r="OMO4" s="109"/>
      <c r="OMP4" s="109"/>
      <c r="OMQ4" s="109"/>
      <c r="OMR4" s="109"/>
      <c r="OMS4" s="109"/>
      <c r="OMT4" s="109"/>
      <c r="OMU4" s="109"/>
      <c r="OMV4" s="109"/>
      <c r="OMW4" s="109"/>
      <c r="OMX4" s="109"/>
      <c r="OMY4" s="109"/>
      <c r="OMZ4" s="109"/>
      <c r="ONA4" s="109"/>
      <c r="ONB4" s="109"/>
      <c r="ONC4" s="109"/>
      <c r="OND4" s="109"/>
      <c r="ONE4" s="109"/>
      <c r="ONF4" s="109"/>
      <c r="ONG4" s="109"/>
      <c r="ONH4" s="109"/>
      <c r="ONI4" s="109"/>
      <c r="ONJ4" s="109"/>
      <c r="ONK4" s="109"/>
      <c r="ONL4" s="109"/>
      <c r="ONM4" s="109"/>
      <c r="ONN4" s="109"/>
      <c r="ONO4" s="109"/>
      <c r="ONP4" s="109"/>
      <c r="ONQ4" s="109"/>
      <c r="ONR4" s="109"/>
      <c r="ONS4" s="109"/>
      <c r="ONT4" s="109"/>
      <c r="ONU4" s="109"/>
      <c r="ONV4" s="109"/>
      <c r="ONW4" s="109"/>
      <c r="ONX4" s="109"/>
      <c r="ONY4" s="109"/>
      <c r="ONZ4" s="109"/>
      <c r="OOA4" s="109"/>
      <c r="OOB4" s="109"/>
      <c r="OOC4" s="109"/>
      <c r="OOD4" s="109"/>
      <c r="OOE4" s="109"/>
      <c r="OOF4" s="109"/>
      <c r="OOG4" s="109"/>
      <c r="OOH4" s="109"/>
      <c r="OOI4" s="109"/>
      <c r="OOJ4" s="109"/>
      <c r="OOK4" s="109"/>
      <c r="OOL4" s="109"/>
      <c r="OOM4" s="109"/>
      <c r="OON4" s="109"/>
      <c r="OOO4" s="109"/>
      <c r="OOP4" s="109"/>
      <c r="OOQ4" s="109"/>
      <c r="OOR4" s="109"/>
      <c r="OOS4" s="109"/>
      <c r="OOT4" s="109"/>
      <c r="OOU4" s="109"/>
      <c r="OOV4" s="109"/>
      <c r="OOW4" s="109"/>
      <c r="OOX4" s="109"/>
      <c r="OOY4" s="109"/>
      <c r="OOZ4" s="109"/>
      <c r="OPA4" s="109"/>
      <c r="OPB4" s="109"/>
      <c r="OPC4" s="109"/>
      <c r="OPD4" s="109"/>
      <c r="OPE4" s="109"/>
      <c r="OPF4" s="109"/>
      <c r="OPG4" s="109"/>
      <c r="OPH4" s="109"/>
      <c r="OPI4" s="109"/>
      <c r="OPJ4" s="109"/>
      <c r="OPK4" s="109"/>
      <c r="OPL4" s="109"/>
      <c r="OPM4" s="109"/>
      <c r="OPN4" s="109"/>
      <c r="OPO4" s="109"/>
      <c r="OPP4" s="109"/>
      <c r="OPQ4" s="109"/>
      <c r="OPR4" s="109"/>
      <c r="OPS4" s="109"/>
      <c r="OPT4" s="109"/>
      <c r="OPU4" s="109"/>
      <c r="OPV4" s="109"/>
      <c r="OPW4" s="109"/>
      <c r="OPX4" s="109"/>
      <c r="OPY4" s="109"/>
      <c r="OPZ4" s="109"/>
      <c r="OQA4" s="109"/>
      <c r="OQB4" s="109"/>
      <c r="OQC4" s="109"/>
      <c r="OQD4" s="109"/>
      <c r="OQE4" s="109"/>
      <c r="OQF4" s="109"/>
      <c r="OQG4" s="109"/>
      <c r="OQH4" s="109"/>
      <c r="OQI4" s="109"/>
      <c r="OQJ4" s="109"/>
      <c r="OQK4" s="109"/>
      <c r="OQL4" s="109"/>
      <c r="OQM4" s="109"/>
      <c r="OQN4" s="109"/>
      <c r="OQO4" s="109"/>
      <c r="OQP4" s="109"/>
      <c r="OQQ4" s="109"/>
      <c r="OQR4" s="109"/>
      <c r="OQS4" s="109"/>
      <c r="OQT4" s="109"/>
      <c r="OQU4" s="109"/>
      <c r="OQV4" s="109"/>
      <c r="OQW4" s="109"/>
      <c r="OQX4" s="109"/>
      <c r="OQY4" s="109"/>
      <c r="OQZ4" s="109"/>
      <c r="ORA4" s="109"/>
      <c r="ORB4" s="109"/>
      <c r="ORC4" s="109"/>
      <c r="ORD4" s="109"/>
      <c r="ORE4" s="109"/>
      <c r="ORF4" s="109"/>
      <c r="ORG4" s="109"/>
      <c r="ORH4" s="109"/>
      <c r="ORI4" s="109"/>
      <c r="ORJ4" s="109"/>
      <c r="ORK4" s="109"/>
      <c r="ORL4" s="109"/>
      <c r="ORM4" s="109"/>
      <c r="ORN4" s="109"/>
      <c r="ORO4" s="109"/>
      <c r="ORP4" s="109"/>
      <c r="ORQ4" s="109"/>
      <c r="ORR4" s="109"/>
      <c r="ORS4" s="109"/>
      <c r="ORT4" s="109"/>
      <c r="ORU4" s="109"/>
      <c r="ORV4" s="109"/>
      <c r="ORW4" s="109"/>
      <c r="ORX4" s="109"/>
      <c r="ORY4" s="109"/>
      <c r="ORZ4" s="109"/>
      <c r="OSA4" s="109"/>
      <c r="OSB4" s="109"/>
      <c r="OSC4" s="109"/>
      <c r="OSD4" s="109"/>
      <c r="OSE4" s="109"/>
      <c r="OSF4" s="109"/>
      <c r="OSG4" s="109"/>
      <c r="OSH4" s="109"/>
      <c r="OSI4" s="109"/>
      <c r="OSJ4" s="109"/>
      <c r="OSK4" s="109"/>
      <c r="OSL4" s="109"/>
      <c r="OSM4" s="109"/>
      <c r="OSN4" s="109"/>
      <c r="OSO4" s="109"/>
      <c r="OSP4" s="109"/>
      <c r="OSQ4" s="109"/>
      <c r="OSR4" s="109"/>
      <c r="OSS4" s="109"/>
      <c r="OST4" s="109"/>
      <c r="OSU4" s="109"/>
      <c r="OSV4" s="109"/>
      <c r="OSW4" s="109"/>
      <c r="OSX4" s="109"/>
      <c r="OSY4" s="109"/>
      <c r="OSZ4" s="109"/>
      <c r="OTA4" s="109"/>
      <c r="OTB4" s="109"/>
      <c r="OTC4" s="109"/>
      <c r="OTD4" s="109"/>
      <c r="OTE4" s="109"/>
      <c r="OTF4" s="109"/>
      <c r="OTG4" s="109"/>
      <c r="OTH4" s="109"/>
      <c r="OTI4" s="109"/>
      <c r="OTJ4" s="109"/>
      <c r="OTK4" s="109"/>
      <c r="OTL4" s="109"/>
      <c r="OTM4" s="109"/>
      <c r="OTN4" s="109"/>
      <c r="OTO4" s="109"/>
      <c r="OTP4" s="109"/>
      <c r="OTQ4" s="109"/>
      <c r="OTR4" s="109"/>
      <c r="OTS4" s="109"/>
      <c r="OTT4" s="109"/>
      <c r="OTU4" s="109"/>
      <c r="OTV4" s="109"/>
      <c r="OTW4" s="109"/>
      <c r="OTX4" s="109"/>
      <c r="OTY4" s="109"/>
      <c r="OTZ4" s="109"/>
      <c r="OUA4" s="109"/>
      <c r="OUB4" s="109"/>
      <c r="OUC4" s="109"/>
      <c r="OUD4" s="109"/>
      <c r="OUE4" s="109"/>
      <c r="OUF4" s="109"/>
      <c r="OUG4" s="109"/>
      <c r="OUH4" s="109"/>
      <c r="OUI4" s="109"/>
      <c r="OUJ4" s="109"/>
      <c r="OUK4" s="109"/>
      <c r="OUL4" s="109"/>
      <c r="OUM4" s="109"/>
      <c r="OUN4" s="109"/>
      <c r="OUO4" s="109"/>
      <c r="OUP4" s="109"/>
      <c r="OUQ4" s="109"/>
      <c r="OUR4" s="109"/>
      <c r="OUS4" s="109"/>
      <c r="OUT4" s="109"/>
      <c r="OUU4" s="109"/>
      <c r="OUV4" s="109"/>
      <c r="OUW4" s="109"/>
      <c r="OUX4" s="109"/>
      <c r="OUY4" s="109"/>
      <c r="OUZ4" s="109"/>
      <c r="OVA4" s="109"/>
      <c r="OVB4" s="109"/>
      <c r="OVC4" s="109"/>
      <c r="OVD4" s="109"/>
      <c r="OVE4" s="109"/>
      <c r="OVF4" s="109"/>
      <c r="OVG4" s="109"/>
      <c r="OVH4" s="109"/>
      <c r="OVI4" s="109"/>
      <c r="OVJ4" s="109"/>
      <c r="OVK4" s="109"/>
      <c r="OVL4" s="109"/>
      <c r="OVM4" s="109"/>
      <c r="OVN4" s="109"/>
      <c r="OVO4" s="109"/>
      <c r="OVP4" s="109"/>
      <c r="OVQ4" s="109"/>
      <c r="OVR4" s="109"/>
      <c r="OVS4" s="109"/>
      <c r="OVT4" s="109"/>
      <c r="OVU4" s="109"/>
      <c r="OVV4" s="109"/>
      <c r="OVW4" s="109"/>
      <c r="OVX4" s="109"/>
      <c r="OVY4" s="109"/>
      <c r="OVZ4" s="109"/>
      <c r="OWA4" s="109"/>
      <c r="OWB4" s="109"/>
      <c r="OWC4" s="109"/>
      <c r="OWD4" s="109"/>
      <c r="OWE4" s="109"/>
      <c r="OWF4" s="109"/>
      <c r="OWG4" s="109"/>
      <c r="OWH4" s="109"/>
      <c r="OWI4" s="109"/>
      <c r="OWJ4" s="109"/>
      <c r="OWK4" s="109"/>
      <c r="OWL4" s="109"/>
      <c r="OWM4" s="109"/>
      <c r="OWN4" s="109"/>
      <c r="OWO4" s="109"/>
      <c r="OWP4" s="109"/>
      <c r="OWQ4" s="109"/>
      <c r="OWR4" s="109"/>
      <c r="OWS4" s="109"/>
      <c r="OWT4" s="109"/>
      <c r="OWU4" s="109"/>
      <c r="OWV4" s="109"/>
      <c r="OWW4" s="109"/>
      <c r="OWX4" s="109"/>
      <c r="OWY4" s="109"/>
      <c r="OWZ4" s="109"/>
      <c r="OXA4" s="109"/>
      <c r="OXB4" s="109"/>
      <c r="OXC4" s="109"/>
      <c r="OXD4" s="109"/>
      <c r="OXE4" s="109"/>
      <c r="OXF4" s="109"/>
      <c r="OXG4" s="109"/>
      <c r="OXH4" s="109"/>
      <c r="OXI4" s="109"/>
      <c r="OXJ4" s="109"/>
      <c r="OXK4" s="109"/>
      <c r="OXL4" s="109"/>
      <c r="OXM4" s="109"/>
      <c r="OXN4" s="109"/>
      <c r="OXO4" s="109"/>
      <c r="OXP4" s="109"/>
      <c r="OXQ4" s="109"/>
      <c r="OXR4" s="109"/>
      <c r="OXS4" s="109"/>
      <c r="OXT4" s="109"/>
      <c r="OXU4" s="109"/>
      <c r="OXV4" s="109"/>
      <c r="OXW4" s="109"/>
      <c r="OXX4" s="109"/>
      <c r="OXY4" s="109"/>
      <c r="OXZ4" s="109"/>
      <c r="OYA4" s="109"/>
      <c r="OYB4" s="109"/>
      <c r="OYC4" s="109"/>
      <c r="OYD4" s="109"/>
      <c r="OYE4" s="109"/>
      <c r="OYF4" s="109"/>
      <c r="OYG4" s="109"/>
      <c r="OYH4" s="109"/>
      <c r="OYI4" s="109"/>
      <c r="OYJ4" s="109"/>
      <c r="OYK4" s="109"/>
      <c r="OYL4" s="109"/>
      <c r="OYM4" s="109"/>
      <c r="OYN4" s="109"/>
      <c r="OYO4" s="109"/>
      <c r="OYP4" s="109"/>
      <c r="OYQ4" s="109"/>
      <c r="OYR4" s="109"/>
      <c r="OYS4" s="109"/>
      <c r="OYT4" s="109"/>
      <c r="OYU4" s="109"/>
      <c r="OYV4" s="109"/>
      <c r="OYW4" s="109"/>
      <c r="OYX4" s="109"/>
      <c r="OYY4" s="109"/>
      <c r="OYZ4" s="109"/>
      <c r="OZA4" s="109"/>
      <c r="OZB4" s="109"/>
      <c r="OZC4" s="109"/>
      <c r="OZD4" s="109"/>
      <c r="OZE4" s="109"/>
      <c r="OZF4" s="109"/>
      <c r="OZG4" s="109"/>
      <c r="OZH4" s="109"/>
      <c r="OZI4" s="109"/>
      <c r="OZJ4" s="109"/>
      <c r="OZK4" s="109"/>
      <c r="OZL4" s="109"/>
      <c r="OZM4" s="109"/>
      <c r="OZN4" s="109"/>
      <c r="OZO4" s="109"/>
      <c r="OZP4" s="109"/>
      <c r="OZQ4" s="109"/>
      <c r="OZR4" s="109"/>
      <c r="OZS4" s="109"/>
      <c r="OZT4" s="109"/>
      <c r="OZU4" s="109"/>
      <c r="OZV4" s="109"/>
      <c r="OZW4" s="109"/>
      <c r="OZX4" s="109"/>
      <c r="OZY4" s="109"/>
      <c r="OZZ4" s="109"/>
      <c r="PAA4" s="109"/>
      <c r="PAB4" s="109"/>
      <c r="PAC4" s="109"/>
      <c r="PAD4" s="109"/>
      <c r="PAE4" s="109"/>
      <c r="PAF4" s="109"/>
      <c r="PAG4" s="109"/>
      <c r="PAH4" s="109"/>
      <c r="PAI4" s="109"/>
      <c r="PAJ4" s="109"/>
      <c r="PAK4" s="109"/>
      <c r="PAL4" s="109"/>
      <c r="PAM4" s="109"/>
      <c r="PAN4" s="109"/>
      <c r="PAO4" s="109"/>
      <c r="PAP4" s="109"/>
      <c r="PAQ4" s="109"/>
      <c r="PAR4" s="109"/>
      <c r="PAS4" s="109"/>
      <c r="PAT4" s="109"/>
      <c r="PAU4" s="109"/>
      <c r="PAV4" s="109"/>
      <c r="PAW4" s="109"/>
      <c r="PAX4" s="109"/>
      <c r="PAY4" s="109"/>
      <c r="PAZ4" s="109"/>
      <c r="PBA4" s="109"/>
      <c r="PBB4" s="109"/>
      <c r="PBC4" s="109"/>
      <c r="PBD4" s="109"/>
      <c r="PBE4" s="109"/>
      <c r="PBF4" s="109"/>
      <c r="PBG4" s="109"/>
      <c r="PBH4" s="109"/>
      <c r="PBI4" s="109"/>
      <c r="PBJ4" s="109"/>
      <c r="PBK4" s="109"/>
      <c r="PBL4" s="109"/>
      <c r="PBM4" s="109"/>
      <c r="PBN4" s="109"/>
      <c r="PBO4" s="109"/>
      <c r="PBP4" s="109"/>
      <c r="PBQ4" s="109"/>
      <c r="PBR4" s="109"/>
      <c r="PBS4" s="109"/>
      <c r="PBT4" s="109"/>
      <c r="PBU4" s="109"/>
      <c r="PBV4" s="109"/>
      <c r="PBW4" s="109"/>
      <c r="PBX4" s="109"/>
      <c r="PBY4" s="109"/>
      <c r="PBZ4" s="109"/>
      <c r="PCA4" s="109"/>
      <c r="PCB4" s="109"/>
      <c r="PCC4" s="109"/>
      <c r="PCD4" s="109"/>
      <c r="PCE4" s="109"/>
      <c r="PCF4" s="109"/>
      <c r="PCG4" s="109"/>
      <c r="PCH4" s="109"/>
      <c r="PCI4" s="109"/>
      <c r="PCJ4" s="109"/>
      <c r="PCK4" s="109"/>
      <c r="PCL4" s="109"/>
      <c r="PCM4" s="109"/>
      <c r="PCN4" s="109"/>
      <c r="PCO4" s="109"/>
      <c r="PCP4" s="109"/>
      <c r="PCQ4" s="109"/>
      <c r="PCR4" s="109"/>
      <c r="PCS4" s="109"/>
      <c r="PCT4" s="109"/>
      <c r="PCU4" s="109"/>
      <c r="PCV4" s="109"/>
      <c r="PCW4" s="109"/>
      <c r="PCX4" s="109"/>
      <c r="PCY4" s="109"/>
      <c r="PCZ4" s="109"/>
      <c r="PDA4" s="109"/>
      <c r="PDB4" s="109"/>
      <c r="PDC4" s="109"/>
      <c r="PDD4" s="109"/>
      <c r="PDE4" s="109"/>
      <c r="PDF4" s="109"/>
      <c r="PDG4" s="109"/>
      <c r="PDH4" s="109"/>
      <c r="PDI4" s="109"/>
      <c r="PDJ4" s="109"/>
      <c r="PDK4" s="109"/>
      <c r="PDL4" s="109"/>
      <c r="PDM4" s="109"/>
      <c r="PDN4" s="109"/>
      <c r="PDO4" s="109"/>
      <c r="PDP4" s="109"/>
      <c r="PDQ4" s="109"/>
      <c r="PDR4" s="109"/>
      <c r="PDS4" s="109"/>
      <c r="PDT4" s="109"/>
      <c r="PDU4" s="109"/>
      <c r="PDV4" s="109"/>
      <c r="PDW4" s="109"/>
      <c r="PDX4" s="109"/>
      <c r="PDY4" s="109"/>
      <c r="PDZ4" s="109"/>
      <c r="PEA4" s="109"/>
      <c r="PEB4" s="109"/>
      <c r="PEC4" s="109"/>
      <c r="PED4" s="109"/>
      <c r="PEE4" s="109"/>
      <c r="PEF4" s="109"/>
      <c r="PEG4" s="109"/>
      <c r="PEH4" s="109"/>
      <c r="PEI4" s="109"/>
      <c r="PEJ4" s="109"/>
      <c r="PEK4" s="109"/>
      <c r="PEL4" s="109"/>
      <c r="PEM4" s="109"/>
      <c r="PEN4" s="109"/>
      <c r="PEO4" s="109"/>
      <c r="PEP4" s="109"/>
      <c r="PEQ4" s="109"/>
      <c r="PER4" s="109"/>
      <c r="PES4" s="109"/>
      <c r="PET4" s="109"/>
      <c r="PEU4" s="109"/>
      <c r="PEV4" s="109"/>
      <c r="PEW4" s="109"/>
      <c r="PEX4" s="109"/>
      <c r="PEY4" s="109"/>
      <c r="PEZ4" s="109"/>
      <c r="PFA4" s="109"/>
      <c r="PFB4" s="109"/>
      <c r="PFC4" s="109"/>
      <c r="PFD4" s="109"/>
      <c r="PFE4" s="109"/>
      <c r="PFF4" s="109"/>
      <c r="PFG4" s="109"/>
      <c r="PFH4" s="109"/>
      <c r="PFI4" s="109"/>
      <c r="PFJ4" s="109"/>
      <c r="PFK4" s="109"/>
      <c r="PFL4" s="109"/>
      <c r="PFM4" s="109"/>
      <c r="PFN4" s="109"/>
      <c r="PFO4" s="109"/>
      <c r="PFP4" s="109"/>
      <c r="PFQ4" s="109"/>
      <c r="PFR4" s="109"/>
      <c r="PFS4" s="109"/>
      <c r="PFT4" s="109"/>
      <c r="PFU4" s="109"/>
      <c r="PFV4" s="109"/>
      <c r="PFW4" s="109"/>
      <c r="PFX4" s="109"/>
      <c r="PFY4" s="109"/>
      <c r="PFZ4" s="109"/>
      <c r="PGA4" s="109"/>
      <c r="PGB4" s="109"/>
      <c r="PGC4" s="109"/>
      <c r="PGD4" s="109"/>
      <c r="PGE4" s="109"/>
      <c r="PGF4" s="109"/>
      <c r="PGG4" s="109"/>
      <c r="PGH4" s="109"/>
      <c r="PGI4" s="109"/>
      <c r="PGJ4" s="109"/>
      <c r="PGK4" s="109"/>
      <c r="PGL4" s="109"/>
      <c r="PGM4" s="109"/>
      <c r="PGN4" s="109"/>
      <c r="PGO4" s="109"/>
      <c r="PGP4" s="109"/>
      <c r="PGQ4" s="109"/>
      <c r="PGR4" s="109"/>
      <c r="PGS4" s="109"/>
      <c r="PGT4" s="109"/>
      <c r="PGU4" s="109"/>
      <c r="PGV4" s="109"/>
      <c r="PGW4" s="109"/>
      <c r="PGX4" s="109"/>
      <c r="PGY4" s="109"/>
      <c r="PGZ4" s="109"/>
      <c r="PHA4" s="109"/>
      <c r="PHB4" s="109"/>
      <c r="PHC4" s="109"/>
      <c r="PHD4" s="109"/>
      <c r="PHE4" s="109"/>
      <c r="PHF4" s="109"/>
      <c r="PHG4" s="109"/>
      <c r="PHH4" s="109"/>
      <c r="PHI4" s="109"/>
      <c r="PHJ4" s="109"/>
      <c r="PHK4" s="109"/>
      <c r="PHL4" s="109"/>
      <c r="PHM4" s="109"/>
      <c r="PHN4" s="109"/>
      <c r="PHO4" s="109"/>
      <c r="PHP4" s="109"/>
      <c r="PHQ4" s="109"/>
      <c r="PHR4" s="109"/>
      <c r="PHS4" s="109"/>
      <c r="PHT4" s="109"/>
      <c r="PHU4" s="109"/>
      <c r="PHV4" s="109"/>
      <c r="PHW4" s="109"/>
      <c r="PHX4" s="109"/>
      <c r="PHY4" s="109"/>
      <c r="PHZ4" s="109"/>
      <c r="PIA4" s="109"/>
      <c r="PIB4" s="109"/>
      <c r="PIC4" s="109"/>
      <c r="PID4" s="109"/>
      <c r="PIE4" s="109"/>
      <c r="PIF4" s="109"/>
      <c r="PIG4" s="109"/>
      <c r="PIH4" s="109"/>
      <c r="PII4" s="109"/>
      <c r="PIJ4" s="109"/>
      <c r="PIK4" s="109"/>
      <c r="PIL4" s="109"/>
      <c r="PIM4" s="109"/>
      <c r="PIN4" s="109"/>
      <c r="PIO4" s="109"/>
      <c r="PIP4" s="109"/>
      <c r="PIQ4" s="109"/>
      <c r="PIR4" s="109"/>
      <c r="PIS4" s="109"/>
      <c r="PIT4" s="109"/>
      <c r="PIU4" s="109"/>
      <c r="PIV4" s="109"/>
      <c r="PIW4" s="109"/>
      <c r="PIX4" s="109"/>
      <c r="PIY4" s="109"/>
      <c r="PIZ4" s="109"/>
      <c r="PJA4" s="109"/>
      <c r="PJB4" s="109"/>
      <c r="PJC4" s="109"/>
      <c r="PJD4" s="109"/>
      <c r="PJE4" s="109"/>
      <c r="PJF4" s="109"/>
      <c r="PJG4" s="109"/>
      <c r="PJH4" s="109"/>
      <c r="PJI4" s="109"/>
      <c r="PJJ4" s="109"/>
      <c r="PJK4" s="109"/>
      <c r="PJL4" s="109"/>
      <c r="PJM4" s="109"/>
      <c r="PJN4" s="109"/>
      <c r="PJO4" s="109"/>
      <c r="PJP4" s="109"/>
      <c r="PJQ4" s="109"/>
      <c r="PJR4" s="109"/>
      <c r="PJS4" s="109"/>
      <c r="PJT4" s="109"/>
      <c r="PJU4" s="109"/>
      <c r="PJV4" s="109"/>
      <c r="PJW4" s="109"/>
      <c r="PJX4" s="109"/>
      <c r="PJY4" s="109"/>
      <c r="PJZ4" s="109"/>
      <c r="PKA4" s="109"/>
      <c r="PKB4" s="109"/>
      <c r="PKC4" s="109"/>
      <c r="PKD4" s="109"/>
      <c r="PKE4" s="109"/>
      <c r="PKF4" s="109"/>
      <c r="PKG4" s="109"/>
      <c r="PKH4" s="109"/>
      <c r="PKI4" s="109"/>
      <c r="PKJ4" s="109"/>
      <c r="PKK4" s="109"/>
      <c r="PKL4" s="109"/>
      <c r="PKM4" s="109"/>
      <c r="PKN4" s="109"/>
      <c r="PKO4" s="109"/>
      <c r="PKP4" s="109"/>
      <c r="PKQ4" s="109"/>
      <c r="PKR4" s="109"/>
      <c r="PKS4" s="109"/>
      <c r="PKT4" s="109"/>
      <c r="PKU4" s="109"/>
      <c r="PKV4" s="109"/>
      <c r="PKW4" s="109"/>
      <c r="PKX4" s="109"/>
      <c r="PKY4" s="109"/>
      <c r="PKZ4" s="109"/>
      <c r="PLA4" s="109"/>
      <c r="PLB4" s="109"/>
      <c r="PLC4" s="109"/>
      <c r="PLD4" s="109"/>
      <c r="PLE4" s="109"/>
      <c r="PLF4" s="109"/>
      <c r="PLG4" s="109"/>
      <c r="PLH4" s="109"/>
      <c r="PLI4" s="109"/>
      <c r="PLJ4" s="109"/>
      <c r="PLK4" s="109"/>
      <c r="PLL4" s="109"/>
      <c r="PLM4" s="109"/>
      <c r="PLN4" s="109"/>
      <c r="PLO4" s="109"/>
      <c r="PLP4" s="109"/>
      <c r="PLQ4" s="109"/>
      <c r="PLR4" s="109"/>
      <c r="PLS4" s="109"/>
      <c r="PLT4" s="109"/>
      <c r="PLU4" s="109"/>
      <c r="PLV4" s="109"/>
      <c r="PLW4" s="109"/>
      <c r="PLX4" s="109"/>
      <c r="PLY4" s="109"/>
      <c r="PLZ4" s="109"/>
      <c r="PMA4" s="109"/>
      <c r="PMB4" s="109"/>
      <c r="PMC4" s="109"/>
      <c r="PMD4" s="109"/>
      <c r="PME4" s="109"/>
      <c r="PMF4" s="109"/>
      <c r="PMG4" s="109"/>
      <c r="PMH4" s="109"/>
      <c r="PMI4" s="109"/>
      <c r="PMJ4" s="109"/>
      <c r="PMK4" s="109"/>
      <c r="PML4" s="109"/>
      <c r="PMM4" s="109"/>
      <c r="PMN4" s="109"/>
      <c r="PMO4" s="109"/>
      <c r="PMP4" s="109"/>
      <c r="PMQ4" s="109"/>
      <c r="PMR4" s="109"/>
      <c r="PMS4" s="109"/>
      <c r="PMT4" s="109"/>
      <c r="PMU4" s="109"/>
      <c r="PMV4" s="109"/>
      <c r="PMW4" s="109"/>
      <c r="PMX4" s="109"/>
      <c r="PMY4" s="109"/>
      <c r="PMZ4" s="109"/>
      <c r="PNA4" s="109"/>
      <c r="PNB4" s="109"/>
      <c r="PNC4" s="109"/>
      <c r="PND4" s="109"/>
      <c r="PNE4" s="109"/>
      <c r="PNF4" s="109"/>
      <c r="PNG4" s="109"/>
      <c r="PNH4" s="109"/>
      <c r="PNI4" s="109"/>
      <c r="PNJ4" s="109"/>
      <c r="PNK4" s="109"/>
      <c r="PNL4" s="109"/>
      <c r="PNM4" s="109"/>
      <c r="PNN4" s="109"/>
      <c r="PNO4" s="109"/>
      <c r="PNP4" s="109"/>
      <c r="PNQ4" s="109"/>
      <c r="PNR4" s="109"/>
      <c r="PNS4" s="109"/>
      <c r="PNT4" s="109"/>
      <c r="PNU4" s="109"/>
      <c r="PNV4" s="109"/>
      <c r="PNW4" s="109"/>
      <c r="PNX4" s="109"/>
      <c r="PNY4" s="109"/>
      <c r="PNZ4" s="109"/>
      <c r="POA4" s="109"/>
      <c r="POB4" s="109"/>
      <c r="POC4" s="109"/>
      <c r="POD4" s="109"/>
      <c r="POE4" s="109"/>
      <c r="POF4" s="109"/>
      <c r="POG4" s="109"/>
      <c r="POH4" s="109"/>
      <c r="POI4" s="109"/>
      <c r="POJ4" s="109"/>
      <c r="POK4" s="109"/>
      <c r="POL4" s="109"/>
      <c r="POM4" s="109"/>
      <c r="PON4" s="109"/>
      <c r="POO4" s="109"/>
      <c r="POP4" s="109"/>
      <c r="POQ4" s="109"/>
      <c r="POR4" s="109"/>
      <c r="POS4" s="109"/>
      <c r="POT4" s="109"/>
      <c r="POU4" s="109"/>
      <c r="POV4" s="109"/>
      <c r="POW4" s="109"/>
      <c r="POX4" s="109"/>
      <c r="POY4" s="109"/>
      <c r="POZ4" s="109"/>
      <c r="PPA4" s="109"/>
      <c r="PPB4" s="109"/>
      <c r="PPC4" s="109"/>
      <c r="PPD4" s="109"/>
      <c r="PPE4" s="109"/>
      <c r="PPF4" s="109"/>
      <c r="PPG4" s="109"/>
      <c r="PPH4" s="109"/>
      <c r="PPI4" s="109"/>
      <c r="PPJ4" s="109"/>
      <c r="PPK4" s="109"/>
      <c r="PPL4" s="109"/>
      <c r="PPM4" s="109"/>
      <c r="PPN4" s="109"/>
      <c r="PPO4" s="109"/>
      <c r="PPP4" s="109"/>
      <c r="PPQ4" s="109"/>
      <c r="PPR4" s="109"/>
      <c r="PPS4" s="109"/>
      <c r="PPT4" s="109"/>
      <c r="PPU4" s="109"/>
      <c r="PPV4" s="109"/>
      <c r="PPW4" s="109"/>
      <c r="PPX4" s="109"/>
      <c r="PPY4" s="109"/>
      <c r="PPZ4" s="109"/>
      <c r="PQA4" s="109"/>
      <c r="PQB4" s="109"/>
      <c r="PQC4" s="109"/>
      <c r="PQD4" s="109"/>
      <c r="PQE4" s="109"/>
      <c r="PQF4" s="109"/>
      <c r="PQG4" s="109"/>
      <c r="PQH4" s="109"/>
      <c r="PQI4" s="109"/>
      <c r="PQJ4" s="109"/>
      <c r="PQK4" s="109"/>
      <c r="PQL4" s="109"/>
      <c r="PQM4" s="109"/>
      <c r="PQN4" s="109"/>
      <c r="PQO4" s="109"/>
      <c r="PQP4" s="109"/>
      <c r="PQQ4" s="109"/>
      <c r="PQR4" s="109"/>
      <c r="PQS4" s="109"/>
      <c r="PQT4" s="109"/>
      <c r="PQU4" s="109"/>
      <c r="PQV4" s="109"/>
      <c r="PQW4" s="109"/>
      <c r="PQX4" s="109"/>
      <c r="PQY4" s="109"/>
      <c r="PQZ4" s="109"/>
      <c r="PRA4" s="109"/>
      <c r="PRB4" s="109"/>
      <c r="PRC4" s="109"/>
      <c r="PRD4" s="109"/>
      <c r="PRE4" s="109"/>
      <c r="PRF4" s="109"/>
      <c r="PRG4" s="109"/>
      <c r="PRH4" s="109"/>
      <c r="PRI4" s="109"/>
      <c r="PRJ4" s="109"/>
      <c r="PRK4" s="109"/>
      <c r="PRL4" s="109"/>
      <c r="PRM4" s="109"/>
      <c r="PRN4" s="109"/>
      <c r="PRO4" s="109"/>
      <c r="PRP4" s="109"/>
      <c r="PRQ4" s="109"/>
      <c r="PRR4" s="109"/>
      <c r="PRS4" s="109"/>
      <c r="PRT4" s="109"/>
      <c r="PRU4" s="109"/>
      <c r="PRV4" s="109"/>
      <c r="PRW4" s="109"/>
      <c r="PRX4" s="109"/>
      <c r="PRY4" s="109"/>
      <c r="PRZ4" s="109"/>
      <c r="PSA4" s="109"/>
      <c r="PSB4" s="109"/>
      <c r="PSC4" s="109"/>
      <c r="PSD4" s="109"/>
      <c r="PSE4" s="109"/>
      <c r="PSF4" s="109"/>
      <c r="PSG4" s="109"/>
      <c r="PSH4" s="109"/>
      <c r="PSI4" s="109"/>
      <c r="PSJ4" s="109"/>
      <c r="PSK4" s="109"/>
      <c r="PSL4" s="109"/>
      <c r="PSM4" s="109"/>
      <c r="PSN4" s="109"/>
      <c r="PSO4" s="109"/>
      <c r="PSP4" s="109"/>
      <c r="PSQ4" s="109"/>
      <c r="PSR4" s="109"/>
      <c r="PSS4" s="109"/>
      <c r="PST4" s="109"/>
      <c r="PSU4" s="109"/>
      <c r="PSV4" s="109"/>
      <c r="PSW4" s="109"/>
      <c r="PSX4" s="109"/>
      <c r="PSY4" s="109"/>
      <c r="PSZ4" s="109"/>
      <c r="PTA4" s="109"/>
      <c r="PTB4" s="109"/>
      <c r="PTC4" s="109"/>
      <c r="PTD4" s="109"/>
      <c r="PTE4" s="109"/>
      <c r="PTF4" s="109"/>
      <c r="PTG4" s="109"/>
      <c r="PTH4" s="109"/>
      <c r="PTI4" s="109"/>
      <c r="PTJ4" s="109"/>
      <c r="PTK4" s="109"/>
      <c r="PTL4" s="109"/>
      <c r="PTM4" s="109"/>
      <c r="PTN4" s="109"/>
      <c r="PTO4" s="109"/>
      <c r="PTP4" s="109"/>
      <c r="PTQ4" s="109"/>
      <c r="PTR4" s="109"/>
      <c r="PTS4" s="109"/>
      <c r="PTT4" s="109"/>
      <c r="PTU4" s="109"/>
      <c r="PTV4" s="109"/>
      <c r="PTW4" s="109"/>
      <c r="PTX4" s="109"/>
      <c r="PTY4" s="109"/>
      <c r="PTZ4" s="109"/>
      <c r="PUA4" s="109"/>
      <c r="PUB4" s="109"/>
      <c r="PUC4" s="109"/>
      <c r="PUD4" s="109"/>
      <c r="PUE4" s="109"/>
      <c r="PUF4" s="109"/>
      <c r="PUG4" s="109"/>
      <c r="PUH4" s="109"/>
      <c r="PUI4" s="109"/>
      <c r="PUJ4" s="109"/>
      <c r="PUK4" s="109"/>
      <c r="PUL4" s="109"/>
      <c r="PUM4" s="109"/>
      <c r="PUN4" s="109"/>
      <c r="PUO4" s="109"/>
      <c r="PUP4" s="109"/>
      <c r="PUQ4" s="109"/>
      <c r="PUR4" s="109"/>
      <c r="PUS4" s="109"/>
      <c r="PUT4" s="109"/>
      <c r="PUU4" s="109"/>
      <c r="PUV4" s="109"/>
      <c r="PUW4" s="109"/>
      <c r="PUX4" s="109"/>
      <c r="PUY4" s="109"/>
      <c r="PUZ4" s="109"/>
      <c r="PVA4" s="109"/>
      <c r="PVB4" s="109"/>
      <c r="PVC4" s="109"/>
      <c r="PVD4" s="109"/>
      <c r="PVE4" s="109"/>
      <c r="PVF4" s="109"/>
      <c r="PVG4" s="109"/>
      <c r="PVH4" s="109"/>
      <c r="PVI4" s="109"/>
      <c r="PVJ4" s="109"/>
      <c r="PVK4" s="109"/>
      <c r="PVL4" s="109"/>
      <c r="PVM4" s="109"/>
      <c r="PVN4" s="109"/>
      <c r="PVO4" s="109"/>
      <c r="PVP4" s="109"/>
      <c r="PVQ4" s="109"/>
      <c r="PVR4" s="109"/>
      <c r="PVS4" s="109"/>
      <c r="PVT4" s="109"/>
      <c r="PVU4" s="109"/>
      <c r="PVV4" s="109"/>
      <c r="PVW4" s="109"/>
      <c r="PVX4" s="109"/>
      <c r="PVY4" s="109"/>
      <c r="PVZ4" s="109"/>
      <c r="PWA4" s="109"/>
      <c r="PWB4" s="109"/>
      <c r="PWC4" s="109"/>
      <c r="PWD4" s="109"/>
      <c r="PWE4" s="109"/>
      <c r="PWF4" s="109"/>
      <c r="PWG4" s="109"/>
      <c r="PWH4" s="109"/>
      <c r="PWI4" s="109"/>
      <c r="PWJ4" s="109"/>
      <c r="PWK4" s="109"/>
      <c r="PWL4" s="109"/>
      <c r="PWM4" s="109"/>
      <c r="PWN4" s="109"/>
      <c r="PWO4" s="109"/>
      <c r="PWP4" s="109"/>
      <c r="PWQ4" s="109"/>
      <c r="PWR4" s="109"/>
      <c r="PWS4" s="109"/>
      <c r="PWT4" s="109"/>
      <c r="PWU4" s="109"/>
      <c r="PWV4" s="109"/>
      <c r="PWW4" s="109"/>
      <c r="PWX4" s="109"/>
      <c r="PWY4" s="109"/>
      <c r="PWZ4" s="109"/>
      <c r="PXA4" s="109"/>
      <c r="PXB4" s="109"/>
      <c r="PXC4" s="109"/>
      <c r="PXD4" s="109"/>
      <c r="PXE4" s="109"/>
      <c r="PXF4" s="109"/>
      <c r="PXG4" s="109"/>
      <c r="PXH4" s="109"/>
      <c r="PXI4" s="109"/>
      <c r="PXJ4" s="109"/>
      <c r="PXK4" s="109"/>
      <c r="PXL4" s="109"/>
      <c r="PXM4" s="109"/>
      <c r="PXN4" s="109"/>
      <c r="PXO4" s="109"/>
      <c r="PXP4" s="109"/>
      <c r="PXQ4" s="109"/>
      <c r="PXR4" s="109"/>
      <c r="PXS4" s="109"/>
      <c r="PXT4" s="109"/>
      <c r="PXU4" s="109"/>
      <c r="PXV4" s="109"/>
      <c r="PXW4" s="109"/>
      <c r="PXX4" s="109"/>
      <c r="PXY4" s="109"/>
      <c r="PXZ4" s="109"/>
      <c r="PYA4" s="109"/>
      <c r="PYB4" s="109"/>
      <c r="PYC4" s="109"/>
      <c r="PYD4" s="109"/>
      <c r="PYE4" s="109"/>
      <c r="PYF4" s="109"/>
      <c r="PYG4" s="109"/>
      <c r="PYH4" s="109"/>
      <c r="PYI4" s="109"/>
      <c r="PYJ4" s="109"/>
      <c r="PYK4" s="109"/>
      <c r="PYL4" s="109"/>
      <c r="PYM4" s="109"/>
      <c r="PYN4" s="109"/>
      <c r="PYO4" s="109"/>
      <c r="PYP4" s="109"/>
      <c r="PYQ4" s="109"/>
      <c r="PYR4" s="109"/>
      <c r="PYS4" s="109"/>
      <c r="PYT4" s="109"/>
      <c r="PYU4" s="109"/>
      <c r="PYV4" s="109"/>
      <c r="PYW4" s="109"/>
      <c r="PYX4" s="109"/>
      <c r="PYY4" s="109"/>
      <c r="PYZ4" s="109"/>
      <c r="PZA4" s="109"/>
      <c r="PZB4" s="109"/>
      <c r="PZC4" s="109"/>
      <c r="PZD4" s="109"/>
      <c r="PZE4" s="109"/>
      <c r="PZF4" s="109"/>
      <c r="PZG4" s="109"/>
      <c r="PZH4" s="109"/>
      <c r="PZI4" s="109"/>
      <c r="PZJ4" s="109"/>
      <c r="PZK4" s="109"/>
      <c r="PZL4" s="109"/>
      <c r="PZM4" s="109"/>
      <c r="PZN4" s="109"/>
      <c r="PZO4" s="109"/>
      <c r="PZP4" s="109"/>
      <c r="PZQ4" s="109"/>
      <c r="PZR4" s="109"/>
      <c r="PZS4" s="109"/>
      <c r="PZT4" s="109"/>
      <c r="PZU4" s="109"/>
      <c r="PZV4" s="109"/>
      <c r="PZW4" s="109"/>
      <c r="PZX4" s="109"/>
      <c r="PZY4" s="109"/>
      <c r="PZZ4" s="109"/>
      <c r="QAA4" s="109"/>
      <c r="QAB4" s="109"/>
      <c r="QAC4" s="109"/>
      <c r="QAD4" s="109"/>
      <c r="QAE4" s="109"/>
      <c r="QAF4" s="109"/>
      <c r="QAG4" s="109"/>
      <c r="QAH4" s="109"/>
      <c r="QAI4" s="109"/>
      <c r="QAJ4" s="109"/>
      <c r="QAK4" s="109"/>
      <c r="QAL4" s="109"/>
      <c r="QAM4" s="109"/>
      <c r="QAN4" s="109"/>
      <c r="QAO4" s="109"/>
      <c r="QAP4" s="109"/>
      <c r="QAQ4" s="109"/>
      <c r="QAR4" s="109"/>
      <c r="QAS4" s="109"/>
      <c r="QAT4" s="109"/>
      <c r="QAU4" s="109"/>
      <c r="QAV4" s="109"/>
      <c r="QAW4" s="109"/>
      <c r="QAX4" s="109"/>
      <c r="QAY4" s="109"/>
      <c r="QAZ4" s="109"/>
      <c r="QBA4" s="109"/>
      <c r="QBB4" s="109"/>
      <c r="QBC4" s="109"/>
      <c r="QBD4" s="109"/>
      <c r="QBE4" s="109"/>
      <c r="QBF4" s="109"/>
      <c r="QBG4" s="109"/>
      <c r="QBH4" s="109"/>
      <c r="QBI4" s="109"/>
      <c r="QBJ4" s="109"/>
      <c r="QBK4" s="109"/>
      <c r="QBL4" s="109"/>
      <c r="QBM4" s="109"/>
      <c r="QBN4" s="109"/>
      <c r="QBO4" s="109"/>
      <c r="QBP4" s="109"/>
      <c r="QBQ4" s="109"/>
      <c r="QBR4" s="109"/>
      <c r="QBS4" s="109"/>
      <c r="QBT4" s="109"/>
      <c r="QBU4" s="109"/>
      <c r="QBV4" s="109"/>
      <c r="QBW4" s="109"/>
      <c r="QBX4" s="109"/>
      <c r="QBY4" s="109"/>
      <c r="QBZ4" s="109"/>
      <c r="QCA4" s="109"/>
      <c r="QCB4" s="109"/>
      <c r="QCC4" s="109"/>
      <c r="QCD4" s="109"/>
      <c r="QCE4" s="109"/>
      <c r="QCF4" s="109"/>
      <c r="QCG4" s="109"/>
      <c r="QCH4" s="109"/>
      <c r="QCI4" s="109"/>
      <c r="QCJ4" s="109"/>
      <c r="QCK4" s="109"/>
      <c r="QCL4" s="109"/>
      <c r="QCM4" s="109"/>
      <c r="QCN4" s="109"/>
      <c r="QCO4" s="109"/>
      <c r="QCP4" s="109"/>
      <c r="QCQ4" s="109"/>
      <c r="QCR4" s="109"/>
      <c r="QCS4" s="109"/>
      <c r="QCT4" s="109"/>
      <c r="QCU4" s="109"/>
      <c r="QCV4" s="109"/>
      <c r="QCW4" s="109"/>
      <c r="QCX4" s="109"/>
      <c r="QCY4" s="109"/>
      <c r="QCZ4" s="109"/>
      <c r="QDA4" s="109"/>
      <c r="QDB4" s="109"/>
      <c r="QDC4" s="109"/>
      <c r="QDD4" s="109"/>
      <c r="QDE4" s="109"/>
      <c r="QDF4" s="109"/>
      <c r="QDG4" s="109"/>
      <c r="QDH4" s="109"/>
      <c r="QDI4" s="109"/>
      <c r="QDJ4" s="109"/>
      <c r="QDK4" s="109"/>
      <c r="QDL4" s="109"/>
      <c r="QDM4" s="109"/>
      <c r="QDN4" s="109"/>
      <c r="QDO4" s="109"/>
      <c r="QDP4" s="109"/>
      <c r="QDQ4" s="109"/>
      <c r="QDR4" s="109"/>
      <c r="QDS4" s="109"/>
      <c r="QDT4" s="109"/>
      <c r="QDU4" s="109"/>
      <c r="QDV4" s="109"/>
      <c r="QDW4" s="109"/>
      <c r="QDX4" s="109"/>
      <c r="QDY4" s="109"/>
      <c r="QDZ4" s="109"/>
      <c r="QEA4" s="109"/>
      <c r="QEB4" s="109"/>
      <c r="QEC4" s="109"/>
      <c r="QED4" s="109"/>
      <c r="QEE4" s="109"/>
      <c r="QEF4" s="109"/>
      <c r="QEG4" s="109"/>
      <c r="QEH4" s="109"/>
      <c r="QEI4" s="109"/>
      <c r="QEJ4" s="109"/>
      <c r="QEK4" s="109"/>
      <c r="QEL4" s="109"/>
      <c r="QEM4" s="109"/>
      <c r="QEN4" s="109"/>
      <c r="QEO4" s="109"/>
      <c r="QEP4" s="109"/>
      <c r="QEQ4" s="109"/>
      <c r="QER4" s="109"/>
      <c r="QES4" s="109"/>
      <c r="QET4" s="109"/>
      <c r="QEU4" s="109"/>
      <c r="QEV4" s="109"/>
      <c r="QEW4" s="109"/>
      <c r="QEX4" s="109"/>
      <c r="QEY4" s="109"/>
      <c r="QEZ4" s="109"/>
      <c r="QFA4" s="109"/>
      <c r="QFB4" s="109"/>
      <c r="QFC4" s="109"/>
      <c r="QFD4" s="109"/>
      <c r="QFE4" s="109"/>
      <c r="QFF4" s="109"/>
      <c r="QFG4" s="109"/>
      <c r="QFH4" s="109"/>
      <c r="QFI4" s="109"/>
      <c r="QFJ4" s="109"/>
      <c r="QFK4" s="109"/>
      <c r="QFL4" s="109"/>
      <c r="QFM4" s="109"/>
      <c r="QFN4" s="109"/>
      <c r="QFO4" s="109"/>
      <c r="QFP4" s="109"/>
      <c r="QFQ4" s="109"/>
      <c r="QFR4" s="109"/>
      <c r="QFS4" s="109"/>
      <c r="QFT4" s="109"/>
      <c r="QFU4" s="109"/>
      <c r="QFV4" s="109"/>
      <c r="QFW4" s="109"/>
      <c r="QFX4" s="109"/>
      <c r="QFY4" s="109"/>
      <c r="QFZ4" s="109"/>
      <c r="QGA4" s="109"/>
      <c r="QGB4" s="109"/>
      <c r="QGC4" s="109"/>
      <c r="QGD4" s="109"/>
      <c r="QGE4" s="109"/>
      <c r="QGF4" s="109"/>
      <c r="QGG4" s="109"/>
      <c r="QGH4" s="109"/>
      <c r="QGI4" s="109"/>
      <c r="QGJ4" s="109"/>
      <c r="QGK4" s="109"/>
      <c r="QGL4" s="109"/>
      <c r="QGM4" s="109"/>
      <c r="QGN4" s="109"/>
      <c r="QGO4" s="109"/>
      <c r="QGP4" s="109"/>
      <c r="QGQ4" s="109"/>
      <c r="QGR4" s="109"/>
      <c r="QGS4" s="109"/>
      <c r="QGT4" s="109"/>
      <c r="QGU4" s="109"/>
      <c r="QGV4" s="109"/>
      <c r="QGW4" s="109"/>
      <c r="QGX4" s="109"/>
      <c r="QGY4" s="109"/>
      <c r="QGZ4" s="109"/>
      <c r="QHA4" s="109"/>
      <c r="QHB4" s="109"/>
      <c r="QHC4" s="109"/>
      <c r="QHD4" s="109"/>
      <c r="QHE4" s="109"/>
      <c r="QHF4" s="109"/>
      <c r="QHG4" s="109"/>
      <c r="QHH4" s="109"/>
      <c r="QHI4" s="109"/>
      <c r="QHJ4" s="109"/>
      <c r="QHK4" s="109"/>
      <c r="QHL4" s="109"/>
      <c r="QHM4" s="109"/>
      <c r="QHN4" s="109"/>
      <c r="QHO4" s="109"/>
      <c r="QHP4" s="109"/>
      <c r="QHQ4" s="109"/>
      <c r="QHR4" s="109"/>
      <c r="QHS4" s="109"/>
      <c r="QHT4" s="109"/>
      <c r="QHU4" s="109"/>
      <c r="QHV4" s="109"/>
      <c r="QHW4" s="109"/>
      <c r="QHX4" s="109"/>
      <c r="QHY4" s="109"/>
      <c r="QHZ4" s="109"/>
      <c r="QIA4" s="109"/>
      <c r="QIB4" s="109"/>
      <c r="QIC4" s="109"/>
      <c r="QID4" s="109"/>
      <c r="QIE4" s="109"/>
      <c r="QIF4" s="109"/>
      <c r="QIG4" s="109"/>
      <c r="QIH4" s="109"/>
      <c r="QII4" s="109"/>
      <c r="QIJ4" s="109"/>
      <c r="QIK4" s="109"/>
      <c r="QIL4" s="109"/>
      <c r="QIM4" s="109"/>
      <c r="QIN4" s="109"/>
      <c r="QIO4" s="109"/>
      <c r="QIP4" s="109"/>
      <c r="QIQ4" s="109"/>
      <c r="QIR4" s="109"/>
      <c r="QIS4" s="109"/>
      <c r="QIT4" s="109"/>
      <c r="QIU4" s="109"/>
      <c r="QIV4" s="109"/>
      <c r="QIW4" s="109"/>
      <c r="QIX4" s="109"/>
      <c r="QIY4" s="109"/>
      <c r="QIZ4" s="109"/>
      <c r="QJA4" s="109"/>
      <c r="QJB4" s="109"/>
      <c r="QJC4" s="109"/>
      <c r="QJD4" s="109"/>
      <c r="QJE4" s="109"/>
      <c r="QJF4" s="109"/>
      <c r="QJG4" s="109"/>
      <c r="QJH4" s="109"/>
      <c r="QJI4" s="109"/>
      <c r="QJJ4" s="109"/>
      <c r="QJK4" s="109"/>
      <c r="QJL4" s="109"/>
      <c r="QJM4" s="109"/>
      <c r="QJN4" s="109"/>
      <c r="QJO4" s="109"/>
      <c r="QJP4" s="109"/>
      <c r="QJQ4" s="109"/>
      <c r="QJR4" s="109"/>
      <c r="QJS4" s="109"/>
      <c r="QJT4" s="109"/>
      <c r="QJU4" s="109"/>
      <c r="QJV4" s="109"/>
      <c r="QJW4" s="109"/>
      <c r="QJX4" s="109"/>
      <c r="QJY4" s="109"/>
      <c r="QJZ4" s="109"/>
      <c r="QKA4" s="109"/>
      <c r="QKB4" s="109"/>
      <c r="QKC4" s="109"/>
      <c r="QKD4" s="109"/>
      <c r="QKE4" s="109"/>
      <c r="QKF4" s="109"/>
      <c r="QKG4" s="109"/>
      <c r="QKH4" s="109"/>
      <c r="QKI4" s="109"/>
      <c r="QKJ4" s="109"/>
      <c r="QKK4" s="109"/>
      <c r="QKL4" s="109"/>
      <c r="QKM4" s="109"/>
      <c r="QKN4" s="109"/>
      <c r="QKO4" s="109"/>
      <c r="QKP4" s="109"/>
      <c r="QKQ4" s="109"/>
      <c r="QKR4" s="109"/>
      <c r="QKS4" s="109"/>
      <c r="QKT4" s="109"/>
      <c r="QKU4" s="109"/>
      <c r="QKV4" s="109"/>
      <c r="QKW4" s="109"/>
      <c r="QKX4" s="109"/>
      <c r="QKY4" s="109"/>
      <c r="QKZ4" s="109"/>
      <c r="QLA4" s="109"/>
      <c r="QLB4" s="109"/>
      <c r="QLC4" s="109"/>
      <c r="QLD4" s="109"/>
      <c r="QLE4" s="109"/>
      <c r="QLF4" s="109"/>
      <c r="QLG4" s="109"/>
      <c r="QLH4" s="109"/>
      <c r="QLI4" s="109"/>
      <c r="QLJ4" s="109"/>
      <c r="QLK4" s="109"/>
      <c r="QLL4" s="109"/>
      <c r="QLM4" s="109"/>
      <c r="QLN4" s="109"/>
      <c r="QLO4" s="109"/>
      <c r="QLP4" s="109"/>
      <c r="QLQ4" s="109"/>
      <c r="QLR4" s="109"/>
      <c r="QLS4" s="109"/>
      <c r="QLT4" s="109"/>
      <c r="QLU4" s="109"/>
      <c r="QLV4" s="109"/>
      <c r="QLW4" s="109"/>
      <c r="QLX4" s="109"/>
      <c r="QLY4" s="109"/>
      <c r="QLZ4" s="109"/>
      <c r="QMA4" s="109"/>
      <c r="QMB4" s="109"/>
      <c r="QMC4" s="109"/>
      <c r="QMD4" s="109"/>
      <c r="QME4" s="109"/>
      <c r="QMF4" s="109"/>
      <c r="QMG4" s="109"/>
      <c r="QMH4" s="109"/>
      <c r="QMI4" s="109"/>
      <c r="QMJ4" s="109"/>
      <c r="QMK4" s="109"/>
      <c r="QML4" s="109"/>
      <c r="QMM4" s="109"/>
      <c r="QMN4" s="109"/>
      <c r="QMO4" s="109"/>
      <c r="QMP4" s="109"/>
      <c r="QMQ4" s="109"/>
      <c r="QMR4" s="109"/>
      <c r="QMS4" s="109"/>
      <c r="QMT4" s="109"/>
      <c r="QMU4" s="109"/>
      <c r="QMV4" s="109"/>
      <c r="QMW4" s="109"/>
      <c r="QMX4" s="109"/>
      <c r="QMY4" s="109"/>
      <c r="QMZ4" s="109"/>
      <c r="QNA4" s="109"/>
      <c r="QNB4" s="109"/>
      <c r="QNC4" s="109"/>
      <c r="QND4" s="109"/>
      <c r="QNE4" s="109"/>
      <c r="QNF4" s="109"/>
      <c r="QNG4" s="109"/>
      <c r="QNH4" s="109"/>
      <c r="QNI4" s="109"/>
      <c r="QNJ4" s="109"/>
      <c r="QNK4" s="109"/>
      <c r="QNL4" s="109"/>
      <c r="QNM4" s="109"/>
      <c r="QNN4" s="109"/>
      <c r="QNO4" s="109"/>
      <c r="QNP4" s="109"/>
      <c r="QNQ4" s="109"/>
      <c r="QNR4" s="109"/>
      <c r="QNS4" s="109"/>
      <c r="QNT4" s="109"/>
      <c r="QNU4" s="109"/>
      <c r="QNV4" s="109"/>
      <c r="QNW4" s="109"/>
      <c r="QNX4" s="109"/>
      <c r="QNY4" s="109"/>
      <c r="QNZ4" s="109"/>
      <c r="QOA4" s="109"/>
      <c r="QOB4" s="109"/>
      <c r="QOC4" s="109"/>
      <c r="QOD4" s="109"/>
      <c r="QOE4" s="109"/>
      <c r="QOF4" s="109"/>
      <c r="QOG4" s="109"/>
      <c r="QOH4" s="109"/>
      <c r="QOI4" s="109"/>
      <c r="QOJ4" s="109"/>
      <c r="QOK4" s="109"/>
      <c r="QOL4" s="109"/>
      <c r="QOM4" s="109"/>
      <c r="QON4" s="109"/>
      <c r="QOO4" s="109"/>
      <c r="QOP4" s="109"/>
      <c r="QOQ4" s="109"/>
      <c r="QOR4" s="109"/>
      <c r="QOS4" s="109"/>
      <c r="QOT4" s="109"/>
      <c r="QOU4" s="109"/>
      <c r="QOV4" s="109"/>
      <c r="QOW4" s="109"/>
      <c r="QOX4" s="109"/>
      <c r="QOY4" s="109"/>
      <c r="QOZ4" s="109"/>
      <c r="QPA4" s="109"/>
      <c r="QPB4" s="109"/>
      <c r="QPC4" s="109"/>
      <c r="QPD4" s="109"/>
      <c r="QPE4" s="109"/>
      <c r="QPF4" s="109"/>
      <c r="QPG4" s="109"/>
      <c r="QPH4" s="109"/>
      <c r="QPI4" s="109"/>
      <c r="QPJ4" s="109"/>
      <c r="QPK4" s="109"/>
      <c r="QPL4" s="109"/>
      <c r="QPM4" s="109"/>
      <c r="QPN4" s="109"/>
      <c r="QPO4" s="109"/>
      <c r="QPP4" s="109"/>
      <c r="QPQ4" s="109"/>
      <c r="QPR4" s="109"/>
      <c r="QPS4" s="109"/>
      <c r="QPT4" s="109"/>
      <c r="QPU4" s="109"/>
      <c r="QPV4" s="109"/>
      <c r="QPW4" s="109"/>
      <c r="QPX4" s="109"/>
      <c r="QPY4" s="109"/>
      <c r="QPZ4" s="109"/>
      <c r="QQA4" s="109"/>
      <c r="QQB4" s="109"/>
      <c r="QQC4" s="109"/>
      <c r="QQD4" s="109"/>
      <c r="QQE4" s="109"/>
      <c r="QQF4" s="109"/>
      <c r="QQG4" s="109"/>
      <c r="QQH4" s="109"/>
      <c r="QQI4" s="109"/>
      <c r="QQJ4" s="109"/>
      <c r="QQK4" s="109"/>
      <c r="QQL4" s="109"/>
      <c r="QQM4" s="109"/>
      <c r="QQN4" s="109"/>
      <c r="QQO4" s="109"/>
      <c r="QQP4" s="109"/>
      <c r="QQQ4" s="109"/>
      <c r="QQR4" s="109"/>
      <c r="QQS4" s="109"/>
      <c r="QQT4" s="109"/>
      <c r="QQU4" s="109"/>
      <c r="QQV4" s="109"/>
      <c r="QQW4" s="109"/>
      <c r="QQX4" s="109"/>
      <c r="QQY4" s="109"/>
      <c r="QQZ4" s="109"/>
      <c r="QRA4" s="109"/>
      <c r="QRB4" s="109"/>
      <c r="QRC4" s="109"/>
      <c r="QRD4" s="109"/>
      <c r="QRE4" s="109"/>
      <c r="QRF4" s="109"/>
      <c r="QRG4" s="109"/>
      <c r="QRH4" s="109"/>
      <c r="QRI4" s="109"/>
      <c r="QRJ4" s="109"/>
      <c r="QRK4" s="109"/>
      <c r="QRL4" s="109"/>
      <c r="QRM4" s="109"/>
      <c r="QRN4" s="109"/>
      <c r="QRO4" s="109"/>
      <c r="QRP4" s="109"/>
      <c r="QRQ4" s="109"/>
      <c r="QRR4" s="109"/>
      <c r="QRS4" s="109"/>
      <c r="QRT4" s="109"/>
      <c r="QRU4" s="109"/>
      <c r="QRV4" s="109"/>
      <c r="QRW4" s="109"/>
      <c r="QRX4" s="109"/>
      <c r="QRY4" s="109"/>
      <c r="QRZ4" s="109"/>
      <c r="QSA4" s="109"/>
      <c r="QSB4" s="109"/>
      <c r="QSC4" s="109"/>
      <c r="QSD4" s="109"/>
      <c r="QSE4" s="109"/>
      <c r="QSF4" s="109"/>
      <c r="QSG4" s="109"/>
      <c r="QSH4" s="109"/>
      <c r="QSI4" s="109"/>
      <c r="QSJ4" s="109"/>
      <c r="QSK4" s="109"/>
      <c r="QSL4" s="109"/>
      <c r="QSM4" s="109"/>
      <c r="QSN4" s="109"/>
      <c r="QSO4" s="109"/>
      <c r="QSP4" s="109"/>
      <c r="QSQ4" s="109"/>
      <c r="QSR4" s="109"/>
      <c r="QSS4" s="109"/>
      <c r="QST4" s="109"/>
      <c r="QSU4" s="109"/>
      <c r="QSV4" s="109"/>
      <c r="QSW4" s="109"/>
      <c r="QSX4" s="109"/>
      <c r="QSY4" s="109"/>
      <c r="QSZ4" s="109"/>
      <c r="QTA4" s="109"/>
      <c r="QTB4" s="109"/>
      <c r="QTC4" s="109"/>
      <c r="QTD4" s="109"/>
      <c r="QTE4" s="109"/>
      <c r="QTF4" s="109"/>
      <c r="QTG4" s="109"/>
      <c r="QTH4" s="109"/>
      <c r="QTI4" s="109"/>
      <c r="QTJ4" s="109"/>
      <c r="QTK4" s="109"/>
      <c r="QTL4" s="109"/>
      <c r="QTM4" s="109"/>
      <c r="QTN4" s="109"/>
      <c r="QTO4" s="109"/>
      <c r="QTP4" s="109"/>
      <c r="QTQ4" s="109"/>
      <c r="QTR4" s="109"/>
      <c r="QTS4" s="109"/>
      <c r="QTT4" s="109"/>
      <c r="QTU4" s="109"/>
      <c r="QTV4" s="109"/>
      <c r="QTW4" s="109"/>
      <c r="QTX4" s="109"/>
      <c r="QTY4" s="109"/>
      <c r="QTZ4" s="109"/>
      <c r="QUA4" s="109"/>
      <c r="QUB4" s="109"/>
      <c r="QUC4" s="109"/>
      <c r="QUD4" s="109"/>
      <c r="QUE4" s="109"/>
      <c r="QUF4" s="109"/>
      <c r="QUG4" s="109"/>
      <c r="QUH4" s="109"/>
      <c r="QUI4" s="109"/>
      <c r="QUJ4" s="109"/>
      <c r="QUK4" s="109"/>
      <c r="QUL4" s="109"/>
      <c r="QUM4" s="109"/>
      <c r="QUN4" s="109"/>
      <c r="QUO4" s="109"/>
      <c r="QUP4" s="109"/>
      <c r="QUQ4" s="109"/>
      <c r="QUR4" s="109"/>
      <c r="QUS4" s="109"/>
      <c r="QUT4" s="109"/>
      <c r="QUU4" s="109"/>
      <c r="QUV4" s="109"/>
      <c r="QUW4" s="109"/>
      <c r="QUX4" s="109"/>
      <c r="QUY4" s="109"/>
      <c r="QUZ4" s="109"/>
      <c r="QVA4" s="109"/>
      <c r="QVB4" s="109"/>
      <c r="QVC4" s="109"/>
      <c r="QVD4" s="109"/>
      <c r="QVE4" s="109"/>
      <c r="QVF4" s="109"/>
      <c r="QVG4" s="109"/>
      <c r="QVH4" s="109"/>
      <c r="QVI4" s="109"/>
      <c r="QVJ4" s="109"/>
      <c r="QVK4" s="109"/>
      <c r="QVL4" s="109"/>
      <c r="QVM4" s="109"/>
      <c r="QVN4" s="109"/>
      <c r="QVO4" s="109"/>
      <c r="QVP4" s="109"/>
      <c r="QVQ4" s="109"/>
      <c r="QVR4" s="109"/>
      <c r="QVS4" s="109"/>
      <c r="QVT4" s="109"/>
      <c r="QVU4" s="109"/>
      <c r="QVV4" s="109"/>
      <c r="QVW4" s="109"/>
      <c r="QVX4" s="109"/>
      <c r="QVY4" s="109"/>
      <c r="QVZ4" s="109"/>
      <c r="QWA4" s="109"/>
      <c r="QWB4" s="109"/>
      <c r="QWC4" s="109"/>
      <c r="QWD4" s="109"/>
      <c r="QWE4" s="109"/>
      <c r="QWF4" s="109"/>
      <c r="QWG4" s="109"/>
      <c r="QWH4" s="109"/>
      <c r="QWI4" s="109"/>
      <c r="QWJ4" s="109"/>
      <c r="QWK4" s="109"/>
      <c r="QWL4" s="109"/>
      <c r="QWM4" s="109"/>
      <c r="QWN4" s="109"/>
      <c r="QWO4" s="109"/>
      <c r="QWP4" s="109"/>
      <c r="QWQ4" s="109"/>
      <c r="QWR4" s="109"/>
      <c r="QWS4" s="109"/>
      <c r="QWT4" s="109"/>
      <c r="QWU4" s="109"/>
      <c r="QWV4" s="109"/>
      <c r="QWW4" s="109"/>
      <c r="QWX4" s="109"/>
      <c r="QWY4" s="109"/>
      <c r="QWZ4" s="109"/>
      <c r="QXA4" s="109"/>
      <c r="QXB4" s="109"/>
      <c r="QXC4" s="109"/>
      <c r="QXD4" s="109"/>
      <c r="QXE4" s="109"/>
      <c r="QXF4" s="109"/>
      <c r="QXG4" s="109"/>
      <c r="QXH4" s="109"/>
      <c r="QXI4" s="109"/>
      <c r="QXJ4" s="109"/>
      <c r="QXK4" s="109"/>
      <c r="QXL4" s="109"/>
      <c r="QXM4" s="109"/>
      <c r="QXN4" s="109"/>
      <c r="QXO4" s="109"/>
      <c r="QXP4" s="109"/>
      <c r="QXQ4" s="109"/>
      <c r="QXR4" s="109"/>
      <c r="QXS4" s="109"/>
      <c r="QXT4" s="109"/>
      <c r="QXU4" s="109"/>
      <c r="QXV4" s="109"/>
      <c r="QXW4" s="109"/>
      <c r="QXX4" s="109"/>
      <c r="QXY4" s="109"/>
      <c r="QXZ4" s="109"/>
      <c r="QYA4" s="109"/>
      <c r="QYB4" s="109"/>
      <c r="QYC4" s="109"/>
      <c r="QYD4" s="109"/>
      <c r="QYE4" s="109"/>
      <c r="QYF4" s="109"/>
      <c r="QYG4" s="109"/>
      <c r="QYH4" s="109"/>
      <c r="QYI4" s="109"/>
      <c r="QYJ4" s="109"/>
      <c r="QYK4" s="109"/>
      <c r="QYL4" s="109"/>
      <c r="QYM4" s="109"/>
      <c r="QYN4" s="109"/>
      <c r="QYO4" s="109"/>
      <c r="QYP4" s="109"/>
      <c r="QYQ4" s="109"/>
      <c r="QYR4" s="109"/>
      <c r="QYS4" s="109"/>
      <c r="QYT4" s="109"/>
      <c r="QYU4" s="109"/>
      <c r="QYV4" s="109"/>
      <c r="QYW4" s="109"/>
      <c r="QYX4" s="109"/>
      <c r="QYY4" s="109"/>
      <c r="QYZ4" s="109"/>
      <c r="QZA4" s="109"/>
      <c r="QZB4" s="109"/>
      <c r="QZC4" s="109"/>
      <c r="QZD4" s="109"/>
      <c r="QZE4" s="109"/>
      <c r="QZF4" s="109"/>
      <c r="QZG4" s="109"/>
      <c r="QZH4" s="109"/>
      <c r="QZI4" s="109"/>
      <c r="QZJ4" s="109"/>
      <c r="QZK4" s="109"/>
      <c r="QZL4" s="109"/>
      <c r="QZM4" s="109"/>
      <c r="QZN4" s="109"/>
      <c r="QZO4" s="109"/>
      <c r="QZP4" s="109"/>
      <c r="QZQ4" s="109"/>
      <c r="QZR4" s="109"/>
      <c r="QZS4" s="109"/>
      <c r="QZT4" s="109"/>
      <c r="QZU4" s="109"/>
      <c r="QZV4" s="109"/>
      <c r="QZW4" s="109"/>
      <c r="QZX4" s="109"/>
      <c r="QZY4" s="109"/>
      <c r="QZZ4" s="109"/>
      <c r="RAA4" s="109"/>
      <c r="RAB4" s="109"/>
      <c r="RAC4" s="109"/>
      <c r="RAD4" s="109"/>
      <c r="RAE4" s="109"/>
      <c r="RAF4" s="109"/>
      <c r="RAG4" s="109"/>
      <c r="RAH4" s="109"/>
      <c r="RAI4" s="109"/>
      <c r="RAJ4" s="109"/>
      <c r="RAK4" s="109"/>
      <c r="RAL4" s="109"/>
      <c r="RAM4" s="109"/>
      <c r="RAN4" s="109"/>
      <c r="RAO4" s="109"/>
      <c r="RAP4" s="109"/>
      <c r="RAQ4" s="109"/>
      <c r="RAR4" s="109"/>
      <c r="RAS4" s="109"/>
      <c r="RAT4" s="109"/>
      <c r="RAU4" s="109"/>
      <c r="RAV4" s="109"/>
      <c r="RAW4" s="109"/>
      <c r="RAX4" s="109"/>
      <c r="RAY4" s="109"/>
      <c r="RAZ4" s="109"/>
      <c r="RBA4" s="109"/>
      <c r="RBB4" s="109"/>
      <c r="RBC4" s="109"/>
      <c r="RBD4" s="109"/>
      <c r="RBE4" s="109"/>
      <c r="RBF4" s="109"/>
      <c r="RBG4" s="109"/>
      <c r="RBH4" s="109"/>
      <c r="RBI4" s="109"/>
      <c r="RBJ4" s="109"/>
      <c r="RBK4" s="109"/>
      <c r="RBL4" s="109"/>
      <c r="RBM4" s="109"/>
      <c r="RBN4" s="109"/>
      <c r="RBO4" s="109"/>
      <c r="RBP4" s="109"/>
      <c r="RBQ4" s="109"/>
      <c r="RBR4" s="109"/>
      <c r="RBS4" s="109"/>
      <c r="RBT4" s="109"/>
      <c r="RBU4" s="109"/>
      <c r="RBV4" s="109"/>
      <c r="RBW4" s="109"/>
      <c r="RBX4" s="109"/>
      <c r="RBY4" s="109"/>
      <c r="RBZ4" s="109"/>
      <c r="RCA4" s="109"/>
      <c r="RCB4" s="109"/>
      <c r="RCC4" s="109"/>
      <c r="RCD4" s="109"/>
      <c r="RCE4" s="109"/>
      <c r="RCF4" s="109"/>
      <c r="RCG4" s="109"/>
      <c r="RCH4" s="109"/>
      <c r="RCI4" s="109"/>
      <c r="RCJ4" s="109"/>
      <c r="RCK4" s="109"/>
      <c r="RCL4" s="109"/>
      <c r="RCM4" s="109"/>
      <c r="RCN4" s="109"/>
      <c r="RCO4" s="109"/>
      <c r="RCP4" s="109"/>
      <c r="RCQ4" s="109"/>
      <c r="RCR4" s="109"/>
      <c r="RCS4" s="109"/>
      <c r="RCT4" s="109"/>
      <c r="RCU4" s="109"/>
      <c r="RCV4" s="109"/>
      <c r="RCW4" s="109"/>
      <c r="RCX4" s="109"/>
      <c r="RCY4" s="109"/>
      <c r="RCZ4" s="109"/>
      <c r="RDA4" s="109"/>
      <c r="RDB4" s="109"/>
      <c r="RDC4" s="109"/>
      <c r="RDD4" s="109"/>
      <c r="RDE4" s="109"/>
      <c r="RDF4" s="109"/>
      <c r="RDG4" s="109"/>
      <c r="RDH4" s="109"/>
      <c r="RDI4" s="109"/>
      <c r="RDJ4" s="109"/>
      <c r="RDK4" s="109"/>
      <c r="RDL4" s="109"/>
      <c r="RDM4" s="109"/>
      <c r="RDN4" s="109"/>
      <c r="RDO4" s="109"/>
      <c r="RDP4" s="109"/>
      <c r="RDQ4" s="109"/>
      <c r="RDR4" s="109"/>
      <c r="RDS4" s="109"/>
      <c r="RDT4" s="109"/>
      <c r="RDU4" s="109"/>
      <c r="RDV4" s="109"/>
      <c r="RDW4" s="109"/>
      <c r="RDX4" s="109"/>
      <c r="RDY4" s="109"/>
      <c r="RDZ4" s="109"/>
      <c r="REA4" s="109"/>
      <c r="REB4" s="109"/>
      <c r="REC4" s="109"/>
      <c r="RED4" s="109"/>
      <c r="REE4" s="109"/>
      <c r="REF4" s="109"/>
      <c r="REG4" s="109"/>
      <c r="REH4" s="109"/>
      <c r="REI4" s="109"/>
      <c r="REJ4" s="109"/>
      <c r="REK4" s="109"/>
      <c r="REL4" s="109"/>
      <c r="REM4" s="109"/>
      <c r="REN4" s="109"/>
      <c r="REO4" s="109"/>
      <c r="REP4" s="109"/>
      <c r="REQ4" s="109"/>
      <c r="RER4" s="109"/>
      <c r="RES4" s="109"/>
      <c r="RET4" s="109"/>
      <c r="REU4" s="109"/>
      <c r="REV4" s="109"/>
      <c r="REW4" s="109"/>
      <c r="REX4" s="109"/>
      <c r="REY4" s="109"/>
      <c r="REZ4" s="109"/>
      <c r="RFA4" s="109"/>
      <c r="RFB4" s="109"/>
      <c r="RFC4" s="109"/>
      <c r="RFD4" s="109"/>
      <c r="RFE4" s="109"/>
      <c r="RFF4" s="109"/>
      <c r="RFG4" s="109"/>
      <c r="RFH4" s="109"/>
      <c r="RFI4" s="109"/>
      <c r="RFJ4" s="109"/>
      <c r="RFK4" s="109"/>
      <c r="RFL4" s="109"/>
      <c r="RFM4" s="109"/>
      <c r="RFN4" s="109"/>
      <c r="RFO4" s="109"/>
      <c r="RFP4" s="109"/>
      <c r="RFQ4" s="109"/>
      <c r="RFR4" s="109"/>
      <c r="RFS4" s="109"/>
      <c r="RFT4" s="109"/>
      <c r="RFU4" s="109"/>
      <c r="RFV4" s="109"/>
      <c r="RFW4" s="109"/>
      <c r="RFX4" s="109"/>
      <c r="RFY4" s="109"/>
      <c r="RFZ4" s="109"/>
      <c r="RGA4" s="109"/>
      <c r="RGB4" s="109"/>
      <c r="RGC4" s="109"/>
      <c r="RGD4" s="109"/>
      <c r="RGE4" s="109"/>
      <c r="RGF4" s="109"/>
      <c r="RGG4" s="109"/>
      <c r="RGH4" s="109"/>
      <c r="RGI4" s="109"/>
      <c r="RGJ4" s="109"/>
      <c r="RGK4" s="109"/>
      <c r="RGL4" s="109"/>
      <c r="RGM4" s="109"/>
      <c r="RGN4" s="109"/>
      <c r="RGO4" s="109"/>
      <c r="RGP4" s="109"/>
      <c r="RGQ4" s="109"/>
      <c r="RGR4" s="109"/>
      <c r="RGS4" s="109"/>
      <c r="RGT4" s="109"/>
      <c r="RGU4" s="109"/>
      <c r="RGV4" s="109"/>
      <c r="RGW4" s="109"/>
      <c r="RGX4" s="109"/>
      <c r="RGY4" s="109"/>
      <c r="RGZ4" s="109"/>
      <c r="RHA4" s="109"/>
      <c r="RHB4" s="109"/>
      <c r="RHC4" s="109"/>
      <c r="RHD4" s="109"/>
      <c r="RHE4" s="109"/>
      <c r="RHF4" s="109"/>
      <c r="RHG4" s="109"/>
      <c r="RHH4" s="109"/>
      <c r="RHI4" s="109"/>
      <c r="RHJ4" s="109"/>
      <c r="RHK4" s="109"/>
      <c r="RHL4" s="109"/>
      <c r="RHM4" s="109"/>
      <c r="RHN4" s="109"/>
      <c r="RHO4" s="109"/>
      <c r="RHP4" s="109"/>
      <c r="RHQ4" s="109"/>
      <c r="RHR4" s="109"/>
      <c r="RHS4" s="109"/>
      <c r="RHT4" s="109"/>
      <c r="RHU4" s="109"/>
      <c r="RHV4" s="109"/>
      <c r="RHW4" s="109"/>
      <c r="RHX4" s="109"/>
      <c r="RHY4" s="109"/>
      <c r="RHZ4" s="109"/>
      <c r="RIA4" s="109"/>
      <c r="RIB4" s="109"/>
      <c r="RIC4" s="109"/>
      <c r="RID4" s="109"/>
      <c r="RIE4" s="109"/>
      <c r="RIF4" s="109"/>
      <c r="RIG4" s="109"/>
      <c r="RIH4" s="109"/>
      <c r="RII4" s="109"/>
      <c r="RIJ4" s="109"/>
      <c r="RIK4" s="109"/>
      <c r="RIL4" s="109"/>
      <c r="RIM4" s="109"/>
      <c r="RIN4" s="109"/>
      <c r="RIO4" s="109"/>
      <c r="RIP4" s="109"/>
      <c r="RIQ4" s="109"/>
      <c r="RIR4" s="109"/>
      <c r="RIS4" s="109"/>
      <c r="RIT4" s="109"/>
      <c r="RIU4" s="109"/>
      <c r="RIV4" s="109"/>
      <c r="RIW4" s="109"/>
      <c r="RIX4" s="109"/>
      <c r="RIY4" s="109"/>
      <c r="RIZ4" s="109"/>
      <c r="RJA4" s="109"/>
      <c r="RJB4" s="109"/>
      <c r="RJC4" s="109"/>
      <c r="RJD4" s="109"/>
      <c r="RJE4" s="109"/>
      <c r="RJF4" s="109"/>
      <c r="RJG4" s="109"/>
      <c r="RJH4" s="109"/>
      <c r="RJI4" s="109"/>
      <c r="RJJ4" s="109"/>
      <c r="RJK4" s="109"/>
      <c r="RJL4" s="109"/>
      <c r="RJM4" s="109"/>
      <c r="RJN4" s="109"/>
      <c r="RJO4" s="109"/>
      <c r="RJP4" s="109"/>
      <c r="RJQ4" s="109"/>
      <c r="RJR4" s="109"/>
      <c r="RJS4" s="109"/>
      <c r="RJT4" s="109"/>
      <c r="RJU4" s="109"/>
      <c r="RJV4" s="109"/>
      <c r="RJW4" s="109"/>
      <c r="RJX4" s="109"/>
      <c r="RJY4" s="109"/>
      <c r="RJZ4" s="109"/>
      <c r="RKA4" s="109"/>
      <c r="RKB4" s="109"/>
      <c r="RKC4" s="109"/>
      <c r="RKD4" s="109"/>
      <c r="RKE4" s="109"/>
      <c r="RKF4" s="109"/>
      <c r="RKG4" s="109"/>
      <c r="RKH4" s="109"/>
      <c r="RKI4" s="109"/>
      <c r="RKJ4" s="109"/>
      <c r="RKK4" s="109"/>
      <c r="RKL4" s="109"/>
      <c r="RKM4" s="109"/>
      <c r="RKN4" s="109"/>
      <c r="RKO4" s="109"/>
      <c r="RKP4" s="109"/>
      <c r="RKQ4" s="109"/>
      <c r="RKR4" s="109"/>
      <c r="RKS4" s="109"/>
      <c r="RKT4" s="109"/>
      <c r="RKU4" s="109"/>
      <c r="RKV4" s="109"/>
      <c r="RKW4" s="109"/>
      <c r="RKX4" s="109"/>
      <c r="RKY4" s="109"/>
      <c r="RKZ4" s="109"/>
      <c r="RLA4" s="109"/>
      <c r="RLB4" s="109"/>
      <c r="RLC4" s="109"/>
      <c r="RLD4" s="109"/>
      <c r="RLE4" s="109"/>
      <c r="RLF4" s="109"/>
      <c r="RLG4" s="109"/>
      <c r="RLH4" s="109"/>
      <c r="RLI4" s="109"/>
      <c r="RLJ4" s="109"/>
      <c r="RLK4" s="109"/>
      <c r="RLL4" s="109"/>
      <c r="RLM4" s="109"/>
      <c r="RLN4" s="109"/>
      <c r="RLO4" s="109"/>
      <c r="RLP4" s="109"/>
      <c r="RLQ4" s="109"/>
      <c r="RLR4" s="109"/>
      <c r="RLS4" s="109"/>
      <c r="RLT4" s="109"/>
      <c r="RLU4" s="109"/>
      <c r="RLV4" s="109"/>
      <c r="RLW4" s="109"/>
      <c r="RLX4" s="109"/>
      <c r="RLY4" s="109"/>
      <c r="RLZ4" s="109"/>
      <c r="RMA4" s="109"/>
      <c r="RMB4" s="109"/>
      <c r="RMC4" s="109"/>
      <c r="RMD4" s="109"/>
      <c r="RME4" s="109"/>
      <c r="RMF4" s="109"/>
      <c r="RMG4" s="109"/>
      <c r="RMH4" s="109"/>
      <c r="RMI4" s="109"/>
      <c r="RMJ4" s="109"/>
      <c r="RMK4" s="109"/>
      <c r="RML4" s="109"/>
      <c r="RMM4" s="109"/>
      <c r="RMN4" s="109"/>
      <c r="RMO4" s="109"/>
      <c r="RMP4" s="109"/>
      <c r="RMQ4" s="109"/>
      <c r="RMR4" s="109"/>
      <c r="RMS4" s="109"/>
      <c r="RMT4" s="109"/>
      <c r="RMU4" s="109"/>
      <c r="RMV4" s="109"/>
      <c r="RMW4" s="109"/>
      <c r="RMX4" s="109"/>
      <c r="RMY4" s="109"/>
      <c r="RMZ4" s="109"/>
      <c r="RNA4" s="109"/>
      <c r="RNB4" s="109"/>
      <c r="RNC4" s="109"/>
      <c r="RND4" s="109"/>
      <c r="RNE4" s="109"/>
      <c r="RNF4" s="109"/>
      <c r="RNG4" s="109"/>
      <c r="RNH4" s="109"/>
      <c r="RNI4" s="109"/>
      <c r="RNJ4" s="109"/>
      <c r="RNK4" s="109"/>
      <c r="RNL4" s="109"/>
      <c r="RNM4" s="109"/>
      <c r="RNN4" s="109"/>
      <c r="RNO4" s="109"/>
      <c r="RNP4" s="109"/>
      <c r="RNQ4" s="109"/>
      <c r="RNR4" s="109"/>
      <c r="RNS4" s="109"/>
      <c r="RNT4" s="109"/>
      <c r="RNU4" s="109"/>
      <c r="RNV4" s="109"/>
      <c r="RNW4" s="109"/>
      <c r="RNX4" s="109"/>
      <c r="RNY4" s="109"/>
      <c r="RNZ4" s="109"/>
      <c r="ROA4" s="109"/>
      <c r="ROB4" s="109"/>
      <c r="ROC4" s="109"/>
      <c r="ROD4" s="109"/>
      <c r="ROE4" s="109"/>
      <c r="ROF4" s="109"/>
      <c r="ROG4" s="109"/>
      <c r="ROH4" s="109"/>
      <c r="ROI4" s="109"/>
      <c r="ROJ4" s="109"/>
      <c r="ROK4" s="109"/>
      <c r="ROL4" s="109"/>
      <c r="ROM4" s="109"/>
      <c r="RON4" s="109"/>
      <c r="ROO4" s="109"/>
      <c r="ROP4" s="109"/>
      <c r="ROQ4" s="109"/>
      <c r="ROR4" s="109"/>
      <c r="ROS4" s="109"/>
      <c r="ROT4" s="109"/>
      <c r="ROU4" s="109"/>
      <c r="ROV4" s="109"/>
      <c r="ROW4" s="109"/>
      <c r="ROX4" s="109"/>
      <c r="ROY4" s="109"/>
      <c r="ROZ4" s="109"/>
      <c r="RPA4" s="109"/>
      <c r="RPB4" s="109"/>
      <c r="RPC4" s="109"/>
      <c r="RPD4" s="109"/>
      <c r="RPE4" s="109"/>
      <c r="RPF4" s="109"/>
      <c r="RPG4" s="109"/>
      <c r="RPH4" s="109"/>
      <c r="RPI4" s="109"/>
      <c r="RPJ4" s="109"/>
      <c r="RPK4" s="109"/>
      <c r="RPL4" s="109"/>
      <c r="RPM4" s="109"/>
      <c r="RPN4" s="109"/>
      <c r="RPO4" s="109"/>
      <c r="RPP4" s="109"/>
      <c r="RPQ4" s="109"/>
      <c r="RPR4" s="109"/>
      <c r="RPS4" s="109"/>
      <c r="RPT4" s="109"/>
      <c r="RPU4" s="109"/>
      <c r="RPV4" s="109"/>
      <c r="RPW4" s="109"/>
      <c r="RPX4" s="109"/>
      <c r="RPY4" s="109"/>
      <c r="RPZ4" s="109"/>
      <c r="RQA4" s="109"/>
      <c r="RQB4" s="109"/>
      <c r="RQC4" s="109"/>
      <c r="RQD4" s="109"/>
      <c r="RQE4" s="109"/>
      <c r="RQF4" s="109"/>
      <c r="RQG4" s="109"/>
      <c r="RQH4" s="109"/>
      <c r="RQI4" s="109"/>
      <c r="RQJ4" s="109"/>
      <c r="RQK4" s="109"/>
      <c r="RQL4" s="109"/>
      <c r="RQM4" s="109"/>
      <c r="RQN4" s="109"/>
      <c r="RQO4" s="109"/>
      <c r="RQP4" s="109"/>
      <c r="RQQ4" s="109"/>
      <c r="RQR4" s="109"/>
      <c r="RQS4" s="109"/>
      <c r="RQT4" s="109"/>
      <c r="RQU4" s="109"/>
      <c r="RQV4" s="109"/>
      <c r="RQW4" s="109"/>
      <c r="RQX4" s="109"/>
      <c r="RQY4" s="109"/>
      <c r="RQZ4" s="109"/>
      <c r="RRA4" s="109"/>
      <c r="RRB4" s="109"/>
      <c r="RRC4" s="109"/>
      <c r="RRD4" s="109"/>
      <c r="RRE4" s="109"/>
      <c r="RRF4" s="109"/>
      <c r="RRG4" s="109"/>
      <c r="RRH4" s="109"/>
      <c r="RRI4" s="109"/>
      <c r="RRJ4" s="109"/>
      <c r="RRK4" s="109"/>
      <c r="RRL4" s="109"/>
      <c r="RRM4" s="109"/>
      <c r="RRN4" s="109"/>
      <c r="RRO4" s="109"/>
      <c r="RRP4" s="109"/>
      <c r="RRQ4" s="109"/>
      <c r="RRR4" s="109"/>
      <c r="RRS4" s="109"/>
      <c r="RRT4" s="109"/>
      <c r="RRU4" s="109"/>
      <c r="RRV4" s="109"/>
      <c r="RRW4" s="109"/>
      <c r="RRX4" s="109"/>
      <c r="RRY4" s="109"/>
      <c r="RRZ4" s="109"/>
      <c r="RSA4" s="109"/>
      <c r="RSB4" s="109"/>
      <c r="RSC4" s="109"/>
      <c r="RSD4" s="109"/>
      <c r="RSE4" s="109"/>
      <c r="RSF4" s="109"/>
      <c r="RSG4" s="109"/>
      <c r="RSH4" s="109"/>
      <c r="RSI4" s="109"/>
      <c r="RSJ4" s="109"/>
      <c r="RSK4" s="109"/>
      <c r="RSL4" s="109"/>
      <c r="RSM4" s="109"/>
      <c r="RSN4" s="109"/>
      <c r="RSO4" s="109"/>
      <c r="RSP4" s="109"/>
      <c r="RSQ4" s="109"/>
      <c r="RSR4" s="109"/>
      <c r="RSS4" s="109"/>
      <c r="RST4" s="109"/>
      <c r="RSU4" s="109"/>
      <c r="RSV4" s="109"/>
      <c r="RSW4" s="109"/>
      <c r="RSX4" s="109"/>
      <c r="RSY4" s="109"/>
      <c r="RSZ4" s="109"/>
      <c r="RTA4" s="109"/>
      <c r="RTB4" s="109"/>
      <c r="RTC4" s="109"/>
      <c r="RTD4" s="109"/>
      <c r="RTE4" s="109"/>
      <c r="RTF4" s="109"/>
      <c r="RTG4" s="109"/>
      <c r="RTH4" s="109"/>
      <c r="RTI4" s="109"/>
      <c r="RTJ4" s="109"/>
      <c r="RTK4" s="109"/>
      <c r="RTL4" s="109"/>
      <c r="RTM4" s="109"/>
      <c r="RTN4" s="109"/>
      <c r="RTO4" s="109"/>
      <c r="RTP4" s="109"/>
      <c r="RTQ4" s="109"/>
      <c r="RTR4" s="109"/>
      <c r="RTS4" s="109"/>
      <c r="RTT4" s="109"/>
      <c r="RTU4" s="109"/>
      <c r="RTV4" s="109"/>
      <c r="RTW4" s="109"/>
      <c r="RTX4" s="109"/>
      <c r="RTY4" s="109"/>
      <c r="RTZ4" s="109"/>
      <c r="RUA4" s="109"/>
      <c r="RUB4" s="109"/>
      <c r="RUC4" s="109"/>
      <c r="RUD4" s="109"/>
      <c r="RUE4" s="109"/>
      <c r="RUF4" s="109"/>
      <c r="RUG4" s="109"/>
      <c r="RUH4" s="109"/>
      <c r="RUI4" s="109"/>
      <c r="RUJ4" s="109"/>
      <c r="RUK4" s="109"/>
      <c r="RUL4" s="109"/>
      <c r="RUM4" s="109"/>
      <c r="RUN4" s="109"/>
      <c r="RUO4" s="109"/>
      <c r="RUP4" s="109"/>
      <c r="RUQ4" s="109"/>
      <c r="RUR4" s="109"/>
      <c r="RUS4" s="109"/>
      <c r="RUT4" s="109"/>
      <c r="RUU4" s="109"/>
      <c r="RUV4" s="109"/>
      <c r="RUW4" s="109"/>
      <c r="RUX4" s="109"/>
      <c r="RUY4" s="109"/>
      <c r="RUZ4" s="109"/>
      <c r="RVA4" s="109"/>
      <c r="RVB4" s="109"/>
      <c r="RVC4" s="109"/>
      <c r="RVD4" s="109"/>
      <c r="RVE4" s="109"/>
      <c r="RVF4" s="109"/>
      <c r="RVG4" s="109"/>
      <c r="RVH4" s="109"/>
      <c r="RVI4" s="109"/>
      <c r="RVJ4" s="109"/>
      <c r="RVK4" s="109"/>
      <c r="RVL4" s="109"/>
      <c r="RVM4" s="109"/>
      <c r="RVN4" s="109"/>
      <c r="RVO4" s="109"/>
      <c r="RVP4" s="109"/>
      <c r="RVQ4" s="109"/>
      <c r="RVR4" s="109"/>
      <c r="RVS4" s="109"/>
      <c r="RVT4" s="109"/>
      <c r="RVU4" s="109"/>
      <c r="RVV4" s="109"/>
      <c r="RVW4" s="109"/>
      <c r="RVX4" s="109"/>
      <c r="RVY4" s="109"/>
      <c r="RVZ4" s="109"/>
      <c r="RWA4" s="109"/>
      <c r="RWB4" s="109"/>
      <c r="RWC4" s="109"/>
      <c r="RWD4" s="109"/>
      <c r="RWE4" s="109"/>
      <c r="RWF4" s="109"/>
      <c r="RWG4" s="109"/>
      <c r="RWH4" s="109"/>
      <c r="RWI4" s="109"/>
      <c r="RWJ4" s="109"/>
      <c r="RWK4" s="109"/>
      <c r="RWL4" s="109"/>
      <c r="RWM4" s="109"/>
      <c r="RWN4" s="109"/>
      <c r="RWO4" s="109"/>
      <c r="RWP4" s="109"/>
      <c r="RWQ4" s="109"/>
      <c r="RWR4" s="109"/>
      <c r="RWS4" s="109"/>
      <c r="RWT4" s="109"/>
      <c r="RWU4" s="109"/>
      <c r="RWV4" s="109"/>
      <c r="RWW4" s="109"/>
      <c r="RWX4" s="109"/>
      <c r="RWY4" s="109"/>
      <c r="RWZ4" s="109"/>
      <c r="RXA4" s="109"/>
      <c r="RXB4" s="109"/>
      <c r="RXC4" s="109"/>
      <c r="RXD4" s="109"/>
      <c r="RXE4" s="109"/>
      <c r="RXF4" s="109"/>
      <c r="RXG4" s="109"/>
      <c r="RXH4" s="109"/>
      <c r="RXI4" s="109"/>
      <c r="RXJ4" s="109"/>
      <c r="RXK4" s="109"/>
      <c r="RXL4" s="109"/>
      <c r="RXM4" s="109"/>
      <c r="RXN4" s="109"/>
      <c r="RXO4" s="109"/>
      <c r="RXP4" s="109"/>
      <c r="RXQ4" s="109"/>
      <c r="RXR4" s="109"/>
      <c r="RXS4" s="109"/>
      <c r="RXT4" s="109"/>
      <c r="RXU4" s="109"/>
      <c r="RXV4" s="109"/>
      <c r="RXW4" s="109"/>
      <c r="RXX4" s="109"/>
      <c r="RXY4" s="109"/>
      <c r="RXZ4" s="109"/>
      <c r="RYA4" s="109"/>
      <c r="RYB4" s="109"/>
      <c r="RYC4" s="109"/>
      <c r="RYD4" s="109"/>
      <c r="RYE4" s="109"/>
      <c r="RYF4" s="109"/>
      <c r="RYG4" s="109"/>
      <c r="RYH4" s="109"/>
      <c r="RYI4" s="109"/>
      <c r="RYJ4" s="109"/>
      <c r="RYK4" s="109"/>
      <c r="RYL4" s="109"/>
      <c r="RYM4" s="109"/>
      <c r="RYN4" s="109"/>
      <c r="RYO4" s="109"/>
      <c r="RYP4" s="109"/>
      <c r="RYQ4" s="109"/>
      <c r="RYR4" s="109"/>
      <c r="RYS4" s="109"/>
      <c r="RYT4" s="109"/>
      <c r="RYU4" s="109"/>
      <c r="RYV4" s="109"/>
      <c r="RYW4" s="109"/>
      <c r="RYX4" s="109"/>
      <c r="RYY4" s="109"/>
      <c r="RYZ4" s="109"/>
      <c r="RZA4" s="109"/>
      <c r="RZB4" s="109"/>
      <c r="RZC4" s="109"/>
      <c r="RZD4" s="109"/>
      <c r="RZE4" s="109"/>
      <c r="RZF4" s="109"/>
      <c r="RZG4" s="109"/>
      <c r="RZH4" s="109"/>
      <c r="RZI4" s="109"/>
      <c r="RZJ4" s="109"/>
      <c r="RZK4" s="109"/>
      <c r="RZL4" s="109"/>
      <c r="RZM4" s="109"/>
      <c r="RZN4" s="109"/>
      <c r="RZO4" s="109"/>
      <c r="RZP4" s="109"/>
      <c r="RZQ4" s="109"/>
      <c r="RZR4" s="109"/>
      <c r="RZS4" s="109"/>
      <c r="RZT4" s="109"/>
      <c r="RZU4" s="109"/>
      <c r="RZV4" s="109"/>
      <c r="RZW4" s="109"/>
      <c r="RZX4" s="109"/>
      <c r="RZY4" s="109"/>
      <c r="RZZ4" s="109"/>
      <c r="SAA4" s="109"/>
      <c r="SAB4" s="109"/>
      <c r="SAC4" s="109"/>
      <c r="SAD4" s="109"/>
      <c r="SAE4" s="109"/>
      <c r="SAF4" s="109"/>
      <c r="SAG4" s="109"/>
      <c r="SAH4" s="109"/>
      <c r="SAI4" s="109"/>
      <c r="SAJ4" s="109"/>
      <c r="SAK4" s="109"/>
      <c r="SAL4" s="109"/>
      <c r="SAM4" s="109"/>
      <c r="SAN4" s="109"/>
      <c r="SAO4" s="109"/>
      <c r="SAP4" s="109"/>
      <c r="SAQ4" s="109"/>
      <c r="SAR4" s="109"/>
      <c r="SAS4" s="109"/>
      <c r="SAT4" s="109"/>
      <c r="SAU4" s="109"/>
      <c r="SAV4" s="109"/>
      <c r="SAW4" s="109"/>
      <c r="SAX4" s="109"/>
      <c r="SAY4" s="109"/>
      <c r="SAZ4" s="109"/>
      <c r="SBA4" s="109"/>
      <c r="SBB4" s="109"/>
      <c r="SBC4" s="109"/>
      <c r="SBD4" s="109"/>
      <c r="SBE4" s="109"/>
      <c r="SBF4" s="109"/>
      <c r="SBG4" s="109"/>
      <c r="SBH4" s="109"/>
      <c r="SBI4" s="109"/>
      <c r="SBJ4" s="109"/>
      <c r="SBK4" s="109"/>
      <c r="SBL4" s="109"/>
      <c r="SBM4" s="109"/>
      <c r="SBN4" s="109"/>
      <c r="SBO4" s="109"/>
      <c r="SBP4" s="109"/>
      <c r="SBQ4" s="109"/>
      <c r="SBR4" s="109"/>
      <c r="SBS4" s="109"/>
      <c r="SBT4" s="109"/>
      <c r="SBU4" s="109"/>
      <c r="SBV4" s="109"/>
      <c r="SBW4" s="109"/>
      <c r="SBX4" s="109"/>
      <c r="SBY4" s="109"/>
      <c r="SBZ4" s="109"/>
      <c r="SCA4" s="109"/>
      <c r="SCB4" s="109"/>
      <c r="SCC4" s="109"/>
      <c r="SCD4" s="109"/>
      <c r="SCE4" s="109"/>
      <c r="SCF4" s="109"/>
      <c r="SCG4" s="109"/>
      <c r="SCH4" s="109"/>
      <c r="SCI4" s="109"/>
      <c r="SCJ4" s="109"/>
      <c r="SCK4" s="109"/>
      <c r="SCL4" s="109"/>
      <c r="SCM4" s="109"/>
      <c r="SCN4" s="109"/>
      <c r="SCO4" s="109"/>
      <c r="SCP4" s="109"/>
      <c r="SCQ4" s="109"/>
      <c r="SCR4" s="109"/>
      <c r="SCS4" s="109"/>
      <c r="SCT4" s="109"/>
      <c r="SCU4" s="109"/>
      <c r="SCV4" s="109"/>
      <c r="SCW4" s="109"/>
      <c r="SCX4" s="109"/>
      <c r="SCY4" s="109"/>
      <c r="SCZ4" s="109"/>
      <c r="SDA4" s="109"/>
      <c r="SDB4" s="109"/>
      <c r="SDC4" s="109"/>
      <c r="SDD4" s="109"/>
      <c r="SDE4" s="109"/>
      <c r="SDF4" s="109"/>
      <c r="SDG4" s="109"/>
      <c r="SDH4" s="109"/>
      <c r="SDI4" s="109"/>
      <c r="SDJ4" s="109"/>
      <c r="SDK4" s="109"/>
      <c r="SDL4" s="109"/>
      <c r="SDM4" s="109"/>
      <c r="SDN4" s="109"/>
      <c r="SDO4" s="109"/>
      <c r="SDP4" s="109"/>
      <c r="SDQ4" s="109"/>
      <c r="SDR4" s="109"/>
      <c r="SDS4" s="109"/>
      <c r="SDT4" s="109"/>
      <c r="SDU4" s="109"/>
      <c r="SDV4" s="109"/>
      <c r="SDW4" s="109"/>
      <c r="SDX4" s="109"/>
      <c r="SDY4" s="109"/>
      <c r="SDZ4" s="109"/>
      <c r="SEA4" s="109"/>
      <c r="SEB4" s="109"/>
      <c r="SEC4" s="109"/>
      <c r="SED4" s="109"/>
      <c r="SEE4" s="109"/>
      <c r="SEF4" s="109"/>
      <c r="SEG4" s="109"/>
      <c r="SEH4" s="109"/>
      <c r="SEI4" s="109"/>
      <c r="SEJ4" s="109"/>
      <c r="SEK4" s="109"/>
      <c r="SEL4" s="109"/>
      <c r="SEM4" s="109"/>
      <c r="SEN4" s="109"/>
      <c r="SEO4" s="109"/>
      <c r="SEP4" s="109"/>
      <c r="SEQ4" s="109"/>
      <c r="SER4" s="109"/>
      <c r="SES4" s="109"/>
      <c r="SET4" s="109"/>
      <c r="SEU4" s="109"/>
      <c r="SEV4" s="109"/>
      <c r="SEW4" s="109"/>
      <c r="SEX4" s="109"/>
      <c r="SEY4" s="109"/>
      <c r="SEZ4" s="109"/>
      <c r="SFA4" s="109"/>
      <c r="SFB4" s="109"/>
      <c r="SFC4" s="109"/>
      <c r="SFD4" s="109"/>
      <c r="SFE4" s="109"/>
      <c r="SFF4" s="109"/>
      <c r="SFG4" s="109"/>
      <c r="SFH4" s="109"/>
      <c r="SFI4" s="109"/>
      <c r="SFJ4" s="109"/>
      <c r="SFK4" s="109"/>
      <c r="SFL4" s="109"/>
      <c r="SFM4" s="109"/>
      <c r="SFN4" s="109"/>
      <c r="SFO4" s="109"/>
      <c r="SFP4" s="109"/>
      <c r="SFQ4" s="109"/>
      <c r="SFR4" s="109"/>
      <c r="SFS4" s="109"/>
      <c r="SFT4" s="109"/>
      <c r="SFU4" s="109"/>
      <c r="SFV4" s="109"/>
      <c r="SFW4" s="109"/>
      <c r="SFX4" s="109"/>
      <c r="SFY4" s="109"/>
      <c r="SFZ4" s="109"/>
      <c r="SGA4" s="109"/>
      <c r="SGB4" s="109"/>
      <c r="SGC4" s="109"/>
      <c r="SGD4" s="109"/>
      <c r="SGE4" s="109"/>
      <c r="SGF4" s="109"/>
      <c r="SGG4" s="109"/>
      <c r="SGH4" s="109"/>
      <c r="SGI4" s="109"/>
      <c r="SGJ4" s="109"/>
      <c r="SGK4" s="109"/>
      <c r="SGL4" s="109"/>
      <c r="SGM4" s="109"/>
      <c r="SGN4" s="109"/>
      <c r="SGO4" s="109"/>
      <c r="SGP4" s="109"/>
      <c r="SGQ4" s="109"/>
      <c r="SGR4" s="109"/>
      <c r="SGS4" s="109"/>
      <c r="SGT4" s="109"/>
      <c r="SGU4" s="109"/>
      <c r="SGV4" s="109"/>
      <c r="SGW4" s="109"/>
      <c r="SGX4" s="109"/>
      <c r="SGY4" s="109"/>
      <c r="SGZ4" s="109"/>
      <c r="SHA4" s="109"/>
      <c r="SHB4" s="109"/>
      <c r="SHC4" s="109"/>
      <c r="SHD4" s="109"/>
      <c r="SHE4" s="109"/>
      <c r="SHF4" s="109"/>
      <c r="SHG4" s="109"/>
      <c r="SHH4" s="109"/>
      <c r="SHI4" s="109"/>
      <c r="SHJ4" s="109"/>
      <c r="SHK4" s="109"/>
      <c r="SHL4" s="109"/>
      <c r="SHM4" s="109"/>
      <c r="SHN4" s="109"/>
      <c r="SHO4" s="109"/>
      <c r="SHP4" s="109"/>
      <c r="SHQ4" s="109"/>
      <c r="SHR4" s="109"/>
      <c r="SHS4" s="109"/>
      <c r="SHT4" s="109"/>
      <c r="SHU4" s="109"/>
      <c r="SHV4" s="109"/>
      <c r="SHW4" s="109"/>
      <c r="SHX4" s="109"/>
      <c r="SHY4" s="109"/>
      <c r="SHZ4" s="109"/>
      <c r="SIA4" s="109"/>
      <c r="SIB4" s="109"/>
      <c r="SIC4" s="109"/>
      <c r="SID4" s="109"/>
      <c r="SIE4" s="109"/>
      <c r="SIF4" s="109"/>
      <c r="SIG4" s="109"/>
      <c r="SIH4" s="109"/>
      <c r="SII4" s="109"/>
      <c r="SIJ4" s="109"/>
      <c r="SIK4" s="109"/>
      <c r="SIL4" s="109"/>
      <c r="SIM4" s="109"/>
      <c r="SIN4" s="109"/>
      <c r="SIO4" s="109"/>
      <c r="SIP4" s="109"/>
      <c r="SIQ4" s="109"/>
      <c r="SIR4" s="109"/>
      <c r="SIS4" s="109"/>
      <c r="SIT4" s="109"/>
      <c r="SIU4" s="109"/>
      <c r="SIV4" s="109"/>
      <c r="SIW4" s="109"/>
      <c r="SIX4" s="109"/>
      <c r="SIY4" s="109"/>
      <c r="SIZ4" s="109"/>
      <c r="SJA4" s="109"/>
      <c r="SJB4" s="109"/>
      <c r="SJC4" s="109"/>
      <c r="SJD4" s="109"/>
      <c r="SJE4" s="109"/>
      <c r="SJF4" s="109"/>
      <c r="SJG4" s="109"/>
      <c r="SJH4" s="109"/>
      <c r="SJI4" s="109"/>
      <c r="SJJ4" s="109"/>
      <c r="SJK4" s="109"/>
      <c r="SJL4" s="109"/>
      <c r="SJM4" s="109"/>
      <c r="SJN4" s="109"/>
      <c r="SJO4" s="109"/>
      <c r="SJP4" s="109"/>
      <c r="SJQ4" s="109"/>
      <c r="SJR4" s="109"/>
      <c r="SJS4" s="109"/>
      <c r="SJT4" s="109"/>
      <c r="SJU4" s="109"/>
      <c r="SJV4" s="109"/>
      <c r="SJW4" s="109"/>
      <c r="SJX4" s="109"/>
      <c r="SJY4" s="109"/>
      <c r="SJZ4" s="109"/>
      <c r="SKA4" s="109"/>
      <c r="SKB4" s="109"/>
      <c r="SKC4" s="109"/>
      <c r="SKD4" s="109"/>
      <c r="SKE4" s="109"/>
      <c r="SKF4" s="109"/>
      <c r="SKG4" s="109"/>
      <c r="SKH4" s="109"/>
      <c r="SKI4" s="109"/>
      <c r="SKJ4" s="109"/>
      <c r="SKK4" s="109"/>
      <c r="SKL4" s="109"/>
      <c r="SKM4" s="109"/>
      <c r="SKN4" s="109"/>
      <c r="SKO4" s="109"/>
      <c r="SKP4" s="109"/>
      <c r="SKQ4" s="109"/>
      <c r="SKR4" s="109"/>
      <c r="SKS4" s="109"/>
      <c r="SKT4" s="109"/>
      <c r="SKU4" s="109"/>
      <c r="SKV4" s="109"/>
      <c r="SKW4" s="109"/>
      <c r="SKX4" s="109"/>
      <c r="SKY4" s="109"/>
      <c r="SKZ4" s="109"/>
      <c r="SLA4" s="109"/>
      <c r="SLB4" s="109"/>
      <c r="SLC4" s="109"/>
      <c r="SLD4" s="109"/>
      <c r="SLE4" s="109"/>
      <c r="SLF4" s="109"/>
      <c r="SLG4" s="109"/>
      <c r="SLH4" s="109"/>
      <c r="SLI4" s="109"/>
      <c r="SLJ4" s="109"/>
      <c r="SLK4" s="109"/>
      <c r="SLL4" s="109"/>
      <c r="SLM4" s="109"/>
      <c r="SLN4" s="109"/>
      <c r="SLO4" s="109"/>
      <c r="SLP4" s="109"/>
      <c r="SLQ4" s="109"/>
      <c r="SLR4" s="109"/>
      <c r="SLS4" s="109"/>
      <c r="SLT4" s="109"/>
      <c r="SLU4" s="109"/>
      <c r="SLV4" s="109"/>
      <c r="SLW4" s="109"/>
      <c r="SLX4" s="109"/>
      <c r="SLY4" s="109"/>
      <c r="SLZ4" s="109"/>
      <c r="SMA4" s="109"/>
      <c r="SMB4" s="109"/>
      <c r="SMC4" s="109"/>
      <c r="SMD4" s="109"/>
      <c r="SME4" s="109"/>
      <c r="SMF4" s="109"/>
      <c r="SMG4" s="109"/>
      <c r="SMH4" s="109"/>
      <c r="SMI4" s="109"/>
      <c r="SMJ4" s="109"/>
      <c r="SMK4" s="109"/>
      <c r="SML4" s="109"/>
      <c r="SMM4" s="109"/>
      <c r="SMN4" s="109"/>
      <c r="SMO4" s="109"/>
      <c r="SMP4" s="109"/>
      <c r="SMQ4" s="109"/>
      <c r="SMR4" s="109"/>
      <c r="SMS4" s="109"/>
      <c r="SMT4" s="109"/>
      <c r="SMU4" s="109"/>
      <c r="SMV4" s="109"/>
      <c r="SMW4" s="109"/>
      <c r="SMX4" s="109"/>
      <c r="SMY4" s="109"/>
      <c r="SMZ4" s="109"/>
      <c r="SNA4" s="109"/>
      <c r="SNB4" s="109"/>
      <c r="SNC4" s="109"/>
      <c r="SND4" s="109"/>
      <c r="SNE4" s="109"/>
      <c r="SNF4" s="109"/>
      <c r="SNG4" s="109"/>
      <c r="SNH4" s="109"/>
      <c r="SNI4" s="109"/>
      <c r="SNJ4" s="109"/>
      <c r="SNK4" s="109"/>
      <c r="SNL4" s="109"/>
      <c r="SNM4" s="109"/>
      <c r="SNN4" s="109"/>
      <c r="SNO4" s="109"/>
      <c r="SNP4" s="109"/>
      <c r="SNQ4" s="109"/>
      <c r="SNR4" s="109"/>
      <c r="SNS4" s="109"/>
      <c r="SNT4" s="109"/>
      <c r="SNU4" s="109"/>
      <c r="SNV4" s="109"/>
      <c r="SNW4" s="109"/>
      <c r="SNX4" s="109"/>
      <c r="SNY4" s="109"/>
      <c r="SNZ4" s="109"/>
      <c r="SOA4" s="109"/>
      <c r="SOB4" s="109"/>
      <c r="SOC4" s="109"/>
      <c r="SOD4" s="109"/>
      <c r="SOE4" s="109"/>
      <c r="SOF4" s="109"/>
      <c r="SOG4" s="109"/>
      <c r="SOH4" s="109"/>
      <c r="SOI4" s="109"/>
      <c r="SOJ4" s="109"/>
      <c r="SOK4" s="109"/>
      <c r="SOL4" s="109"/>
      <c r="SOM4" s="109"/>
      <c r="SON4" s="109"/>
      <c r="SOO4" s="109"/>
      <c r="SOP4" s="109"/>
      <c r="SOQ4" s="109"/>
      <c r="SOR4" s="109"/>
      <c r="SOS4" s="109"/>
      <c r="SOT4" s="109"/>
      <c r="SOU4" s="109"/>
      <c r="SOV4" s="109"/>
      <c r="SOW4" s="109"/>
      <c r="SOX4" s="109"/>
      <c r="SOY4" s="109"/>
      <c r="SOZ4" s="109"/>
      <c r="SPA4" s="109"/>
      <c r="SPB4" s="109"/>
      <c r="SPC4" s="109"/>
      <c r="SPD4" s="109"/>
      <c r="SPE4" s="109"/>
      <c r="SPF4" s="109"/>
      <c r="SPG4" s="109"/>
      <c r="SPH4" s="109"/>
      <c r="SPI4" s="109"/>
      <c r="SPJ4" s="109"/>
      <c r="SPK4" s="109"/>
      <c r="SPL4" s="109"/>
      <c r="SPM4" s="109"/>
      <c r="SPN4" s="109"/>
      <c r="SPO4" s="109"/>
      <c r="SPP4" s="109"/>
      <c r="SPQ4" s="109"/>
      <c r="SPR4" s="109"/>
      <c r="SPS4" s="109"/>
      <c r="SPT4" s="109"/>
      <c r="SPU4" s="109"/>
      <c r="SPV4" s="109"/>
      <c r="SPW4" s="109"/>
      <c r="SPX4" s="109"/>
      <c r="SPY4" s="109"/>
      <c r="SPZ4" s="109"/>
      <c r="SQA4" s="109"/>
      <c r="SQB4" s="109"/>
      <c r="SQC4" s="109"/>
      <c r="SQD4" s="109"/>
      <c r="SQE4" s="109"/>
      <c r="SQF4" s="109"/>
      <c r="SQG4" s="109"/>
      <c r="SQH4" s="109"/>
      <c r="SQI4" s="109"/>
      <c r="SQJ4" s="109"/>
      <c r="SQK4" s="109"/>
      <c r="SQL4" s="109"/>
      <c r="SQM4" s="109"/>
      <c r="SQN4" s="109"/>
      <c r="SQO4" s="109"/>
      <c r="SQP4" s="109"/>
      <c r="SQQ4" s="109"/>
      <c r="SQR4" s="109"/>
      <c r="SQS4" s="109"/>
      <c r="SQT4" s="109"/>
      <c r="SQU4" s="109"/>
      <c r="SQV4" s="109"/>
      <c r="SQW4" s="109"/>
      <c r="SQX4" s="109"/>
      <c r="SQY4" s="109"/>
      <c r="SQZ4" s="109"/>
      <c r="SRA4" s="109"/>
      <c r="SRB4" s="109"/>
      <c r="SRC4" s="109"/>
      <c r="SRD4" s="109"/>
      <c r="SRE4" s="109"/>
      <c r="SRF4" s="109"/>
      <c r="SRG4" s="109"/>
      <c r="SRH4" s="109"/>
      <c r="SRI4" s="109"/>
      <c r="SRJ4" s="109"/>
      <c r="SRK4" s="109"/>
      <c r="SRL4" s="109"/>
      <c r="SRM4" s="109"/>
      <c r="SRN4" s="109"/>
      <c r="SRO4" s="109"/>
      <c r="SRP4" s="109"/>
      <c r="SRQ4" s="109"/>
      <c r="SRR4" s="109"/>
      <c r="SRS4" s="109"/>
      <c r="SRT4" s="109"/>
      <c r="SRU4" s="109"/>
      <c r="SRV4" s="109"/>
      <c r="SRW4" s="109"/>
      <c r="SRX4" s="109"/>
      <c r="SRY4" s="109"/>
      <c r="SRZ4" s="109"/>
      <c r="SSA4" s="109"/>
      <c r="SSB4" s="109"/>
      <c r="SSC4" s="109"/>
      <c r="SSD4" s="109"/>
      <c r="SSE4" s="109"/>
      <c r="SSF4" s="109"/>
      <c r="SSG4" s="109"/>
      <c r="SSH4" s="109"/>
      <c r="SSI4" s="109"/>
      <c r="SSJ4" s="109"/>
      <c r="SSK4" s="109"/>
      <c r="SSL4" s="109"/>
      <c r="SSM4" s="109"/>
      <c r="SSN4" s="109"/>
      <c r="SSO4" s="109"/>
      <c r="SSP4" s="109"/>
      <c r="SSQ4" s="109"/>
      <c r="SSR4" s="109"/>
      <c r="SSS4" s="109"/>
      <c r="SST4" s="109"/>
      <c r="SSU4" s="109"/>
      <c r="SSV4" s="109"/>
      <c r="SSW4" s="109"/>
      <c r="SSX4" s="109"/>
      <c r="SSY4" s="109"/>
      <c r="SSZ4" s="109"/>
      <c r="STA4" s="109"/>
      <c r="STB4" s="109"/>
      <c r="STC4" s="109"/>
      <c r="STD4" s="109"/>
      <c r="STE4" s="109"/>
      <c r="STF4" s="109"/>
      <c r="STG4" s="109"/>
      <c r="STH4" s="109"/>
      <c r="STI4" s="109"/>
      <c r="STJ4" s="109"/>
      <c r="STK4" s="109"/>
      <c r="STL4" s="109"/>
      <c r="STM4" s="109"/>
      <c r="STN4" s="109"/>
      <c r="STO4" s="109"/>
      <c r="STP4" s="109"/>
      <c r="STQ4" s="109"/>
      <c r="STR4" s="109"/>
      <c r="STS4" s="109"/>
      <c r="STT4" s="109"/>
      <c r="STU4" s="109"/>
      <c r="STV4" s="109"/>
      <c r="STW4" s="109"/>
      <c r="STX4" s="109"/>
      <c r="STY4" s="109"/>
      <c r="STZ4" s="109"/>
      <c r="SUA4" s="109"/>
      <c r="SUB4" s="109"/>
      <c r="SUC4" s="109"/>
      <c r="SUD4" s="109"/>
      <c r="SUE4" s="109"/>
      <c r="SUF4" s="109"/>
      <c r="SUG4" s="109"/>
      <c r="SUH4" s="109"/>
      <c r="SUI4" s="109"/>
      <c r="SUJ4" s="109"/>
      <c r="SUK4" s="109"/>
      <c r="SUL4" s="109"/>
      <c r="SUM4" s="109"/>
      <c r="SUN4" s="109"/>
      <c r="SUO4" s="109"/>
      <c r="SUP4" s="109"/>
      <c r="SUQ4" s="109"/>
      <c r="SUR4" s="109"/>
      <c r="SUS4" s="109"/>
      <c r="SUT4" s="109"/>
      <c r="SUU4" s="109"/>
      <c r="SUV4" s="109"/>
      <c r="SUW4" s="109"/>
      <c r="SUX4" s="109"/>
      <c r="SUY4" s="109"/>
      <c r="SUZ4" s="109"/>
      <c r="SVA4" s="109"/>
      <c r="SVB4" s="109"/>
      <c r="SVC4" s="109"/>
      <c r="SVD4" s="109"/>
      <c r="SVE4" s="109"/>
      <c r="SVF4" s="109"/>
      <c r="SVG4" s="109"/>
      <c r="SVH4" s="109"/>
      <c r="SVI4" s="109"/>
      <c r="SVJ4" s="109"/>
      <c r="SVK4" s="109"/>
      <c r="SVL4" s="109"/>
      <c r="SVM4" s="109"/>
      <c r="SVN4" s="109"/>
      <c r="SVO4" s="109"/>
      <c r="SVP4" s="109"/>
      <c r="SVQ4" s="109"/>
      <c r="SVR4" s="109"/>
      <c r="SVS4" s="109"/>
      <c r="SVT4" s="109"/>
      <c r="SVU4" s="109"/>
      <c r="SVV4" s="109"/>
      <c r="SVW4" s="109"/>
      <c r="SVX4" s="109"/>
      <c r="SVY4" s="109"/>
      <c r="SVZ4" s="109"/>
      <c r="SWA4" s="109"/>
      <c r="SWB4" s="109"/>
      <c r="SWC4" s="109"/>
      <c r="SWD4" s="109"/>
      <c r="SWE4" s="109"/>
      <c r="SWF4" s="109"/>
      <c r="SWG4" s="109"/>
      <c r="SWH4" s="109"/>
      <c r="SWI4" s="109"/>
      <c r="SWJ4" s="109"/>
      <c r="SWK4" s="109"/>
      <c r="SWL4" s="109"/>
      <c r="SWM4" s="109"/>
      <c r="SWN4" s="109"/>
      <c r="SWO4" s="109"/>
      <c r="SWP4" s="109"/>
      <c r="SWQ4" s="109"/>
      <c r="SWR4" s="109"/>
      <c r="SWS4" s="109"/>
      <c r="SWT4" s="109"/>
      <c r="SWU4" s="109"/>
      <c r="SWV4" s="109"/>
      <c r="SWW4" s="109"/>
      <c r="SWX4" s="109"/>
      <c r="SWY4" s="109"/>
      <c r="SWZ4" s="109"/>
      <c r="SXA4" s="109"/>
      <c r="SXB4" s="109"/>
      <c r="SXC4" s="109"/>
      <c r="SXD4" s="109"/>
      <c r="SXE4" s="109"/>
      <c r="SXF4" s="109"/>
      <c r="SXG4" s="109"/>
      <c r="SXH4" s="109"/>
      <c r="SXI4" s="109"/>
      <c r="SXJ4" s="109"/>
      <c r="SXK4" s="109"/>
      <c r="SXL4" s="109"/>
      <c r="SXM4" s="109"/>
      <c r="SXN4" s="109"/>
      <c r="SXO4" s="109"/>
      <c r="SXP4" s="109"/>
      <c r="SXQ4" s="109"/>
      <c r="SXR4" s="109"/>
      <c r="SXS4" s="109"/>
      <c r="SXT4" s="109"/>
      <c r="SXU4" s="109"/>
      <c r="SXV4" s="109"/>
      <c r="SXW4" s="109"/>
      <c r="SXX4" s="109"/>
      <c r="SXY4" s="109"/>
      <c r="SXZ4" s="109"/>
      <c r="SYA4" s="109"/>
      <c r="SYB4" s="109"/>
      <c r="SYC4" s="109"/>
      <c r="SYD4" s="109"/>
      <c r="SYE4" s="109"/>
      <c r="SYF4" s="109"/>
      <c r="SYG4" s="109"/>
      <c r="SYH4" s="109"/>
      <c r="SYI4" s="109"/>
      <c r="SYJ4" s="109"/>
      <c r="SYK4" s="109"/>
      <c r="SYL4" s="109"/>
      <c r="SYM4" s="109"/>
      <c r="SYN4" s="109"/>
      <c r="SYO4" s="109"/>
      <c r="SYP4" s="109"/>
      <c r="SYQ4" s="109"/>
      <c r="SYR4" s="109"/>
      <c r="SYS4" s="109"/>
      <c r="SYT4" s="109"/>
      <c r="SYU4" s="109"/>
      <c r="SYV4" s="109"/>
      <c r="SYW4" s="109"/>
      <c r="SYX4" s="109"/>
      <c r="SYY4" s="109"/>
      <c r="SYZ4" s="109"/>
      <c r="SZA4" s="109"/>
      <c r="SZB4" s="109"/>
      <c r="SZC4" s="109"/>
      <c r="SZD4" s="109"/>
      <c r="SZE4" s="109"/>
      <c r="SZF4" s="109"/>
      <c r="SZG4" s="109"/>
      <c r="SZH4" s="109"/>
      <c r="SZI4" s="109"/>
      <c r="SZJ4" s="109"/>
      <c r="SZK4" s="109"/>
      <c r="SZL4" s="109"/>
      <c r="SZM4" s="109"/>
      <c r="SZN4" s="109"/>
      <c r="SZO4" s="109"/>
      <c r="SZP4" s="109"/>
      <c r="SZQ4" s="109"/>
      <c r="SZR4" s="109"/>
      <c r="SZS4" s="109"/>
      <c r="SZT4" s="109"/>
      <c r="SZU4" s="109"/>
      <c r="SZV4" s="109"/>
      <c r="SZW4" s="109"/>
      <c r="SZX4" s="109"/>
      <c r="SZY4" s="109"/>
      <c r="SZZ4" s="109"/>
      <c r="TAA4" s="109"/>
      <c r="TAB4" s="109"/>
      <c r="TAC4" s="109"/>
      <c r="TAD4" s="109"/>
      <c r="TAE4" s="109"/>
      <c r="TAF4" s="109"/>
      <c r="TAG4" s="109"/>
      <c r="TAH4" s="109"/>
      <c r="TAI4" s="109"/>
      <c r="TAJ4" s="109"/>
      <c r="TAK4" s="109"/>
      <c r="TAL4" s="109"/>
      <c r="TAM4" s="109"/>
      <c r="TAN4" s="109"/>
      <c r="TAO4" s="109"/>
      <c r="TAP4" s="109"/>
      <c r="TAQ4" s="109"/>
      <c r="TAR4" s="109"/>
      <c r="TAS4" s="109"/>
      <c r="TAT4" s="109"/>
      <c r="TAU4" s="109"/>
      <c r="TAV4" s="109"/>
      <c r="TAW4" s="109"/>
      <c r="TAX4" s="109"/>
      <c r="TAY4" s="109"/>
      <c r="TAZ4" s="109"/>
      <c r="TBA4" s="109"/>
      <c r="TBB4" s="109"/>
      <c r="TBC4" s="109"/>
      <c r="TBD4" s="109"/>
      <c r="TBE4" s="109"/>
      <c r="TBF4" s="109"/>
      <c r="TBG4" s="109"/>
      <c r="TBH4" s="109"/>
      <c r="TBI4" s="109"/>
      <c r="TBJ4" s="109"/>
      <c r="TBK4" s="109"/>
      <c r="TBL4" s="109"/>
      <c r="TBM4" s="109"/>
      <c r="TBN4" s="109"/>
      <c r="TBO4" s="109"/>
      <c r="TBP4" s="109"/>
      <c r="TBQ4" s="109"/>
      <c r="TBR4" s="109"/>
      <c r="TBS4" s="109"/>
      <c r="TBT4" s="109"/>
      <c r="TBU4" s="109"/>
      <c r="TBV4" s="109"/>
      <c r="TBW4" s="109"/>
      <c r="TBX4" s="109"/>
      <c r="TBY4" s="109"/>
      <c r="TBZ4" s="109"/>
      <c r="TCA4" s="109"/>
      <c r="TCB4" s="109"/>
      <c r="TCC4" s="109"/>
      <c r="TCD4" s="109"/>
      <c r="TCE4" s="109"/>
      <c r="TCF4" s="109"/>
      <c r="TCG4" s="109"/>
      <c r="TCH4" s="109"/>
      <c r="TCI4" s="109"/>
      <c r="TCJ4" s="109"/>
      <c r="TCK4" s="109"/>
      <c r="TCL4" s="109"/>
      <c r="TCM4" s="109"/>
      <c r="TCN4" s="109"/>
      <c r="TCO4" s="109"/>
      <c r="TCP4" s="109"/>
      <c r="TCQ4" s="109"/>
      <c r="TCR4" s="109"/>
      <c r="TCS4" s="109"/>
      <c r="TCT4" s="109"/>
      <c r="TCU4" s="109"/>
      <c r="TCV4" s="109"/>
      <c r="TCW4" s="109"/>
      <c r="TCX4" s="109"/>
      <c r="TCY4" s="109"/>
      <c r="TCZ4" s="109"/>
      <c r="TDA4" s="109"/>
      <c r="TDB4" s="109"/>
      <c r="TDC4" s="109"/>
      <c r="TDD4" s="109"/>
      <c r="TDE4" s="109"/>
      <c r="TDF4" s="109"/>
      <c r="TDG4" s="109"/>
      <c r="TDH4" s="109"/>
      <c r="TDI4" s="109"/>
      <c r="TDJ4" s="109"/>
      <c r="TDK4" s="109"/>
      <c r="TDL4" s="109"/>
      <c r="TDM4" s="109"/>
      <c r="TDN4" s="109"/>
      <c r="TDO4" s="109"/>
      <c r="TDP4" s="109"/>
      <c r="TDQ4" s="109"/>
      <c r="TDR4" s="109"/>
      <c r="TDS4" s="109"/>
      <c r="TDT4" s="109"/>
      <c r="TDU4" s="109"/>
      <c r="TDV4" s="109"/>
      <c r="TDW4" s="109"/>
      <c r="TDX4" s="109"/>
      <c r="TDY4" s="109"/>
      <c r="TDZ4" s="109"/>
      <c r="TEA4" s="109"/>
      <c r="TEB4" s="109"/>
      <c r="TEC4" s="109"/>
      <c r="TED4" s="109"/>
      <c r="TEE4" s="109"/>
      <c r="TEF4" s="109"/>
      <c r="TEG4" s="109"/>
      <c r="TEH4" s="109"/>
      <c r="TEI4" s="109"/>
      <c r="TEJ4" s="109"/>
      <c r="TEK4" s="109"/>
      <c r="TEL4" s="109"/>
      <c r="TEM4" s="109"/>
      <c r="TEN4" s="109"/>
      <c r="TEO4" s="109"/>
      <c r="TEP4" s="109"/>
      <c r="TEQ4" s="109"/>
      <c r="TER4" s="109"/>
      <c r="TES4" s="109"/>
      <c r="TET4" s="109"/>
      <c r="TEU4" s="109"/>
      <c r="TEV4" s="109"/>
      <c r="TEW4" s="109"/>
      <c r="TEX4" s="109"/>
      <c r="TEY4" s="109"/>
      <c r="TEZ4" s="109"/>
      <c r="TFA4" s="109"/>
      <c r="TFB4" s="109"/>
      <c r="TFC4" s="109"/>
      <c r="TFD4" s="109"/>
      <c r="TFE4" s="109"/>
      <c r="TFF4" s="109"/>
      <c r="TFG4" s="109"/>
      <c r="TFH4" s="109"/>
      <c r="TFI4" s="109"/>
      <c r="TFJ4" s="109"/>
      <c r="TFK4" s="109"/>
      <c r="TFL4" s="109"/>
      <c r="TFM4" s="109"/>
      <c r="TFN4" s="109"/>
      <c r="TFO4" s="109"/>
      <c r="TFP4" s="109"/>
      <c r="TFQ4" s="109"/>
      <c r="TFR4" s="109"/>
      <c r="TFS4" s="109"/>
      <c r="TFT4" s="109"/>
      <c r="TFU4" s="109"/>
      <c r="TFV4" s="109"/>
      <c r="TFW4" s="109"/>
      <c r="TFX4" s="109"/>
      <c r="TFY4" s="109"/>
      <c r="TFZ4" s="109"/>
      <c r="TGA4" s="109"/>
      <c r="TGB4" s="109"/>
      <c r="TGC4" s="109"/>
      <c r="TGD4" s="109"/>
      <c r="TGE4" s="109"/>
      <c r="TGF4" s="109"/>
      <c r="TGG4" s="109"/>
      <c r="TGH4" s="109"/>
      <c r="TGI4" s="109"/>
      <c r="TGJ4" s="109"/>
      <c r="TGK4" s="109"/>
      <c r="TGL4" s="109"/>
      <c r="TGM4" s="109"/>
      <c r="TGN4" s="109"/>
      <c r="TGO4" s="109"/>
      <c r="TGP4" s="109"/>
      <c r="TGQ4" s="109"/>
      <c r="TGR4" s="109"/>
      <c r="TGS4" s="109"/>
      <c r="TGT4" s="109"/>
      <c r="TGU4" s="109"/>
      <c r="TGV4" s="109"/>
      <c r="TGW4" s="109"/>
      <c r="TGX4" s="109"/>
      <c r="TGY4" s="109"/>
      <c r="TGZ4" s="109"/>
      <c r="THA4" s="109"/>
      <c r="THB4" s="109"/>
      <c r="THC4" s="109"/>
      <c r="THD4" s="109"/>
      <c r="THE4" s="109"/>
      <c r="THF4" s="109"/>
      <c r="THG4" s="109"/>
      <c r="THH4" s="109"/>
      <c r="THI4" s="109"/>
      <c r="THJ4" s="109"/>
      <c r="THK4" s="109"/>
      <c r="THL4" s="109"/>
      <c r="THM4" s="109"/>
      <c r="THN4" s="109"/>
      <c r="THO4" s="109"/>
      <c r="THP4" s="109"/>
      <c r="THQ4" s="109"/>
      <c r="THR4" s="109"/>
      <c r="THS4" s="109"/>
      <c r="THT4" s="109"/>
      <c r="THU4" s="109"/>
      <c r="THV4" s="109"/>
      <c r="THW4" s="109"/>
      <c r="THX4" s="109"/>
      <c r="THY4" s="109"/>
      <c r="THZ4" s="109"/>
      <c r="TIA4" s="109"/>
      <c r="TIB4" s="109"/>
      <c r="TIC4" s="109"/>
      <c r="TID4" s="109"/>
      <c r="TIE4" s="109"/>
      <c r="TIF4" s="109"/>
      <c r="TIG4" s="109"/>
      <c r="TIH4" s="109"/>
      <c r="TII4" s="109"/>
      <c r="TIJ4" s="109"/>
      <c r="TIK4" s="109"/>
      <c r="TIL4" s="109"/>
      <c r="TIM4" s="109"/>
      <c r="TIN4" s="109"/>
      <c r="TIO4" s="109"/>
      <c r="TIP4" s="109"/>
      <c r="TIQ4" s="109"/>
      <c r="TIR4" s="109"/>
      <c r="TIS4" s="109"/>
      <c r="TIT4" s="109"/>
      <c r="TIU4" s="109"/>
      <c r="TIV4" s="109"/>
      <c r="TIW4" s="109"/>
      <c r="TIX4" s="109"/>
      <c r="TIY4" s="109"/>
      <c r="TIZ4" s="109"/>
      <c r="TJA4" s="109"/>
      <c r="TJB4" s="109"/>
      <c r="TJC4" s="109"/>
      <c r="TJD4" s="109"/>
      <c r="TJE4" s="109"/>
      <c r="TJF4" s="109"/>
      <c r="TJG4" s="109"/>
      <c r="TJH4" s="109"/>
      <c r="TJI4" s="109"/>
      <c r="TJJ4" s="109"/>
      <c r="TJK4" s="109"/>
      <c r="TJL4" s="109"/>
      <c r="TJM4" s="109"/>
      <c r="TJN4" s="109"/>
      <c r="TJO4" s="109"/>
      <c r="TJP4" s="109"/>
      <c r="TJQ4" s="109"/>
      <c r="TJR4" s="109"/>
      <c r="TJS4" s="109"/>
      <c r="TJT4" s="109"/>
      <c r="TJU4" s="109"/>
      <c r="TJV4" s="109"/>
      <c r="TJW4" s="109"/>
      <c r="TJX4" s="109"/>
      <c r="TJY4" s="109"/>
      <c r="TJZ4" s="109"/>
      <c r="TKA4" s="109"/>
      <c r="TKB4" s="109"/>
      <c r="TKC4" s="109"/>
      <c r="TKD4" s="109"/>
      <c r="TKE4" s="109"/>
      <c r="TKF4" s="109"/>
      <c r="TKG4" s="109"/>
      <c r="TKH4" s="109"/>
      <c r="TKI4" s="109"/>
      <c r="TKJ4" s="109"/>
      <c r="TKK4" s="109"/>
      <c r="TKL4" s="109"/>
      <c r="TKM4" s="109"/>
      <c r="TKN4" s="109"/>
      <c r="TKO4" s="109"/>
      <c r="TKP4" s="109"/>
      <c r="TKQ4" s="109"/>
      <c r="TKR4" s="109"/>
      <c r="TKS4" s="109"/>
      <c r="TKT4" s="109"/>
      <c r="TKU4" s="109"/>
      <c r="TKV4" s="109"/>
      <c r="TKW4" s="109"/>
      <c r="TKX4" s="109"/>
      <c r="TKY4" s="109"/>
      <c r="TKZ4" s="109"/>
      <c r="TLA4" s="109"/>
      <c r="TLB4" s="109"/>
      <c r="TLC4" s="109"/>
      <c r="TLD4" s="109"/>
      <c r="TLE4" s="109"/>
      <c r="TLF4" s="109"/>
      <c r="TLG4" s="109"/>
      <c r="TLH4" s="109"/>
      <c r="TLI4" s="109"/>
      <c r="TLJ4" s="109"/>
      <c r="TLK4" s="109"/>
      <c r="TLL4" s="109"/>
      <c r="TLM4" s="109"/>
      <c r="TLN4" s="109"/>
      <c r="TLO4" s="109"/>
      <c r="TLP4" s="109"/>
      <c r="TLQ4" s="109"/>
      <c r="TLR4" s="109"/>
      <c r="TLS4" s="109"/>
      <c r="TLT4" s="109"/>
      <c r="TLU4" s="109"/>
      <c r="TLV4" s="109"/>
      <c r="TLW4" s="109"/>
      <c r="TLX4" s="109"/>
      <c r="TLY4" s="109"/>
      <c r="TLZ4" s="109"/>
      <c r="TMA4" s="109"/>
      <c r="TMB4" s="109"/>
      <c r="TMC4" s="109"/>
      <c r="TMD4" s="109"/>
      <c r="TME4" s="109"/>
      <c r="TMF4" s="109"/>
      <c r="TMG4" s="109"/>
      <c r="TMH4" s="109"/>
      <c r="TMI4" s="109"/>
      <c r="TMJ4" s="109"/>
      <c r="TMK4" s="109"/>
      <c r="TML4" s="109"/>
      <c r="TMM4" s="109"/>
      <c r="TMN4" s="109"/>
      <c r="TMO4" s="109"/>
      <c r="TMP4" s="109"/>
      <c r="TMQ4" s="109"/>
      <c r="TMR4" s="109"/>
      <c r="TMS4" s="109"/>
      <c r="TMT4" s="109"/>
      <c r="TMU4" s="109"/>
      <c r="TMV4" s="109"/>
      <c r="TMW4" s="109"/>
      <c r="TMX4" s="109"/>
      <c r="TMY4" s="109"/>
      <c r="TMZ4" s="109"/>
      <c r="TNA4" s="109"/>
      <c r="TNB4" s="109"/>
      <c r="TNC4" s="109"/>
      <c r="TND4" s="109"/>
      <c r="TNE4" s="109"/>
      <c r="TNF4" s="109"/>
      <c r="TNG4" s="109"/>
      <c r="TNH4" s="109"/>
      <c r="TNI4" s="109"/>
      <c r="TNJ4" s="109"/>
      <c r="TNK4" s="109"/>
      <c r="TNL4" s="109"/>
      <c r="TNM4" s="109"/>
      <c r="TNN4" s="109"/>
      <c r="TNO4" s="109"/>
      <c r="TNP4" s="109"/>
      <c r="TNQ4" s="109"/>
      <c r="TNR4" s="109"/>
      <c r="TNS4" s="109"/>
      <c r="TNT4" s="109"/>
      <c r="TNU4" s="109"/>
      <c r="TNV4" s="109"/>
      <c r="TNW4" s="109"/>
      <c r="TNX4" s="109"/>
      <c r="TNY4" s="109"/>
      <c r="TNZ4" s="109"/>
      <c r="TOA4" s="109"/>
      <c r="TOB4" s="109"/>
      <c r="TOC4" s="109"/>
      <c r="TOD4" s="109"/>
      <c r="TOE4" s="109"/>
      <c r="TOF4" s="109"/>
      <c r="TOG4" s="109"/>
      <c r="TOH4" s="109"/>
      <c r="TOI4" s="109"/>
      <c r="TOJ4" s="109"/>
      <c r="TOK4" s="109"/>
      <c r="TOL4" s="109"/>
      <c r="TOM4" s="109"/>
      <c r="TON4" s="109"/>
      <c r="TOO4" s="109"/>
      <c r="TOP4" s="109"/>
      <c r="TOQ4" s="109"/>
      <c r="TOR4" s="109"/>
      <c r="TOS4" s="109"/>
      <c r="TOT4" s="109"/>
      <c r="TOU4" s="109"/>
      <c r="TOV4" s="109"/>
      <c r="TOW4" s="109"/>
      <c r="TOX4" s="109"/>
      <c r="TOY4" s="109"/>
      <c r="TOZ4" s="109"/>
      <c r="TPA4" s="109"/>
      <c r="TPB4" s="109"/>
      <c r="TPC4" s="109"/>
      <c r="TPD4" s="109"/>
      <c r="TPE4" s="109"/>
      <c r="TPF4" s="109"/>
      <c r="TPG4" s="109"/>
      <c r="TPH4" s="109"/>
      <c r="TPI4" s="109"/>
      <c r="TPJ4" s="109"/>
      <c r="TPK4" s="109"/>
      <c r="TPL4" s="109"/>
      <c r="TPM4" s="109"/>
      <c r="TPN4" s="109"/>
      <c r="TPO4" s="109"/>
      <c r="TPP4" s="109"/>
      <c r="TPQ4" s="109"/>
      <c r="TPR4" s="109"/>
      <c r="TPS4" s="109"/>
      <c r="TPT4" s="109"/>
      <c r="TPU4" s="109"/>
      <c r="TPV4" s="109"/>
      <c r="TPW4" s="109"/>
      <c r="TPX4" s="109"/>
      <c r="TPY4" s="109"/>
      <c r="TPZ4" s="109"/>
      <c r="TQA4" s="109"/>
      <c r="TQB4" s="109"/>
      <c r="TQC4" s="109"/>
      <c r="TQD4" s="109"/>
      <c r="TQE4" s="109"/>
      <c r="TQF4" s="109"/>
      <c r="TQG4" s="109"/>
      <c r="TQH4" s="109"/>
      <c r="TQI4" s="109"/>
      <c r="TQJ4" s="109"/>
      <c r="TQK4" s="109"/>
      <c r="TQL4" s="109"/>
      <c r="TQM4" s="109"/>
      <c r="TQN4" s="109"/>
      <c r="TQO4" s="109"/>
      <c r="TQP4" s="109"/>
      <c r="TQQ4" s="109"/>
      <c r="TQR4" s="109"/>
      <c r="TQS4" s="109"/>
      <c r="TQT4" s="109"/>
      <c r="TQU4" s="109"/>
      <c r="TQV4" s="109"/>
      <c r="TQW4" s="109"/>
      <c r="TQX4" s="109"/>
      <c r="TQY4" s="109"/>
      <c r="TQZ4" s="109"/>
      <c r="TRA4" s="109"/>
      <c r="TRB4" s="109"/>
      <c r="TRC4" s="109"/>
      <c r="TRD4" s="109"/>
      <c r="TRE4" s="109"/>
      <c r="TRF4" s="109"/>
      <c r="TRG4" s="109"/>
      <c r="TRH4" s="109"/>
      <c r="TRI4" s="109"/>
      <c r="TRJ4" s="109"/>
      <c r="TRK4" s="109"/>
      <c r="TRL4" s="109"/>
      <c r="TRM4" s="109"/>
      <c r="TRN4" s="109"/>
      <c r="TRO4" s="109"/>
      <c r="TRP4" s="109"/>
      <c r="TRQ4" s="109"/>
      <c r="TRR4" s="109"/>
      <c r="TRS4" s="109"/>
      <c r="TRT4" s="109"/>
      <c r="TRU4" s="109"/>
      <c r="TRV4" s="109"/>
      <c r="TRW4" s="109"/>
      <c r="TRX4" s="109"/>
      <c r="TRY4" s="109"/>
      <c r="TRZ4" s="109"/>
      <c r="TSA4" s="109"/>
      <c r="TSB4" s="109"/>
      <c r="TSC4" s="109"/>
      <c r="TSD4" s="109"/>
      <c r="TSE4" s="109"/>
      <c r="TSF4" s="109"/>
      <c r="TSG4" s="109"/>
      <c r="TSH4" s="109"/>
      <c r="TSI4" s="109"/>
      <c r="TSJ4" s="109"/>
      <c r="TSK4" s="109"/>
      <c r="TSL4" s="109"/>
      <c r="TSM4" s="109"/>
      <c r="TSN4" s="109"/>
      <c r="TSO4" s="109"/>
      <c r="TSP4" s="109"/>
      <c r="TSQ4" s="109"/>
      <c r="TSR4" s="109"/>
      <c r="TSS4" s="109"/>
      <c r="TST4" s="109"/>
      <c r="TSU4" s="109"/>
      <c r="TSV4" s="109"/>
      <c r="TSW4" s="109"/>
      <c r="TSX4" s="109"/>
      <c r="TSY4" s="109"/>
      <c r="TSZ4" s="109"/>
      <c r="TTA4" s="109"/>
      <c r="TTB4" s="109"/>
      <c r="TTC4" s="109"/>
      <c r="TTD4" s="109"/>
      <c r="TTE4" s="109"/>
      <c r="TTF4" s="109"/>
      <c r="TTG4" s="109"/>
      <c r="TTH4" s="109"/>
      <c r="TTI4" s="109"/>
      <c r="TTJ4" s="109"/>
      <c r="TTK4" s="109"/>
      <c r="TTL4" s="109"/>
      <c r="TTM4" s="109"/>
      <c r="TTN4" s="109"/>
      <c r="TTO4" s="109"/>
      <c r="TTP4" s="109"/>
      <c r="TTQ4" s="109"/>
      <c r="TTR4" s="109"/>
      <c r="TTS4" s="109"/>
      <c r="TTT4" s="109"/>
      <c r="TTU4" s="109"/>
      <c r="TTV4" s="109"/>
      <c r="TTW4" s="109"/>
      <c r="TTX4" s="109"/>
      <c r="TTY4" s="109"/>
      <c r="TTZ4" s="109"/>
      <c r="TUA4" s="109"/>
      <c r="TUB4" s="109"/>
      <c r="TUC4" s="109"/>
      <c r="TUD4" s="109"/>
      <c r="TUE4" s="109"/>
      <c r="TUF4" s="109"/>
      <c r="TUG4" s="109"/>
      <c r="TUH4" s="109"/>
      <c r="TUI4" s="109"/>
      <c r="TUJ4" s="109"/>
      <c r="TUK4" s="109"/>
      <c r="TUL4" s="109"/>
      <c r="TUM4" s="109"/>
      <c r="TUN4" s="109"/>
      <c r="TUO4" s="109"/>
      <c r="TUP4" s="109"/>
      <c r="TUQ4" s="109"/>
      <c r="TUR4" s="109"/>
      <c r="TUS4" s="109"/>
      <c r="TUT4" s="109"/>
      <c r="TUU4" s="109"/>
      <c r="TUV4" s="109"/>
      <c r="TUW4" s="109"/>
      <c r="TUX4" s="109"/>
      <c r="TUY4" s="109"/>
      <c r="TUZ4" s="109"/>
      <c r="TVA4" s="109"/>
      <c r="TVB4" s="109"/>
      <c r="TVC4" s="109"/>
      <c r="TVD4" s="109"/>
      <c r="TVE4" s="109"/>
      <c r="TVF4" s="109"/>
      <c r="TVG4" s="109"/>
      <c r="TVH4" s="109"/>
      <c r="TVI4" s="109"/>
      <c r="TVJ4" s="109"/>
      <c r="TVK4" s="109"/>
      <c r="TVL4" s="109"/>
      <c r="TVM4" s="109"/>
      <c r="TVN4" s="109"/>
      <c r="TVO4" s="109"/>
      <c r="TVP4" s="109"/>
      <c r="TVQ4" s="109"/>
      <c r="TVR4" s="109"/>
      <c r="TVS4" s="109"/>
      <c r="TVT4" s="109"/>
      <c r="TVU4" s="109"/>
      <c r="TVV4" s="109"/>
      <c r="TVW4" s="109"/>
      <c r="TVX4" s="109"/>
      <c r="TVY4" s="109"/>
      <c r="TVZ4" s="109"/>
      <c r="TWA4" s="109"/>
      <c r="TWB4" s="109"/>
      <c r="TWC4" s="109"/>
      <c r="TWD4" s="109"/>
      <c r="TWE4" s="109"/>
      <c r="TWF4" s="109"/>
      <c r="TWG4" s="109"/>
      <c r="TWH4" s="109"/>
      <c r="TWI4" s="109"/>
      <c r="TWJ4" s="109"/>
      <c r="TWK4" s="109"/>
      <c r="TWL4" s="109"/>
      <c r="TWM4" s="109"/>
      <c r="TWN4" s="109"/>
      <c r="TWO4" s="109"/>
      <c r="TWP4" s="109"/>
      <c r="TWQ4" s="109"/>
      <c r="TWR4" s="109"/>
      <c r="TWS4" s="109"/>
      <c r="TWT4" s="109"/>
      <c r="TWU4" s="109"/>
      <c r="TWV4" s="109"/>
      <c r="TWW4" s="109"/>
      <c r="TWX4" s="109"/>
      <c r="TWY4" s="109"/>
      <c r="TWZ4" s="109"/>
      <c r="TXA4" s="109"/>
      <c r="TXB4" s="109"/>
      <c r="TXC4" s="109"/>
      <c r="TXD4" s="109"/>
      <c r="TXE4" s="109"/>
      <c r="TXF4" s="109"/>
      <c r="TXG4" s="109"/>
      <c r="TXH4" s="109"/>
      <c r="TXI4" s="109"/>
      <c r="TXJ4" s="109"/>
      <c r="TXK4" s="109"/>
      <c r="TXL4" s="109"/>
      <c r="TXM4" s="109"/>
      <c r="TXN4" s="109"/>
      <c r="TXO4" s="109"/>
      <c r="TXP4" s="109"/>
      <c r="TXQ4" s="109"/>
      <c r="TXR4" s="109"/>
      <c r="TXS4" s="109"/>
      <c r="TXT4" s="109"/>
      <c r="TXU4" s="109"/>
      <c r="TXV4" s="109"/>
      <c r="TXW4" s="109"/>
      <c r="TXX4" s="109"/>
      <c r="TXY4" s="109"/>
      <c r="TXZ4" s="109"/>
      <c r="TYA4" s="109"/>
      <c r="TYB4" s="109"/>
      <c r="TYC4" s="109"/>
      <c r="TYD4" s="109"/>
      <c r="TYE4" s="109"/>
      <c r="TYF4" s="109"/>
      <c r="TYG4" s="109"/>
      <c r="TYH4" s="109"/>
      <c r="TYI4" s="109"/>
      <c r="TYJ4" s="109"/>
      <c r="TYK4" s="109"/>
      <c r="TYL4" s="109"/>
      <c r="TYM4" s="109"/>
      <c r="TYN4" s="109"/>
      <c r="TYO4" s="109"/>
      <c r="TYP4" s="109"/>
      <c r="TYQ4" s="109"/>
      <c r="TYR4" s="109"/>
      <c r="TYS4" s="109"/>
      <c r="TYT4" s="109"/>
      <c r="TYU4" s="109"/>
      <c r="TYV4" s="109"/>
      <c r="TYW4" s="109"/>
      <c r="TYX4" s="109"/>
      <c r="TYY4" s="109"/>
      <c r="TYZ4" s="109"/>
      <c r="TZA4" s="109"/>
      <c r="TZB4" s="109"/>
      <c r="TZC4" s="109"/>
      <c r="TZD4" s="109"/>
      <c r="TZE4" s="109"/>
      <c r="TZF4" s="109"/>
      <c r="TZG4" s="109"/>
      <c r="TZH4" s="109"/>
      <c r="TZI4" s="109"/>
      <c r="TZJ4" s="109"/>
      <c r="TZK4" s="109"/>
      <c r="TZL4" s="109"/>
      <c r="TZM4" s="109"/>
      <c r="TZN4" s="109"/>
      <c r="TZO4" s="109"/>
      <c r="TZP4" s="109"/>
      <c r="TZQ4" s="109"/>
      <c r="TZR4" s="109"/>
      <c r="TZS4" s="109"/>
      <c r="TZT4" s="109"/>
      <c r="TZU4" s="109"/>
      <c r="TZV4" s="109"/>
      <c r="TZW4" s="109"/>
      <c r="TZX4" s="109"/>
      <c r="TZY4" s="109"/>
      <c r="TZZ4" s="109"/>
      <c r="UAA4" s="109"/>
      <c r="UAB4" s="109"/>
      <c r="UAC4" s="109"/>
      <c r="UAD4" s="109"/>
      <c r="UAE4" s="109"/>
      <c r="UAF4" s="109"/>
      <c r="UAG4" s="109"/>
      <c r="UAH4" s="109"/>
      <c r="UAI4" s="109"/>
      <c r="UAJ4" s="109"/>
      <c r="UAK4" s="109"/>
      <c r="UAL4" s="109"/>
      <c r="UAM4" s="109"/>
      <c r="UAN4" s="109"/>
      <c r="UAO4" s="109"/>
      <c r="UAP4" s="109"/>
      <c r="UAQ4" s="109"/>
      <c r="UAR4" s="109"/>
      <c r="UAS4" s="109"/>
      <c r="UAT4" s="109"/>
      <c r="UAU4" s="109"/>
      <c r="UAV4" s="109"/>
      <c r="UAW4" s="109"/>
      <c r="UAX4" s="109"/>
      <c r="UAY4" s="109"/>
      <c r="UAZ4" s="109"/>
      <c r="UBA4" s="109"/>
      <c r="UBB4" s="109"/>
      <c r="UBC4" s="109"/>
      <c r="UBD4" s="109"/>
      <c r="UBE4" s="109"/>
      <c r="UBF4" s="109"/>
      <c r="UBG4" s="109"/>
      <c r="UBH4" s="109"/>
      <c r="UBI4" s="109"/>
      <c r="UBJ4" s="109"/>
      <c r="UBK4" s="109"/>
      <c r="UBL4" s="109"/>
      <c r="UBM4" s="109"/>
      <c r="UBN4" s="109"/>
      <c r="UBO4" s="109"/>
      <c r="UBP4" s="109"/>
      <c r="UBQ4" s="109"/>
      <c r="UBR4" s="109"/>
      <c r="UBS4" s="109"/>
      <c r="UBT4" s="109"/>
      <c r="UBU4" s="109"/>
      <c r="UBV4" s="109"/>
      <c r="UBW4" s="109"/>
      <c r="UBX4" s="109"/>
      <c r="UBY4" s="109"/>
      <c r="UBZ4" s="109"/>
      <c r="UCA4" s="109"/>
      <c r="UCB4" s="109"/>
      <c r="UCC4" s="109"/>
      <c r="UCD4" s="109"/>
      <c r="UCE4" s="109"/>
      <c r="UCF4" s="109"/>
      <c r="UCG4" s="109"/>
      <c r="UCH4" s="109"/>
      <c r="UCI4" s="109"/>
      <c r="UCJ4" s="109"/>
      <c r="UCK4" s="109"/>
      <c r="UCL4" s="109"/>
      <c r="UCM4" s="109"/>
      <c r="UCN4" s="109"/>
      <c r="UCO4" s="109"/>
      <c r="UCP4" s="109"/>
      <c r="UCQ4" s="109"/>
      <c r="UCR4" s="109"/>
      <c r="UCS4" s="109"/>
      <c r="UCT4" s="109"/>
      <c r="UCU4" s="109"/>
      <c r="UCV4" s="109"/>
      <c r="UCW4" s="109"/>
      <c r="UCX4" s="109"/>
      <c r="UCY4" s="109"/>
      <c r="UCZ4" s="109"/>
      <c r="UDA4" s="109"/>
      <c r="UDB4" s="109"/>
      <c r="UDC4" s="109"/>
      <c r="UDD4" s="109"/>
      <c r="UDE4" s="109"/>
      <c r="UDF4" s="109"/>
      <c r="UDG4" s="109"/>
      <c r="UDH4" s="109"/>
      <c r="UDI4" s="109"/>
      <c r="UDJ4" s="109"/>
      <c r="UDK4" s="109"/>
      <c r="UDL4" s="109"/>
      <c r="UDM4" s="109"/>
      <c r="UDN4" s="109"/>
      <c r="UDO4" s="109"/>
      <c r="UDP4" s="109"/>
      <c r="UDQ4" s="109"/>
      <c r="UDR4" s="109"/>
      <c r="UDS4" s="109"/>
      <c r="UDT4" s="109"/>
      <c r="UDU4" s="109"/>
      <c r="UDV4" s="109"/>
      <c r="UDW4" s="109"/>
      <c r="UDX4" s="109"/>
      <c r="UDY4" s="109"/>
      <c r="UDZ4" s="109"/>
      <c r="UEA4" s="109"/>
      <c r="UEB4" s="109"/>
      <c r="UEC4" s="109"/>
      <c r="UED4" s="109"/>
      <c r="UEE4" s="109"/>
      <c r="UEF4" s="109"/>
      <c r="UEG4" s="109"/>
      <c r="UEH4" s="109"/>
      <c r="UEI4" s="109"/>
      <c r="UEJ4" s="109"/>
      <c r="UEK4" s="109"/>
      <c r="UEL4" s="109"/>
      <c r="UEM4" s="109"/>
      <c r="UEN4" s="109"/>
      <c r="UEO4" s="109"/>
      <c r="UEP4" s="109"/>
      <c r="UEQ4" s="109"/>
      <c r="UER4" s="109"/>
      <c r="UES4" s="109"/>
      <c r="UET4" s="109"/>
      <c r="UEU4" s="109"/>
      <c r="UEV4" s="109"/>
      <c r="UEW4" s="109"/>
      <c r="UEX4" s="109"/>
      <c r="UEY4" s="109"/>
      <c r="UEZ4" s="109"/>
      <c r="UFA4" s="109"/>
      <c r="UFB4" s="109"/>
      <c r="UFC4" s="109"/>
      <c r="UFD4" s="109"/>
      <c r="UFE4" s="109"/>
      <c r="UFF4" s="109"/>
      <c r="UFG4" s="109"/>
      <c r="UFH4" s="109"/>
      <c r="UFI4" s="109"/>
      <c r="UFJ4" s="109"/>
      <c r="UFK4" s="109"/>
      <c r="UFL4" s="109"/>
      <c r="UFM4" s="109"/>
      <c r="UFN4" s="109"/>
      <c r="UFO4" s="109"/>
      <c r="UFP4" s="109"/>
      <c r="UFQ4" s="109"/>
      <c r="UFR4" s="109"/>
      <c r="UFS4" s="109"/>
      <c r="UFT4" s="109"/>
      <c r="UFU4" s="109"/>
      <c r="UFV4" s="109"/>
      <c r="UFW4" s="109"/>
      <c r="UFX4" s="109"/>
      <c r="UFY4" s="109"/>
      <c r="UFZ4" s="109"/>
      <c r="UGA4" s="109"/>
      <c r="UGB4" s="109"/>
      <c r="UGC4" s="109"/>
      <c r="UGD4" s="109"/>
      <c r="UGE4" s="109"/>
      <c r="UGF4" s="109"/>
      <c r="UGG4" s="109"/>
      <c r="UGH4" s="109"/>
      <c r="UGI4" s="109"/>
      <c r="UGJ4" s="109"/>
      <c r="UGK4" s="109"/>
      <c r="UGL4" s="109"/>
      <c r="UGM4" s="109"/>
      <c r="UGN4" s="109"/>
      <c r="UGO4" s="109"/>
      <c r="UGP4" s="109"/>
      <c r="UGQ4" s="109"/>
      <c r="UGR4" s="109"/>
      <c r="UGS4" s="109"/>
      <c r="UGT4" s="109"/>
      <c r="UGU4" s="109"/>
      <c r="UGV4" s="109"/>
      <c r="UGW4" s="109"/>
      <c r="UGX4" s="109"/>
      <c r="UGY4" s="109"/>
      <c r="UGZ4" s="109"/>
      <c r="UHA4" s="109"/>
      <c r="UHB4" s="109"/>
      <c r="UHC4" s="109"/>
      <c r="UHD4" s="109"/>
      <c r="UHE4" s="109"/>
      <c r="UHF4" s="109"/>
      <c r="UHG4" s="109"/>
      <c r="UHH4" s="109"/>
      <c r="UHI4" s="109"/>
      <c r="UHJ4" s="109"/>
      <c r="UHK4" s="109"/>
      <c r="UHL4" s="109"/>
      <c r="UHM4" s="109"/>
      <c r="UHN4" s="109"/>
      <c r="UHO4" s="109"/>
      <c r="UHP4" s="109"/>
      <c r="UHQ4" s="109"/>
      <c r="UHR4" s="109"/>
      <c r="UHS4" s="109"/>
      <c r="UHT4" s="109"/>
      <c r="UHU4" s="109"/>
      <c r="UHV4" s="109"/>
      <c r="UHW4" s="109"/>
      <c r="UHX4" s="109"/>
      <c r="UHY4" s="109"/>
      <c r="UHZ4" s="109"/>
      <c r="UIA4" s="109"/>
      <c r="UIB4" s="109"/>
      <c r="UIC4" s="109"/>
      <c r="UID4" s="109"/>
      <c r="UIE4" s="109"/>
      <c r="UIF4" s="109"/>
      <c r="UIG4" s="109"/>
      <c r="UIH4" s="109"/>
      <c r="UII4" s="109"/>
      <c r="UIJ4" s="109"/>
      <c r="UIK4" s="109"/>
      <c r="UIL4" s="109"/>
      <c r="UIM4" s="109"/>
      <c r="UIN4" s="109"/>
      <c r="UIO4" s="109"/>
      <c r="UIP4" s="109"/>
      <c r="UIQ4" s="109"/>
      <c r="UIR4" s="109"/>
      <c r="UIS4" s="109"/>
      <c r="UIT4" s="109"/>
      <c r="UIU4" s="109"/>
      <c r="UIV4" s="109"/>
      <c r="UIW4" s="109"/>
      <c r="UIX4" s="109"/>
      <c r="UIY4" s="109"/>
      <c r="UIZ4" s="109"/>
      <c r="UJA4" s="109"/>
      <c r="UJB4" s="109"/>
      <c r="UJC4" s="109"/>
      <c r="UJD4" s="109"/>
      <c r="UJE4" s="109"/>
      <c r="UJF4" s="109"/>
      <c r="UJG4" s="109"/>
      <c r="UJH4" s="109"/>
      <c r="UJI4" s="109"/>
      <c r="UJJ4" s="109"/>
      <c r="UJK4" s="109"/>
      <c r="UJL4" s="109"/>
      <c r="UJM4" s="109"/>
      <c r="UJN4" s="109"/>
      <c r="UJO4" s="109"/>
      <c r="UJP4" s="109"/>
      <c r="UJQ4" s="109"/>
      <c r="UJR4" s="109"/>
      <c r="UJS4" s="109"/>
      <c r="UJT4" s="109"/>
      <c r="UJU4" s="109"/>
      <c r="UJV4" s="109"/>
      <c r="UJW4" s="109"/>
      <c r="UJX4" s="109"/>
      <c r="UJY4" s="109"/>
      <c r="UJZ4" s="109"/>
      <c r="UKA4" s="109"/>
      <c r="UKB4" s="109"/>
      <c r="UKC4" s="109"/>
      <c r="UKD4" s="109"/>
      <c r="UKE4" s="109"/>
      <c r="UKF4" s="109"/>
      <c r="UKG4" s="109"/>
      <c r="UKH4" s="109"/>
      <c r="UKI4" s="109"/>
      <c r="UKJ4" s="109"/>
      <c r="UKK4" s="109"/>
      <c r="UKL4" s="109"/>
      <c r="UKM4" s="109"/>
      <c r="UKN4" s="109"/>
      <c r="UKO4" s="109"/>
      <c r="UKP4" s="109"/>
      <c r="UKQ4" s="109"/>
      <c r="UKR4" s="109"/>
      <c r="UKS4" s="109"/>
      <c r="UKT4" s="109"/>
      <c r="UKU4" s="109"/>
      <c r="UKV4" s="109"/>
      <c r="UKW4" s="109"/>
      <c r="UKX4" s="109"/>
      <c r="UKY4" s="109"/>
      <c r="UKZ4" s="109"/>
      <c r="ULA4" s="109"/>
      <c r="ULB4" s="109"/>
      <c r="ULC4" s="109"/>
      <c r="ULD4" s="109"/>
      <c r="ULE4" s="109"/>
      <c r="ULF4" s="109"/>
      <c r="ULG4" s="109"/>
      <c r="ULH4" s="109"/>
      <c r="ULI4" s="109"/>
      <c r="ULJ4" s="109"/>
      <c r="ULK4" s="109"/>
      <c r="ULL4" s="109"/>
      <c r="ULM4" s="109"/>
      <c r="ULN4" s="109"/>
      <c r="ULO4" s="109"/>
      <c r="ULP4" s="109"/>
      <c r="ULQ4" s="109"/>
      <c r="ULR4" s="109"/>
      <c r="ULS4" s="109"/>
      <c r="ULT4" s="109"/>
      <c r="ULU4" s="109"/>
      <c r="ULV4" s="109"/>
      <c r="ULW4" s="109"/>
      <c r="ULX4" s="109"/>
      <c r="ULY4" s="109"/>
      <c r="ULZ4" s="109"/>
      <c r="UMA4" s="109"/>
      <c r="UMB4" s="109"/>
      <c r="UMC4" s="109"/>
      <c r="UMD4" s="109"/>
      <c r="UME4" s="109"/>
      <c r="UMF4" s="109"/>
      <c r="UMG4" s="109"/>
      <c r="UMH4" s="109"/>
      <c r="UMI4" s="109"/>
      <c r="UMJ4" s="109"/>
      <c r="UMK4" s="109"/>
      <c r="UML4" s="109"/>
      <c r="UMM4" s="109"/>
      <c r="UMN4" s="109"/>
      <c r="UMO4" s="109"/>
      <c r="UMP4" s="109"/>
      <c r="UMQ4" s="109"/>
      <c r="UMR4" s="109"/>
      <c r="UMS4" s="109"/>
      <c r="UMT4" s="109"/>
      <c r="UMU4" s="109"/>
      <c r="UMV4" s="109"/>
      <c r="UMW4" s="109"/>
      <c r="UMX4" s="109"/>
      <c r="UMY4" s="109"/>
      <c r="UMZ4" s="109"/>
      <c r="UNA4" s="109"/>
      <c r="UNB4" s="109"/>
      <c r="UNC4" s="109"/>
      <c r="UND4" s="109"/>
      <c r="UNE4" s="109"/>
      <c r="UNF4" s="109"/>
      <c r="UNG4" s="109"/>
      <c r="UNH4" s="109"/>
      <c r="UNI4" s="109"/>
      <c r="UNJ4" s="109"/>
      <c r="UNK4" s="109"/>
      <c r="UNL4" s="109"/>
      <c r="UNM4" s="109"/>
      <c r="UNN4" s="109"/>
      <c r="UNO4" s="109"/>
      <c r="UNP4" s="109"/>
      <c r="UNQ4" s="109"/>
      <c r="UNR4" s="109"/>
      <c r="UNS4" s="109"/>
      <c r="UNT4" s="109"/>
      <c r="UNU4" s="109"/>
      <c r="UNV4" s="109"/>
      <c r="UNW4" s="109"/>
      <c r="UNX4" s="109"/>
      <c r="UNY4" s="109"/>
      <c r="UNZ4" s="109"/>
      <c r="UOA4" s="109"/>
      <c r="UOB4" s="109"/>
      <c r="UOC4" s="109"/>
      <c r="UOD4" s="109"/>
      <c r="UOE4" s="109"/>
      <c r="UOF4" s="109"/>
      <c r="UOG4" s="109"/>
      <c r="UOH4" s="109"/>
      <c r="UOI4" s="109"/>
      <c r="UOJ4" s="109"/>
      <c r="UOK4" s="109"/>
      <c r="UOL4" s="109"/>
      <c r="UOM4" s="109"/>
      <c r="UON4" s="109"/>
      <c r="UOO4" s="109"/>
      <c r="UOP4" s="109"/>
      <c r="UOQ4" s="109"/>
      <c r="UOR4" s="109"/>
      <c r="UOS4" s="109"/>
      <c r="UOT4" s="109"/>
      <c r="UOU4" s="109"/>
      <c r="UOV4" s="109"/>
      <c r="UOW4" s="109"/>
      <c r="UOX4" s="109"/>
      <c r="UOY4" s="109"/>
      <c r="UOZ4" s="109"/>
      <c r="UPA4" s="109"/>
      <c r="UPB4" s="109"/>
      <c r="UPC4" s="109"/>
      <c r="UPD4" s="109"/>
      <c r="UPE4" s="109"/>
      <c r="UPF4" s="109"/>
      <c r="UPG4" s="109"/>
      <c r="UPH4" s="109"/>
      <c r="UPI4" s="109"/>
      <c r="UPJ4" s="109"/>
      <c r="UPK4" s="109"/>
      <c r="UPL4" s="109"/>
      <c r="UPM4" s="109"/>
      <c r="UPN4" s="109"/>
      <c r="UPO4" s="109"/>
      <c r="UPP4" s="109"/>
      <c r="UPQ4" s="109"/>
      <c r="UPR4" s="109"/>
      <c r="UPS4" s="109"/>
      <c r="UPT4" s="109"/>
      <c r="UPU4" s="109"/>
      <c r="UPV4" s="109"/>
      <c r="UPW4" s="109"/>
      <c r="UPX4" s="109"/>
      <c r="UPY4" s="109"/>
      <c r="UPZ4" s="109"/>
      <c r="UQA4" s="109"/>
      <c r="UQB4" s="109"/>
      <c r="UQC4" s="109"/>
      <c r="UQD4" s="109"/>
      <c r="UQE4" s="109"/>
      <c r="UQF4" s="109"/>
      <c r="UQG4" s="109"/>
      <c r="UQH4" s="109"/>
      <c r="UQI4" s="109"/>
      <c r="UQJ4" s="109"/>
      <c r="UQK4" s="109"/>
      <c r="UQL4" s="109"/>
      <c r="UQM4" s="109"/>
      <c r="UQN4" s="109"/>
      <c r="UQO4" s="109"/>
      <c r="UQP4" s="109"/>
      <c r="UQQ4" s="109"/>
      <c r="UQR4" s="109"/>
      <c r="UQS4" s="109"/>
      <c r="UQT4" s="109"/>
      <c r="UQU4" s="109"/>
      <c r="UQV4" s="109"/>
      <c r="UQW4" s="109"/>
      <c r="UQX4" s="109"/>
      <c r="UQY4" s="109"/>
      <c r="UQZ4" s="109"/>
      <c r="URA4" s="109"/>
      <c r="URB4" s="109"/>
      <c r="URC4" s="109"/>
      <c r="URD4" s="109"/>
      <c r="URE4" s="109"/>
      <c r="URF4" s="109"/>
      <c r="URG4" s="109"/>
      <c r="URH4" s="109"/>
      <c r="URI4" s="109"/>
      <c r="URJ4" s="109"/>
      <c r="URK4" s="109"/>
      <c r="URL4" s="109"/>
      <c r="URM4" s="109"/>
      <c r="URN4" s="109"/>
      <c r="URO4" s="109"/>
      <c r="URP4" s="109"/>
      <c r="URQ4" s="109"/>
      <c r="URR4" s="109"/>
      <c r="URS4" s="109"/>
      <c r="URT4" s="109"/>
      <c r="URU4" s="109"/>
      <c r="URV4" s="109"/>
      <c r="URW4" s="109"/>
      <c r="URX4" s="109"/>
      <c r="URY4" s="109"/>
      <c r="URZ4" s="109"/>
      <c r="USA4" s="109"/>
      <c r="USB4" s="109"/>
      <c r="USC4" s="109"/>
      <c r="USD4" s="109"/>
      <c r="USE4" s="109"/>
      <c r="USF4" s="109"/>
      <c r="USG4" s="109"/>
      <c r="USH4" s="109"/>
      <c r="USI4" s="109"/>
      <c r="USJ4" s="109"/>
      <c r="USK4" s="109"/>
      <c r="USL4" s="109"/>
      <c r="USM4" s="109"/>
      <c r="USN4" s="109"/>
      <c r="USO4" s="109"/>
      <c r="USP4" s="109"/>
      <c r="USQ4" s="109"/>
      <c r="USR4" s="109"/>
      <c r="USS4" s="109"/>
      <c r="UST4" s="109"/>
      <c r="USU4" s="109"/>
      <c r="USV4" s="109"/>
      <c r="USW4" s="109"/>
      <c r="USX4" s="109"/>
      <c r="USY4" s="109"/>
      <c r="USZ4" s="109"/>
      <c r="UTA4" s="109"/>
      <c r="UTB4" s="109"/>
      <c r="UTC4" s="109"/>
      <c r="UTD4" s="109"/>
      <c r="UTE4" s="109"/>
      <c r="UTF4" s="109"/>
      <c r="UTG4" s="109"/>
      <c r="UTH4" s="109"/>
      <c r="UTI4" s="109"/>
      <c r="UTJ4" s="109"/>
      <c r="UTK4" s="109"/>
      <c r="UTL4" s="109"/>
      <c r="UTM4" s="109"/>
      <c r="UTN4" s="109"/>
      <c r="UTO4" s="109"/>
      <c r="UTP4" s="109"/>
      <c r="UTQ4" s="109"/>
      <c r="UTR4" s="109"/>
      <c r="UTS4" s="109"/>
      <c r="UTT4" s="109"/>
      <c r="UTU4" s="109"/>
      <c r="UTV4" s="109"/>
      <c r="UTW4" s="109"/>
      <c r="UTX4" s="109"/>
      <c r="UTY4" s="109"/>
      <c r="UTZ4" s="109"/>
      <c r="UUA4" s="109"/>
      <c r="UUB4" s="109"/>
      <c r="UUC4" s="109"/>
      <c r="UUD4" s="109"/>
      <c r="UUE4" s="109"/>
      <c r="UUF4" s="109"/>
      <c r="UUG4" s="109"/>
      <c r="UUH4" s="109"/>
      <c r="UUI4" s="109"/>
      <c r="UUJ4" s="109"/>
      <c r="UUK4" s="109"/>
      <c r="UUL4" s="109"/>
      <c r="UUM4" s="109"/>
      <c r="UUN4" s="109"/>
      <c r="UUO4" s="109"/>
      <c r="UUP4" s="109"/>
      <c r="UUQ4" s="109"/>
      <c r="UUR4" s="109"/>
      <c r="UUS4" s="109"/>
      <c r="UUT4" s="109"/>
      <c r="UUU4" s="109"/>
      <c r="UUV4" s="109"/>
      <c r="UUW4" s="109"/>
      <c r="UUX4" s="109"/>
      <c r="UUY4" s="109"/>
      <c r="UUZ4" s="109"/>
      <c r="UVA4" s="109"/>
      <c r="UVB4" s="109"/>
      <c r="UVC4" s="109"/>
      <c r="UVD4" s="109"/>
      <c r="UVE4" s="109"/>
      <c r="UVF4" s="109"/>
      <c r="UVG4" s="109"/>
      <c r="UVH4" s="109"/>
      <c r="UVI4" s="109"/>
      <c r="UVJ4" s="109"/>
      <c r="UVK4" s="109"/>
      <c r="UVL4" s="109"/>
      <c r="UVM4" s="109"/>
      <c r="UVN4" s="109"/>
      <c r="UVO4" s="109"/>
      <c r="UVP4" s="109"/>
      <c r="UVQ4" s="109"/>
      <c r="UVR4" s="109"/>
      <c r="UVS4" s="109"/>
      <c r="UVT4" s="109"/>
      <c r="UVU4" s="109"/>
      <c r="UVV4" s="109"/>
      <c r="UVW4" s="109"/>
      <c r="UVX4" s="109"/>
      <c r="UVY4" s="109"/>
      <c r="UVZ4" s="109"/>
      <c r="UWA4" s="109"/>
      <c r="UWB4" s="109"/>
      <c r="UWC4" s="109"/>
      <c r="UWD4" s="109"/>
      <c r="UWE4" s="109"/>
      <c r="UWF4" s="109"/>
      <c r="UWG4" s="109"/>
      <c r="UWH4" s="109"/>
      <c r="UWI4" s="109"/>
      <c r="UWJ4" s="109"/>
      <c r="UWK4" s="109"/>
      <c r="UWL4" s="109"/>
      <c r="UWM4" s="109"/>
      <c r="UWN4" s="109"/>
      <c r="UWO4" s="109"/>
      <c r="UWP4" s="109"/>
      <c r="UWQ4" s="109"/>
      <c r="UWR4" s="109"/>
      <c r="UWS4" s="109"/>
      <c r="UWT4" s="109"/>
      <c r="UWU4" s="109"/>
      <c r="UWV4" s="109"/>
      <c r="UWW4" s="109"/>
      <c r="UWX4" s="109"/>
      <c r="UWY4" s="109"/>
      <c r="UWZ4" s="109"/>
      <c r="UXA4" s="109"/>
      <c r="UXB4" s="109"/>
      <c r="UXC4" s="109"/>
      <c r="UXD4" s="109"/>
      <c r="UXE4" s="109"/>
      <c r="UXF4" s="109"/>
      <c r="UXG4" s="109"/>
      <c r="UXH4" s="109"/>
      <c r="UXI4" s="109"/>
      <c r="UXJ4" s="109"/>
      <c r="UXK4" s="109"/>
      <c r="UXL4" s="109"/>
      <c r="UXM4" s="109"/>
      <c r="UXN4" s="109"/>
      <c r="UXO4" s="109"/>
      <c r="UXP4" s="109"/>
      <c r="UXQ4" s="109"/>
      <c r="UXR4" s="109"/>
      <c r="UXS4" s="109"/>
      <c r="UXT4" s="109"/>
      <c r="UXU4" s="109"/>
      <c r="UXV4" s="109"/>
      <c r="UXW4" s="109"/>
      <c r="UXX4" s="109"/>
      <c r="UXY4" s="109"/>
      <c r="UXZ4" s="109"/>
      <c r="UYA4" s="109"/>
      <c r="UYB4" s="109"/>
      <c r="UYC4" s="109"/>
      <c r="UYD4" s="109"/>
      <c r="UYE4" s="109"/>
      <c r="UYF4" s="109"/>
      <c r="UYG4" s="109"/>
      <c r="UYH4" s="109"/>
      <c r="UYI4" s="109"/>
      <c r="UYJ4" s="109"/>
      <c r="UYK4" s="109"/>
      <c r="UYL4" s="109"/>
      <c r="UYM4" s="109"/>
      <c r="UYN4" s="109"/>
      <c r="UYO4" s="109"/>
      <c r="UYP4" s="109"/>
      <c r="UYQ4" s="109"/>
      <c r="UYR4" s="109"/>
      <c r="UYS4" s="109"/>
      <c r="UYT4" s="109"/>
      <c r="UYU4" s="109"/>
      <c r="UYV4" s="109"/>
      <c r="UYW4" s="109"/>
      <c r="UYX4" s="109"/>
      <c r="UYY4" s="109"/>
      <c r="UYZ4" s="109"/>
      <c r="UZA4" s="109"/>
      <c r="UZB4" s="109"/>
      <c r="UZC4" s="109"/>
      <c r="UZD4" s="109"/>
      <c r="UZE4" s="109"/>
      <c r="UZF4" s="109"/>
      <c r="UZG4" s="109"/>
      <c r="UZH4" s="109"/>
      <c r="UZI4" s="109"/>
      <c r="UZJ4" s="109"/>
      <c r="UZK4" s="109"/>
      <c r="UZL4" s="109"/>
      <c r="UZM4" s="109"/>
      <c r="UZN4" s="109"/>
      <c r="UZO4" s="109"/>
      <c r="UZP4" s="109"/>
      <c r="UZQ4" s="109"/>
      <c r="UZR4" s="109"/>
      <c r="UZS4" s="109"/>
      <c r="UZT4" s="109"/>
      <c r="UZU4" s="109"/>
      <c r="UZV4" s="109"/>
      <c r="UZW4" s="109"/>
      <c r="UZX4" s="109"/>
      <c r="UZY4" s="109"/>
      <c r="UZZ4" s="109"/>
      <c r="VAA4" s="109"/>
      <c r="VAB4" s="109"/>
      <c r="VAC4" s="109"/>
      <c r="VAD4" s="109"/>
      <c r="VAE4" s="109"/>
      <c r="VAF4" s="109"/>
      <c r="VAG4" s="109"/>
      <c r="VAH4" s="109"/>
      <c r="VAI4" s="109"/>
      <c r="VAJ4" s="109"/>
      <c r="VAK4" s="109"/>
      <c r="VAL4" s="109"/>
      <c r="VAM4" s="109"/>
      <c r="VAN4" s="109"/>
      <c r="VAO4" s="109"/>
      <c r="VAP4" s="109"/>
      <c r="VAQ4" s="109"/>
      <c r="VAR4" s="109"/>
      <c r="VAS4" s="109"/>
      <c r="VAT4" s="109"/>
      <c r="VAU4" s="109"/>
      <c r="VAV4" s="109"/>
      <c r="VAW4" s="109"/>
      <c r="VAX4" s="109"/>
      <c r="VAY4" s="109"/>
      <c r="VAZ4" s="109"/>
      <c r="VBA4" s="109"/>
      <c r="VBB4" s="109"/>
      <c r="VBC4" s="109"/>
      <c r="VBD4" s="109"/>
      <c r="VBE4" s="109"/>
      <c r="VBF4" s="109"/>
      <c r="VBG4" s="109"/>
      <c r="VBH4" s="109"/>
      <c r="VBI4" s="109"/>
      <c r="VBJ4" s="109"/>
      <c r="VBK4" s="109"/>
      <c r="VBL4" s="109"/>
      <c r="VBM4" s="109"/>
      <c r="VBN4" s="109"/>
      <c r="VBO4" s="109"/>
      <c r="VBP4" s="109"/>
      <c r="VBQ4" s="109"/>
      <c r="VBR4" s="109"/>
      <c r="VBS4" s="109"/>
      <c r="VBT4" s="109"/>
      <c r="VBU4" s="109"/>
      <c r="VBV4" s="109"/>
      <c r="VBW4" s="109"/>
      <c r="VBX4" s="109"/>
      <c r="VBY4" s="109"/>
      <c r="VBZ4" s="109"/>
      <c r="VCA4" s="109"/>
      <c r="VCB4" s="109"/>
      <c r="VCC4" s="109"/>
      <c r="VCD4" s="109"/>
      <c r="VCE4" s="109"/>
      <c r="VCF4" s="109"/>
      <c r="VCG4" s="109"/>
      <c r="VCH4" s="109"/>
      <c r="VCI4" s="109"/>
      <c r="VCJ4" s="109"/>
      <c r="VCK4" s="109"/>
      <c r="VCL4" s="109"/>
      <c r="VCM4" s="109"/>
      <c r="VCN4" s="109"/>
      <c r="VCO4" s="109"/>
      <c r="VCP4" s="109"/>
      <c r="VCQ4" s="109"/>
      <c r="VCR4" s="109"/>
      <c r="VCS4" s="109"/>
      <c r="VCT4" s="109"/>
      <c r="VCU4" s="109"/>
      <c r="VCV4" s="109"/>
      <c r="VCW4" s="109"/>
      <c r="VCX4" s="109"/>
      <c r="VCY4" s="109"/>
      <c r="VCZ4" s="109"/>
      <c r="VDA4" s="109"/>
      <c r="VDB4" s="109"/>
      <c r="VDC4" s="109"/>
      <c r="VDD4" s="109"/>
      <c r="VDE4" s="109"/>
      <c r="VDF4" s="109"/>
      <c r="VDG4" s="109"/>
      <c r="VDH4" s="109"/>
      <c r="VDI4" s="109"/>
      <c r="VDJ4" s="109"/>
      <c r="VDK4" s="109"/>
      <c r="VDL4" s="109"/>
      <c r="VDM4" s="109"/>
      <c r="VDN4" s="109"/>
      <c r="VDO4" s="109"/>
      <c r="VDP4" s="109"/>
      <c r="VDQ4" s="109"/>
      <c r="VDR4" s="109"/>
      <c r="VDS4" s="109"/>
      <c r="VDT4" s="109"/>
      <c r="VDU4" s="109"/>
      <c r="VDV4" s="109"/>
      <c r="VDW4" s="109"/>
      <c r="VDX4" s="109"/>
      <c r="VDY4" s="109"/>
      <c r="VDZ4" s="109"/>
      <c r="VEA4" s="109"/>
      <c r="VEB4" s="109"/>
      <c r="VEC4" s="109"/>
      <c r="VED4" s="109"/>
      <c r="VEE4" s="109"/>
      <c r="VEF4" s="109"/>
      <c r="VEG4" s="109"/>
      <c r="VEH4" s="109"/>
      <c r="VEI4" s="109"/>
      <c r="VEJ4" s="109"/>
      <c r="VEK4" s="109"/>
      <c r="VEL4" s="109"/>
      <c r="VEM4" s="109"/>
      <c r="VEN4" s="109"/>
      <c r="VEO4" s="109"/>
      <c r="VEP4" s="109"/>
      <c r="VEQ4" s="109"/>
      <c r="VER4" s="109"/>
      <c r="VES4" s="109"/>
      <c r="VET4" s="109"/>
      <c r="VEU4" s="109"/>
      <c r="VEV4" s="109"/>
      <c r="VEW4" s="109"/>
      <c r="VEX4" s="109"/>
      <c r="VEY4" s="109"/>
      <c r="VEZ4" s="109"/>
      <c r="VFA4" s="109"/>
      <c r="VFB4" s="109"/>
      <c r="VFC4" s="109"/>
      <c r="VFD4" s="109"/>
      <c r="VFE4" s="109"/>
      <c r="VFF4" s="109"/>
      <c r="VFG4" s="109"/>
      <c r="VFH4" s="109"/>
      <c r="VFI4" s="109"/>
      <c r="VFJ4" s="109"/>
      <c r="VFK4" s="109"/>
      <c r="VFL4" s="109"/>
      <c r="VFM4" s="109"/>
      <c r="VFN4" s="109"/>
      <c r="VFO4" s="109"/>
      <c r="VFP4" s="109"/>
      <c r="VFQ4" s="109"/>
      <c r="VFR4" s="109"/>
      <c r="VFS4" s="109"/>
      <c r="VFT4" s="109"/>
      <c r="VFU4" s="109"/>
      <c r="VFV4" s="109"/>
      <c r="VFW4" s="109"/>
      <c r="VFX4" s="109"/>
      <c r="VFY4" s="109"/>
      <c r="VFZ4" s="109"/>
      <c r="VGA4" s="109"/>
      <c r="VGB4" s="109"/>
      <c r="VGC4" s="109"/>
      <c r="VGD4" s="109"/>
      <c r="VGE4" s="109"/>
      <c r="VGF4" s="109"/>
      <c r="VGG4" s="109"/>
      <c r="VGH4" s="109"/>
      <c r="VGI4" s="109"/>
      <c r="VGJ4" s="109"/>
      <c r="VGK4" s="109"/>
      <c r="VGL4" s="109"/>
      <c r="VGM4" s="109"/>
      <c r="VGN4" s="109"/>
      <c r="VGO4" s="109"/>
      <c r="VGP4" s="109"/>
      <c r="VGQ4" s="109"/>
      <c r="VGR4" s="109"/>
      <c r="VGS4" s="109"/>
      <c r="VGT4" s="109"/>
      <c r="VGU4" s="109"/>
      <c r="VGV4" s="109"/>
      <c r="VGW4" s="109"/>
      <c r="VGX4" s="109"/>
      <c r="VGY4" s="109"/>
      <c r="VGZ4" s="109"/>
      <c r="VHA4" s="109"/>
      <c r="VHB4" s="109"/>
      <c r="VHC4" s="109"/>
      <c r="VHD4" s="109"/>
      <c r="VHE4" s="109"/>
      <c r="VHF4" s="109"/>
      <c r="VHG4" s="109"/>
      <c r="VHH4" s="109"/>
      <c r="VHI4" s="109"/>
      <c r="VHJ4" s="109"/>
      <c r="VHK4" s="109"/>
      <c r="VHL4" s="109"/>
      <c r="VHM4" s="109"/>
      <c r="VHN4" s="109"/>
      <c r="VHO4" s="109"/>
      <c r="VHP4" s="109"/>
      <c r="VHQ4" s="109"/>
      <c r="VHR4" s="109"/>
      <c r="VHS4" s="109"/>
      <c r="VHT4" s="109"/>
      <c r="VHU4" s="109"/>
      <c r="VHV4" s="109"/>
      <c r="VHW4" s="109"/>
      <c r="VHX4" s="109"/>
      <c r="VHY4" s="109"/>
      <c r="VHZ4" s="109"/>
      <c r="VIA4" s="109"/>
      <c r="VIB4" s="109"/>
      <c r="VIC4" s="109"/>
      <c r="VID4" s="109"/>
      <c r="VIE4" s="109"/>
      <c r="VIF4" s="109"/>
      <c r="VIG4" s="109"/>
      <c r="VIH4" s="109"/>
      <c r="VII4" s="109"/>
      <c r="VIJ4" s="109"/>
      <c r="VIK4" s="109"/>
      <c r="VIL4" s="109"/>
      <c r="VIM4" s="109"/>
      <c r="VIN4" s="109"/>
      <c r="VIO4" s="109"/>
      <c r="VIP4" s="109"/>
      <c r="VIQ4" s="109"/>
      <c r="VIR4" s="109"/>
      <c r="VIS4" s="109"/>
      <c r="VIT4" s="109"/>
      <c r="VIU4" s="109"/>
      <c r="VIV4" s="109"/>
      <c r="VIW4" s="109"/>
      <c r="VIX4" s="109"/>
      <c r="VIY4" s="109"/>
      <c r="VIZ4" s="109"/>
      <c r="VJA4" s="109"/>
      <c r="VJB4" s="109"/>
      <c r="VJC4" s="109"/>
      <c r="VJD4" s="109"/>
      <c r="VJE4" s="109"/>
      <c r="VJF4" s="109"/>
      <c r="VJG4" s="109"/>
      <c r="VJH4" s="109"/>
      <c r="VJI4" s="109"/>
      <c r="VJJ4" s="109"/>
      <c r="VJK4" s="109"/>
      <c r="VJL4" s="109"/>
      <c r="VJM4" s="109"/>
      <c r="VJN4" s="109"/>
      <c r="VJO4" s="109"/>
      <c r="VJP4" s="109"/>
      <c r="VJQ4" s="109"/>
      <c r="VJR4" s="109"/>
      <c r="VJS4" s="109"/>
      <c r="VJT4" s="109"/>
      <c r="VJU4" s="109"/>
      <c r="VJV4" s="109"/>
      <c r="VJW4" s="109"/>
      <c r="VJX4" s="109"/>
      <c r="VJY4" s="109"/>
      <c r="VJZ4" s="109"/>
      <c r="VKA4" s="109"/>
      <c r="VKB4" s="109"/>
      <c r="VKC4" s="109"/>
      <c r="VKD4" s="109"/>
      <c r="VKE4" s="109"/>
      <c r="VKF4" s="109"/>
      <c r="VKG4" s="109"/>
      <c r="VKH4" s="109"/>
      <c r="VKI4" s="109"/>
      <c r="VKJ4" s="109"/>
      <c r="VKK4" s="109"/>
      <c r="VKL4" s="109"/>
      <c r="VKM4" s="109"/>
      <c r="VKN4" s="109"/>
      <c r="VKO4" s="109"/>
      <c r="VKP4" s="109"/>
      <c r="VKQ4" s="109"/>
      <c r="VKR4" s="109"/>
      <c r="VKS4" s="109"/>
      <c r="VKT4" s="109"/>
      <c r="VKU4" s="109"/>
      <c r="VKV4" s="109"/>
      <c r="VKW4" s="109"/>
      <c r="VKX4" s="109"/>
      <c r="VKY4" s="109"/>
      <c r="VKZ4" s="109"/>
      <c r="VLA4" s="109"/>
      <c r="VLB4" s="109"/>
      <c r="VLC4" s="109"/>
      <c r="VLD4" s="109"/>
      <c r="VLE4" s="109"/>
      <c r="VLF4" s="109"/>
      <c r="VLG4" s="109"/>
      <c r="VLH4" s="109"/>
      <c r="VLI4" s="109"/>
      <c r="VLJ4" s="109"/>
      <c r="VLK4" s="109"/>
      <c r="VLL4" s="109"/>
      <c r="VLM4" s="109"/>
      <c r="VLN4" s="109"/>
      <c r="VLO4" s="109"/>
      <c r="VLP4" s="109"/>
      <c r="VLQ4" s="109"/>
      <c r="VLR4" s="109"/>
      <c r="VLS4" s="109"/>
      <c r="VLT4" s="109"/>
      <c r="VLU4" s="109"/>
      <c r="VLV4" s="109"/>
      <c r="VLW4" s="109"/>
      <c r="VLX4" s="109"/>
      <c r="VLY4" s="109"/>
      <c r="VLZ4" s="109"/>
      <c r="VMA4" s="109"/>
      <c r="VMB4" s="109"/>
      <c r="VMC4" s="109"/>
      <c r="VMD4" s="109"/>
      <c r="VME4" s="109"/>
      <c r="VMF4" s="109"/>
      <c r="VMG4" s="109"/>
      <c r="VMH4" s="109"/>
      <c r="VMI4" s="109"/>
      <c r="VMJ4" s="109"/>
      <c r="VMK4" s="109"/>
      <c r="VML4" s="109"/>
      <c r="VMM4" s="109"/>
      <c r="VMN4" s="109"/>
      <c r="VMO4" s="109"/>
      <c r="VMP4" s="109"/>
      <c r="VMQ4" s="109"/>
      <c r="VMR4" s="109"/>
      <c r="VMS4" s="109"/>
      <c r="VMT4" s="109"/>
      <c r="VMU4" s="109"/>
      <c r="VMV4" s="109"/>
      <c r="VMW4" s="109"/>
      <c r="VMX4" s="109"/>
      <c r="VMY4" s="109"/>
      <c r="VMZ4" s="109"/>
      <c r="VNA4" s="109"/>
      <c r="VNB4" s="109"/>
      <c r="VNC4" s="109"/>
      <c r="VND4" s="109"/>
      <c r="VNE4" s="109"/>
      <c r="VNF4" s="109"/>
      <c r="VNG4" s="109"/>
      <c r="VNH4" s="109"/>
      <c r="VNI4" s="109"/>
      <c r="VNJ4" s="109"/>
      <c r="VNK4" s="109"/>
      <c r="VNL4" s="109"/>
      <c r="VNM4" s="109"/>
      <c r="VNN4" s="109"/>
      <c r="VNO4" s="109"/>
      <c r="VNP4" s="109"/>
      <c r="VNQ4" s="109"/>
      <c r="VNR4" s="109"/>
      <c r="VNS4" s="109"/>
      <c r="VNT4" s="109"/>
      <c r="VNU4" s="109"/>
      <c r="VNV4" s="109"/>
      <c r="VNW4" s="109"/>
      <c r="VNX4" s="109"/>
      <c r="VNY4" s="109"/>
      <c r="VNZ4" s="109"/>
      <c r="VOA4" s="109"/>
      <c r="VOB4" s="109"/>
      <c r="VOC4" s="109"/>
      <c r="VOD4" s="109"/>
      <c r="VOE4" s="109"/>
      <c r="VOF4" s="109"/>
      <c r="VOG4" s="109"/>
      <c r="VOH4" s="109"/>
      <c r="VOI4" s="109"/>
      <c r="VOJ4" s="109"/>
      <c r="VOK4" s="109"/>
      <c r="VOL4" s="109"/>
      <c r="VOM4" s="109"/>
      <c r="VON4" s="109"/>
      <c r="VOO4" s="109"/>
      <c r="VOP4" s="109"/>
      <c r="VOQ4" s="109"/>
      <c r="VOR4" s="109"/>
      <c r="VOS4" s="109"/>
      <c r="VOT4" s="109"/>
      <c r="VOU4" s="109"/>
      <c r="VOV4" s="109"/>
      <c r="VOW4" s="109"/>
      <c r="VOX4" s="109"/>
      <c r="VOY4" s="109"/>
      <c r="VOZ4" s="109"/>
      <c r="VPA4" s="109"/>
      <c r="VPB4" s="109"/>
      <c r="VPC4" s="109"/>
      <c r="VPD4" s="109"/>
      <c r="VPE4" s="109"/>
      <c r="VPF4" s="109"/>
      <c r="VPG4" s="109"/>
      <c r="VPH4" s="109"/>
      <c r="VPI4" s="109"/>
      <c r="VPJ4" s="109"/>
      <c r="VPK4" s="109"/>
      <c r="VPL4" s="109"/>
      <c r="VPM4" s="109"/>
      <c r="VPN4" s="109"/>
      <c r="VPO4" s="109"/>
      <c r="VPP4" s="109"/>
      <c r="VPQ4" s="109"/>
      <c r="VPR4" s="109"/>
      <c r="VPS4" s="109"/>
      <c r="VPT4" s="109"/>
      <c r="VPU4" s="109"/>
      <c r="VPV4" s="109"/>
      <c r="VPW4" s="109"/>
      <c r="VPX4" s="109"/>
      <c r="VPY4" s="109"/>
      <c r="VPZ4" s="109"/>
      <c r="VQA4" s="109"/>
      <c r="VQB4" s="109"/>
      <c r="VQC4" s="109"/>
      <c r="VQD4" s="109"/>
      <c r="VQE4" s="109"/>
      <c r="VQF4" s="109"/>
      <c r="VQG4" s="109"/>
      <c r="VQH4" s="109"/>
      <c r="VQI4" s="109"/>
      <c r="VQJ4" s="109"/>
      <c r="VQK4" s="109"/>
      <c r="VQL4" s="109"/>
      <c r="VQM4" s="109"/>
      <c r="VQN4" s="109"/>
      <c r="VQO4" s="109"/>
      <c r="VQP4" s="109"/>
      <c r="VQQ4" s="109"/>
      <c r="VQR4" s="109"/>
      <c r="VQS4" s="109"/>
      <c r="VQT4" s="109"/>
      <c r="VQU4" s="109"/>
      <c r="VQV4" s="109"/>
      <c r="VQW4" s="109"/>
      <c r="VQX4" s="109"/>
      <c r="VQY4" s="109"/>
      <c r="VQZ4" s="109"/>
      <c r="VRA4" s="109"/>
      <c r="VRB4" s="109"/>
      <c r="VRC4" s="109"/>
      <c r="VRD4" s="109"/>
      <c r="VRE4" s="109"/>
      <c r="VRF4" s="109"/>
      <c r="VRG4" s="109"/>
      <c r="VRH4" s="109"/>
      <c r="VRI4" s="109"/>
      <c r="VRJ4" s="109"/>
      <c r="VRK4" s="109"/>
      <c r="VRL4" s="109"/>
      <c r="VRM4" s="109"/>
      <c r="VRN4" s="109"/>
      <c r="VRO4" s="109"/>
      <c r="VRP4" s="109"/>
      <c r="VRQ4" s="109"/>
      <c r="VRR4" s="109"/>
      <c r="VRS4" s="109"/>
      <c r="VRT4" s="109"/>
      <c r="VRU4" s="109"/>
      <c r="VRV4" s="109"/>
      <c r="VRW4" s="109"/>
      <c r="VRX4" s="109"/>
      <c r="VRY4" s="109"/>
      <c r="VRZ4" s="109"/>
      <c r="VSA4" s="109"/>
      <c r="VSB4" s="109"/>
      <c r="VSC4" s="109"/>
      <c r="VSD4" s="109"/>
      <c r="VSE4" s="109"/>
      <c r="VSF4" s="109"/>
      <c r="VSG4" s="109"/>
      <c r="VSH4" s="109"/>
      <c r="VSI4" s="109"/>
      <c r="VSJ4" s="109"/>
      <c r="VSK4" s="109"/>
      <c r="VSL4" s="109"/>
      <c r="VSM4" s="109"/>
      <c r="VSN4" s="109"/>
      <c r="VSO4" s="109"/>
      <c r="VSP4" s="109"/>
      <c r="VSQ4" s="109"/>
      <c r="VSR4" s="109"/>
      <c r="VSS4" s="109"/>
      <c r="VST4" s="109"/>
      <c r="VSU4" s="109"/>
      <c r="VSV4" s="109"/>
      <c r="VSW4" s="109"/>
      <c r="VSX4" s="109"/>
      <c r="VSY4" s="109"/>
      <c r="VSZ4" s="109"/>
      <c r="VTA4" s="109"/>
      <c r="VTB4" s="109"/>
      <c r="VTC4" s="109"/>
      <c r="VTD4" s="109"/>
      <c r="VTE4" s="109"/>
      <c r="VTF4" s="109"/>
      <c r="VTG4" s="109"/>
      <c r="VTH4" s="109"/>
      <c r="VTI4" s="109"/>
      <c r="VTJ4" s="109"/>
      <c r="VTK4" s="109"/>
      <c r="VTL4" s="109"/>
      <c r="VTM4" s="109"/>
      <c r="VTN4" s="109"/>
      <c r="VTO4" s="109"/>
      <c r="VTP4" s="109"/>
      <c r="VTQ4" s="109"/>
      <c r="VTR4" s="109"/>
      <c r="VTS4" s="109"/>
      <c r="VTT4" s="109"/>
      <c r="VTU4" s="109"/>
      <c r="VTV4" s="109"/>
      <c r="VTW4" s="109"/>
      <c r="VTX4" s="109"/>
      <c r="VTY4" s="109"/>
      <c r="VTZ4" s="109"/>
      <c r="VUA4" s="109"/>
      <c r="VUB4" s="109"/>
      <c r="VUC4" s="109"/>
      <c r="VUD4" s="109"/>
      <c r="VUE4" s="109"/>
      <c r="VUF4" s="109"/>
      <c r="VUG4" s="109"/>
      <c r="VUH4" s="109"/>
      <c r="VUI4" s="109"/>
      <c r="VUJ4" s="109"/>
      <c r="VUK4" s="109"/>
      <c r="VUL4" s="109"/>
      <c r="VUM4" s="109"/>
      <c r="VUN4" s="109"/>
      <c r="VUO4" s="109"/>
      <c r="VUP4" s="109"/>
      <c r="VUQ4" s="109"/>
      <c r="VUR4" s="109"/>
      <c r="VUS4" s="109"/>
      <c r="VUT4" s="109"/>
      <c r="VUU4" s="109"/>
      <c r="VUV4" s="109"/>
      <c r="VUW4" s="109"/>
      <c r="VUX4" s="109"/>
      <c r="VUY4" s="109"/>
      <c r="VUZ4" s="109"/>
      <c r="VVA4" s="109"/>
      <c r="VVB4" s="109"/>
      <c r="VVC4" s="109"/>
      <c r="VVD4" s="109"/>
      <c r="VVE4" s="109"/>
      <c r="VVF4" s="109"/>
      <c r="VVG4" s="109"/>
      <c r="VVH4" s="109"/>
      <c r="VVI4" s="109"/>
      <c r="VVJ4" s="109"/>
      <c r="VVK4" s="109"/>
      <c r="VVL4" s="109"/>
      <c r="VVM4" s="109"/>
      <c r="VVN4" s="109"/>
      <c r="VVO4" s="109"/>
      <c r="VVP4" s="109"/>
      <c r="VVQ4" s="109"/>
      <c r="VVR4" s="109"/>
      <c r="VVS4" s="109"/>
      <c r="VVT4" s="109"/>
      <c r="VVU4" s="109"/>
      <c r="VVV4" s="109"/>
      <c r="VVW4" s="109"/>
      <c r="VVX4" s="109"/>
      <c r="VVY4" s="109"/>
      <c r="VVZ4" s="109"/>
      <c r="VWA4" s="109"/>
      <c r="VWB4" s="109"/>
      <c r="VWC4" s="109"/>
      <c r="VWD4" s="109"/>
      <c r="VWE4" s="109"/>
      <c r="VWF4" s="109"/>
      <c r="VWG4" s="109"/>
      <c r="VWH4" s="109"/>
      <c r="VWI4" s="109"/>
      <c r="VWJ4" s="109"/>
      <c r="VWK4" s="109"/>
      <c r="VWL4" s="109"/>
      <c r="VWM4" s="109"/>
      <c r="VWN4" s="109"/>
      <c r="VWO4" s="109"/>
      <c r="VWP4" s="109"/>
      <c r="VWQ4" s="109"/>
      <c r="VWR4" s="109"/>
      <c r="VWS4" s="109"/>
      <c r="VWT4" s="109"/>
      <c r="VWU4" s="109"/>
      <c r="VWV4" s="109"/>
      <c r="VWW4" s="109"/>
      <c r="VWX4" s="109"/>
      <c r="VWY4" s="109"/>
      <c r="VWZ4" s="109"/>
      <c r="VXA4" s="109"/>
      <c r="VXB4" s="109"/>
      <c r="VXC4" s="109"/>
      <c r="VXD4" s="109"/>
      <c r="VXE4" s="109"/>
      <c r="VXF4" s="109"/>
      <c r="VXG4" s="109"/>
      <c r="VXH4" s="109"/>
      <c r="VXI4" s="109"/>
      <c r="VXJ4" s="109"/>
      <c r="VXK4" s="109"/>
      <c r="VXL4" s="109"/>
      <c r="VXM4" s="109"/>
      <c r="VXN4" s="109"/>
      <c r="VXO4" s="109"/>
      <c r="VXP4" s="109"/>
      <c r="VXQ4" s="109"/>
      <c r="VXR4" s="109"/>
      <c r="VXS4" s="109"/>
      <c r="VXT4" s="109"/>
      <c r="VXU4" s="109"/>
      <c r="VXV4" s="109"/>
      <c r="VXW4" s="109"/>
      <c r="VXX4" s="109"/>
      <c r="VXY4" s="109"/>
      <c r="VXZ4" s="109"/>
      <c r="VYA4" s="109"/>
      <c r="VYB4" s="109"/>
      <c r="VYC4" s="109"/>
      <c r="VYD4" s="109"/>
      <c r="VYE4" s="109"/>
      <c r="VYF4" s="109"/>
      <c r="VYG4" s="109"/>
      <c r="VYH4" s="109"/>
      <c r="VYI4" s="109"/>
      <c r="VYJ4" s="109"/>
      <c r="VYK4" s="109"/>
      <c r="VYL4" s="109"/>
      <c r="VYM4" s="109"/>
      <c r="VYN4" s="109"/>
      <c r="VYO4" s="109"/>
      <c r="VYP4" s="109"/>
      <c r="VYQ4" s="109"/>
      <c r="VYR4" s="109"/>
      <c r="VYS4" s="109"/>
      <c r="VYT4" s="109"/>
      <c r="VYU4" s="109"/>
      <c r="VYV4" s="109"/>
      <c r="VYW4" s="109"/>
      <c r="VYX4" s="109"/>
      <c r="VYY4" s="109"/>
      <c r="VYZ4" s="109"/>
      <c r="VZA4" s="109"/>
      <c r="VZB4" s="109"/>
      <c r="VZC4" s="109"/>
      <c r="VZD4" s="109"/>
      <c r="VZE4" s="109"/>
      <c r="VZF4" s="109"/>
      <c r="VZG4" s="109"/>
      <c r="VZH4" s="109"/>
      <c r="VZI4" s="109"/>
      <c r="VZJ4" s="109"/>
      <c r="VZK4" s="109"/>
      <c r="VZL4" s="109"/>
      <c r="VZM4" s="109"/>
      <c r="VZN4" s="109"/>
      <c r="VZO4" s="109"/>
      <c r="VZP4" s="109"/>
      <c r="VZQ4" s="109"/>
      <c r="VZR4" s="109"/>
      <c r="VZS4" s="109"/>
      <c r="VZT4" s="109"/>
      <c r="VZU4" s="109"/>
      <c r="VZV4" s="109"/>
      <c r="VZW4" s="109"/>
      <c r="VZX4" s="109"/>
      <c r="VZY4" s="109"/>
      <c r="VZZ4" s="109"/>
      <c r="WAA4" s="109"/>
      <c r="WAB4" s="109"/>
      <c r="WAC4" s="109"/>
      <c r="WAD4" s="109"/>
      <c r="WAE4" s="109"/>
      <c r="WAF4" s="109"/>
      <c r="WAG4" s="109"/>
      <c r="WAH4" s="109"/>
      <c r="WAI4" s="109"/>
      <c r="WAJ4" s="109"/>
      <c r="WAK4" s="109"/>
      <c r="WAL4" s="109"/>
      <c r="WAM4" s="109"/>
      <c r="WAN4" s="109"/>
      <c r="WAO4" s="109"/>
      <c r="WAP4" s="109"/>
      <c r="WAQ4" s="109"/>
      <c r="WAR4" s="109"/>
      <c r="WAS4" s="109"/>
      <c r="WAT4" s="109"/>
      <c r="WAU4" s="109"/>
      <c r="WAV4" s="109"/>
      <c r="WAW4" s="109"/>
      <c r="WAX4" s="109"/>
      <c r="WAY4" s="109"/>
      <c r="WAZ4" s="109"/>
      <c r="WBA4" s="109"/>
      <c r="WBB4" s="109"/>
      <c r="WBC4" s="109"/>
      <c r="WBD4" s="109"/>
      <c r="WBE4" s="109"/>
      <c r="WBF4" s="109"/>
      <c r="WBG4" s="109"/>
      <c r="WBH4" s="109"/>
      <c r="WBI4" s="109"/>
      <c r="WBJ4" s="109"/>
      <c r="WBK4" s="109"/>
      <c r="WBL4" s="109"/>
      <c r="WBM4" s="109"/>
      <c r="WBN4" s="109"/>
      <c r="WBO4" s="109"/>
      <c r="WBP4" s="109"/>
      <c r="WBQ4" s="109"/>
      <c r="WBR4" s="109"/>
      <c r="WBS4" s="109"/>
      <c r="WBT4" s="109"/>
      <c r="WBU4" s="109"/>
      <c r="WBV4" s="109"/>
      <c r="WBW4" s="109"/>
      <c r="WBX4" s="109"/>
      <c r="WBY4" s="109"/>
      <c r="WBZ4" s="109"/>
      <c r="WCA4" s="109"/>
      <c r="WCB4" s="109"/>
      <c r="WCC4" s="109"/>
      <c r="WCD4" s="109"/>
      <c r="WCE4" s="109"/>
      <c r="WCF4" s="109"/>
      <c r="WCG4" s="109"/>
      <c r="WCH4" s="109"/>
      <c r="WCI4" s="109"/>
      <c r="WCJ4" s="109"/>
      <c r="WCK4" s="109"/>
      <c r="WCL4" s="109"/>
      <c r="WCM4" s="109"/>
      <c r="WCN4" s="109"/>
      <c r="WCO4" s="109"/>
      <c r="WCP4" s="109"/>
      <c r="WCQ4" s="109"/>
      <c r="WCR4" s="109"/>
      <c r="WCS4" s="109"/>
      <c r="WCT4" s="109"/>
      <c r="WCU4" s="109"/>
      <c r="WCV4" s="109"/>
      <c r="WCW4" s="109"/>
      <c r="WCX4" s="109"/>
      <c r="WCY4" s="109"/>
      <c r="WCZ4" s="109"/>
      <c r="WDA4" s="109"/>
      <c r="WDB4" s="109"/>
      <c r="WDC4" s="109"/>
      <c r="WDD4" s="109"/>
      <c r="WDE4" s="109"/>
      <c r="WDF4" s="109"/>
      <c r="WDG4" s="109"/>
      <c r="WDH4" s="109"/>
      <c r="WDI4" s="109"/>
      <c r="WDJ4" s="109"/>
      <c r="WDK4" s="109"/>
      <c r="WDL4" s="109"/>
      <c r="WDM4" s="109"/>
      <c r="WDN4" s="109"/>
      <c r="WDO4" s="109"/>
      <c r="WDP4" s="109"/>
      <c r="WDQ4" s="109"/>
      <c r="WDR4" s="109"/>
      <c r="WDS4" s="109"/>
      <c r="WDT4" s="109"/>
      <c r="WDU4" s="109"/>
      <c r="WDV4" s="109"/>
      <c r="WDW4" s="109"/>
      <c r="WDX4" s="109"/>
      <c r="WDY4" s="109"/>
      <c r="WDZ4" s="109"/>
      <c r="WEA4" s="109"/>
      <c r="WEB4" s="109"/>
      <c r="WEC4" s="109"/>
      <c r="WED4" s="109"/>
      <c r="WEE4" s="109"/>
      <c r="WEF4" s="109"/>
      <c r="WEG4" s="109"/>
      <c r="WEH4" s="109"/>
      <c r="WEI4" s="109"/>
      <c r="WEJ4" s="109"/>
      <c r="WEK4" s="109"/>
      <c r="WEL4" s="109"/>
      <c r="WEM4" s="109"/>
      <c r="WEN4" s="109"/>
      <c r="WEO4" s="109"/>
      <c r="WEP4" s="109"/>
      <c r="WEQ4" s="109"/>
      <c r="WER4" s="109"/>
      <c r="WES4" s="109"/>
      <c r="WET4" s="109"/>
      <c r="WEU4" s="109"/>
      <c r="WEV4" s="109"/>
      <c r="WEW4" s="109"/>
      <c r="WEX4" s="109"/>
      <c r="WEY4" s="109"/>
      <c r="WEZ4" s="109"/>
      <c r="WFA4" s="109"/>
      <c r="WFB4" s="109"/>
      <c r="WFC4" s="109"/>
      <c r="WFD4" s="109"/>
      <c r="WFE4" s="109"/>
      <c r="WFF4" s="109"/>
      <c r="WFG4" s="109"/>
      <c r="WFH4" s="109"/>
      <c r="WFI4" s="109"/>
      <c r="WFJ4" s="109"/>
      <c r="WFK4" s="109"/>
      <c r="WFL4" s="109"/>
      <c r="WFM4" s="109"/>
      <c r="WFN4" s="109"/>
      <c r="WFO4" s="109"/>
      <c r="WFP4" s="109"/>
      <c r="WFQ4" s="109"/>
      <c r="WFR4" s="109"/>
      <c r="WFS4" s="109"/>
      <c r="WFT4" s="109"/>
      <c r="WFU4" s="109"/>
      <c r="WFV4" s="109"/>
      <c r="WFW4" s="109"/>
      <c r="WFX4" s="109"/>
      <c r="WFY4" s="109"/>
      <c r="WFZ4" s="109"/>
      <c r="WGA4" s="109"/>
      <c r="WGB4" s="109"/>
      <c r="WGC4" s="109"/>
      <c r="WGD4" s="109"/>
      <c r="WGE4" s="109"/>
      <c r="WGF4" s="109"/>
      <c r="WGG4" s="109"/>
      <c r="WGH4" s="109"/>
      <c r="WGI4" s="109"/>
      <c r="WGJ4" s="109"/>
      <c r="WGK4" s="109"/>
      <c r="WGL4" s="109"/>
      <c r="WGM4" s="109"/>
      <c r="WGN4" s="109"/>
      <c r="WGO4" s="109"/>
      <c r="WGP4" s="109"/>
      <c r="WGQ4" s="109"/>
      <c r="WGR4" s="109"/>
      <c r="WGS4" s="109"/>
      <c r="WGT4" s="109"/>
      <c r="WGU4" s="109"/>
      <c r="WGV4" s="109"/>
      <c r="WGW4" s="109"/>
      <c r="WGX4" s="109"/>
      <c r="WGY4" s="109"/>
      <c r="WGZ4" s="109"/>
      <c r="WHA4" s="109"/>
      <c r="WHB4" s="109"/>
      <c r="WHC4" s="109"/>
      <c r="WHD4" s="109"/>
      <c r="WHE4" s="109"/>
      <c r="WHF4" s="109"/>
      <c r="WHG4" s="109"/>
      <c r="WHH4" s="109"/>
      <c r="WHI4" s="109"/>
      <c r="WHJ4" s="109"/>
      <c r="WHK4" s="109"/>
      <c r="WHL4" s="109"/>
      <c r="WHM4" s="109"/>
      <c r="WHN4" s="109"/>
      <c r="WHO4" s="109"/>
      <c r="WHP4" s="109"/>
      <c r="WHQ4" s="109"/>
      <c r="WHR4" s="109"/>
      <c r="WHS4" s="109"/>
      <c r="WHT4" s="109"/>
      <c r="WHU4" s="109"/>
      <c r="WHV4" s="109"/>
      <c r="WHW4" s="109"/>
      <c r="WHX4" s="109"/>
      <c r="WHY4" s="109"/>
      <c r="WHZ4" s="109"/>
      <c r="WIA4" s="109"/>
      <c r="WIB4" s="109"/>
      <c r="WIC4" s="109"/>
      <c r="WID4" s="109"/>
      <c r="WIE4" s="109"/>
      <c r="WIF4" s="109"/>
      <c r="WIG4" s="109"/>
      <c r="WIH4" s="109"/>
      <c r="WII4" s="109"/>
      <c r="WIJ4" s="109"/>
      <c r="WIK4" s="109"/>
      <c r="WIL4" s="109"/>
      <c r="WIM4" s="109"/>
      <c r="WIN4" s="109"/>
      <c r="WIO4" s="109"/>
      <c r="WIP4" s="109"/>
      <c r="WIQ4" s="109"/>
      <c r="WIR4" s="109"/>
      <c r="WIS4" s="109"/>
      <c r="WIT4" s="109"/>
      <c r="WIU4" s="109"/>
      <c r="WIV4" s="109"/>
      <c r="WIW4" s="109"/>
      <c r="WIX4" s="109"/>
      <c r="WIY4" s="109"/>
      <c r="WIZ4" s="109"/>
      <c r="WJA4" s="109"/>
      <c r="WJB4" s="109"/>
      <c r="WJC4" s="109"/>
      <c r="WJD4" s="109"/>
      <c r="WJE4" s="109"/>
      <c r="WJF4" s="109"/>
      <c r="WJG4" s="109"/>
      <c r="WJH4" s="109"/>
      <c r="WJI4" s="109"/>
      <c r="WJJ4" s="109"/>
      <c r="WJK4" s="109"/>
      <c r="WJL4" s="109"/>
      <c r="WJM4" s="109"/>
      <c r="WJN4" s="109"/>
      <c r="WJO4" s="109"/>
      <c r="WJP4" s="109"/>
      <c r="WJQ4" s="109"/>
      <c r="WJR4" s="109"/>
      <c r="WJS4" s="109"/>
      <c r="WJT4" s="109"/>
      <c r="WJU4" s="109"/>
      <c r="WJV4" s="109"/>
      <c r="WJW4" s="109"/>
      <c r="WJX4" s="109"/>
      <c r="WJY4" s="109"/>
      <c r="WJZ4" s="109"/>
      <c r="WKA4" s="109"/>
      <c r="WKB4" s="109"/>
      <c r="WKC4" s="109"/>
      <c r="WKD4" s="109"/>
      <c r="WKE4" s="109"/>
      <c r="WKF4" s="109"/>
      <c r="WKG4" s="109"/>
      <c r="WKH4" s="109"/>
      <c r="WKI4" s="109"/>
      <c r="WKJ4" s="109"/>
      <c r="WKK4" s="109"/>
      <c r="WKL4" s="109"/>
      <c r="WKM4" s="109"/>
      <c r="WKN4" s="109"/>
      <c r="WKO4" s="109"/>
      <c r="WKP4" s="109"/>
      <c r="WKQ4" s="109"/>
      <c r="WKR4" s="109"/>
      <c r="WKS4" s="109"/>
      <c r="WKT4" s="109"/>
      <c r="WKU4" s="109"/>
      <c r="WKV4" s="109"/>
      <c r="WKW4" s="109"/>
      <c r="WKX4" s="109"/>
      <c r="WKY4" s="109"/>
      <c r="WKZ4" s="109"/>
      <c r="WLA4" s="109"/>
      <c r="WLB4" s="109"/>
      <c r="WLC4" s="109"/>
      <c r="WLD4" s="109"/>
      <c r="WLE4" s="109"/>
      <c r="WLF4" s="109"/>
      <c r="WLG4" s="109"/>
      <c r="WLH4" s="109"/>
      <c r="WLI4" s="109"/>
      <c r="WLJ4" s="109"/>
      <c r="WLK4" s="109"/>
      <c r="WLL4" s="109"/>
      <c r="WLM4" s="109"/>
      <c r="WLN4" s="109"/>
      <c r="WLO4" s="109"/>
      <c r="WLP4" s="109"/>
      <c r="WLQ4" s="109"/>
      <c r="WLR4" s="109"/>
      <c r="WLS4" s="109"/>
      <c r="WLT4" s="109"/>
      <c r="WLU4" s="109"/>
      <c r="WLV4" s="109"/>
      <c r="WLW4" s="109"/>
      <c r="WLX4" s="109"/>
      <c r="WLY4" s="109"/>
      <c r="WLZ4" s="109"/>
      <c r="WMA4" s="109"/>
      <c r="WMB4" s="109"/>
      <c r="WMC4" s="109"/>
      <c r="WMD4" s="109"/>
      <c r="WME4" s="109"/>
      <c r="WMF4" s="109"/>
      <c r="WMG4" s="109"/>
      <c r="WMH4" s="109"/>
      <c r="WMI4" s="109"/>
      <c r="WMJ4" s="109"/>
      <c r="WMK4" s="109"/>
      <c r="WML4" s="109"/>
      <c r="WMM4" s="109"/>
      <c r="WMN4" s="109"/>
      <c r="WMO4" s="109"/>
      <c r="WMP4" s="109"/>
      <c r="WMQ4" s="109"/>
      <c r="WMR4" s="109"/>
      <c r="WMS4" s="109"/>
      <c r="WMT4" s="109"/>
      <c r="WMU4" s="109"/>
      <c r="WMV4" s="109"/>
      <c r="WMW4" s="109"/>
      <c r="WMX4" s="109"/>
      <c r="WMY4" s="109"/>
      <c r="WMZ4" s="109"/>
      <c r="WNA4" s="109"/>
      <c r="WNB4" s="109"/>
      <c r="WNC4" s="109"/>
      <c r="WND4" s="109"/>
      <c r="WNE4" s="109"/>
      <c r="WNF4" s="109"/>
      <c r="WNG4" s="109"/>
      <c r="WNH4" s="109"/>
      <c r="WNI4" s="109"/>
      <c r="WNJ4" s="109"/>
      <c r="WNK4" s="109"/>
      <c r="WNL4" s="109"/>
      <c r="WNM4" s="109"/>
      <c r="WNN4" s="109"/>
      <c r="WNO4" s="109"/>
      <c r="WNP4" s="109"/>
      <c r="WNQ4" s="109"/>
      <c r="WNR4" s="109"/>
      <c r="WNS4" s="109"/>
      <c r="WNT4" s="109"/>
      <c r="WNU4" s="109"/>
      <c r="WNV4" s="109"/>
      <c r="WNW4" s="109"/>
      <c r="WNX4" s="109"/>
      <c r="WNY4" s="109"/>
      <c r="WNZ4" s="109"/>
      <c r="WOA4" s="109"/>
      <c r="WOB4" s="109"/>
      <c r="WOC4" s="109"/>
      <c r="WOD4" s="109"/>
      <c r="WOE4" s="109"/>
      <c r="WOF4" s="109"/>
      <c r="WOG4" s="109"/>
      <c r="WOH4" s="109"/>
      <c r="WOI4" s="109"/>
      <c r="WOJ4" s="109"/>
      <c r="WOK4" s="109"/>
      <c r="WOL4" s="109"/>
      <c r="WOM4" s="109"/>
      <c r="WON4" s="109"/>
      <c r="WOO4" s="109"/>
      <c r="WOP4" s="109"/>
      <c r="WOQ4" s="109"/>
      <c r="WOR4" s="109"/>
      <c r="WOS4" s="109"/>
      <c r="WOT4" s="109"/>
      <c r="WOU4" s="109"/>
      <c r="WOV4" s="109"/>
      <c r="WOW4" s="109"/>
      <c r="WOX4" s="109"/>
      <c r="WOY4" s="109"/>
      <c r="WOZ4" s="109"/>
      <c r="WPA4" s="109"/>
      <c r="WPB4" s="109"/>
      <c r="WPC4" s="109"/>
      <c r="WPD4" s="109"/>
      <c r="WPE4" s="109"/>
      <c r="WPF4" s="109"/>
      <c r="WPG4" s="109"/>
      <c r="WPH4" s="109"/>
      <c r="WPI4" s="109"/>
      <c r="WPJ4" s="109"/>
      <c r="WPK4" s="109"/>
      <c r="WPL4" s="109"/>
      <c r="WPM4" s="109"/>
      <c r="WPN4" s="109"/>
      <c r="WPO4" s="109"/>
      <c r="WPP4" s="109"/>
      <c r="WPQ4" s="109"/>
      <c r="WPR4" s="109"/>
      <c r="WPS4" s="109"/>
      <c r="WPT4" s="109"/>
      <c r="WPU4" s="109"/>
      <c r="WPV4" s="109"/>
      <c r="WPW4" s="109"/>
      <c r="WPX4" s="109"/>
      <c r="WPY4" s="109"/>
      <c r="WPZ4" s="109"/>
      <c r="WQA4" s="109"/>
      <c r="WQB4" s="109"/>
      <c r="WQC4" s="109"/>
      <c r="WQD4" s="109"/>
      <c r="WQE4" s="109"/>
      <c r="WQF4" s="109"/>
      <c r="WQG4" s="109"/>
      <c r="WQH4" s="109"/>
      <c r="WQI4" s="109"/>
      <c r="WQJ4" s="109"/>
      <c r="WQK4" s="109"/>
      <c r="WQL4" s="109"/>
      <c r="WQM4" s="109"/>
      <c r="WQN4" s="109"/>
      <c r="WQO4" s="109"/>
      <c r="WQP4" s="109"/>
      <c r="WQQ4" s="109"/>
      <c r="WQR4" s="109"/>
      <c r="WQS4" s="109"/>
      <c r="WQT4" s="109"/>
      <c r="WQU4" s="109"/>
      <c r="WQV4" s="109"/>
      <c r="WQW4" s="109"/>
      <c r="WQX4" s="109"/>
      <c r="WQY4" s="109"/>
      <c r="WQZ4" s="109"/>
      <c r="WRA4" s="109"/>
      <c r="WRB4" s="109"/>
      <c r="WRC4" s="109"/>
      <c r="WRD4" s="109"/>
      <c r="WRE4" s="109"/>
      <c r="WRF4" s="109"/>
      <c r="WRG4" s="109"/>
      <c r="WRH4" s="109"/>
      <c r="WRI4" s="109"/>
      <c r="WRJ4" s="109"/>
      <c r="WRK4" s="109"/>
      <c r="WRL4" s="109"/>
      <c r="WRM4" s="109"/>
      <c r="WRN4" s="109"/>
      <c r="WRO4" s="109"/>
      <c r="WRP4" s="109"/>
      <c r="WRQ4" s="109"/>
      <c r="WRR4" s="109"/>
      <c r="WRS4" s="109"/>
      <c r="WRT4" s="109"/>
      <c r="WRU4" s="109"/>
      <c r="WRV4" s="109"/>
      <c r="WRW4" s="109"/>
      <c r="WRX4" s="109"/>
      <c r="WRY4" s="109"/>
      <c r="WRZ4" s="109"/>
      <c r="WSA4" s="109"/>
      <c r="WSB4" s="109"/>
      <c r="WSC4" s="109"/>
      <c r="WSD4" s="109"/>
      <c r="WSE4" s="109"/>
      <c r="WSF4" s="109"/>
      <c r="WSG4" s="109"/>
      <c r="WSH4" s="109"/>
      <c r="WSI4" s="109"/>
      <c r="WSJ4" s="109"/>
      <c r="WSK4" s="109"/>
      <c r="WSL4" s="109"/>
      <c r="WSM4" s="109"/>
      <c r="WSN4" s="109"/>
      <c r="WSO4" s="109"/>
      <c r="WSP4" s="109"/>
      <c r="WSQ4" s="109"/>
      <c r="WSR4" s="109"/>
      <c r="WSS4" s="109"/>
      <c r="WST4" s="109"/>
      <c r="WSU4" s="109"/>
      <c r="WSV4" s="109"/>
      <c r="WSW4" s="109"/>
      <c r="WSX4" s="109"/>
      <c r="WSY4" s="109"/>
      <c r="WSZ4" s="109"/>
      <c r="WTA4" s="109"/>
      <c r="WTB4" s="109"/>
      <c r="WTC4" s="109"/>
      <c r="WTD4" s="109"/>
      <c r="WTE4" s="109"/>
      <c r="WTF4" s="109"/>
      <c r="WTG4" s="109"/>
      <c r="WTH4" s="109"/>
      <c r="WTI4" s="109"/>
      <c r="WTJ4" s="109"/>
      <c r="WTK4" s="109"/>
      <c r="WTL4" s="109"/>
      <c r="WTM4" s="109"/>
      <c r="WTN4" s="109"/>
      <c r="WTO4" s="109"/>
      <c r="WTP4" s="109"/>
      <c r="WTQ4" s="109"/>
      <c r="WTR4" s="109"/>
      <c r="WTS4" s="109"/>
      <c r="WTT4" s="109"/>
      <c r="WTU4" s="109"/>
      <c r="WTV4" s="109"/>
      <c r="WTW4" s="109"/>
      <c r="WTX4" s="109"/>
      <c r="WTY4" s="109"/>
      <c r="WTZ4" s="109"/>
      <c r="WUA4" s="109"/>
      <c r="WUB4" s="109"/>
      <c r="WUC4" s="109"/>
      <c r="WUD4" s="109"/>
      <c r="WUE4" s="109"/>
      <c r="WUF4" s="109"/>
      <c r="WUG4" s="109"/>
      <c r="WUH4" s="109"/>
      <c r="WUI4" s="109"/>
      <c r="WUJ4" s="109"/>
      <c r="WUK4" s="109"/>
      <c r="WUL4" s="109"/>
      <c r="WUM4" s="109"/>
      <c r="WUN4" s="109"/>
      <c r="WUO4" s="109"/>
      <c r="WUP4" s="109"/>
      <c r="WUQ4" s="109"/>
      <c r="WUR4" s="109"/>
      <c r="WUS4" s="109"/>
      <c r="WUT4" s="109"/>
      <c r="WUU4" s="109"/>
      <c r="WUV4" s="109"/>
      <c r="WUW4" s="109"/>
      <c r="WUX4" s="109"/>
      <c r="WUY4" s="109"/>
      <c r="WUZ4" s="109"/>
      <c r="WVA4" s="109"/>
      <c r="WVB4" s="109"/>
      <c r="WVC4" s="109"/>
      <c r="WVD4" s="109"/>
      <c r="WVE4" s="109"/>
      <c r="WVF4" s="109"/>
      <c r="WVG4" s="109"/>
      <c r="WVH4" s="109"/>
      <c r="WVI4" s="109"/>
      <c r="WVJ4" s="109"/>
      <c r="WVK4" s="109"/>
      <c r="WVL4" s="109"/>
      <c r="WVM4" s="109"/>
      <c r="WVN4" s="109"/>
      <c r="WVO4" s="109"/>
      <c r="WVP4" s="109"/>
      <c r="WVQ4" s="109"/>
      <c r="WVR4" s="109"/>
      <c r="WVS4" s="109"/>
      <c r="WVT4" s="109"/>
      <c r="WVU4" s="109"/>
      <c r="WVV4" s="109"/>
      <c r="WVW4" s="109"/>
      <c r="WVX4" s="109"/>
      <c r="WVY4" s="109"/>
      <c r="WVZ4" s="109"/>
      <c r="WWA4" s="109"/>
      <c r="WWB4" s="109"/>
      <c r="WWC4" s="109"/>
      <c r="WWD4" s="109"/>
      <c r="WWE4" s="109"/>
      <c r="WWF4" s="109"/>
      <c r="WWG4" s="109"/>
      <c r="WWH4" s="109"/>
      <c r="WWI4" s="109"/>
      <c r="WWJ4" s="109"/>
      <c r="WWK4" s="109"/>
      <c r="WWL4" s="109"/>
      <c r="WWM4" s="109"/>
      <c r="WWN4" s="109"/>
      <c r="WWO4" s="109"/>
      <c r="WWP4" s="109"/>
      <c r="WWQ4" s="109"/>
      <c r="WWR4" s="109"/>
      <c r="WWS4" s="109"/>
      <c r="WWT4" s="109"/>
      <c r="WWU4" s="109"/>
      <c r="WWV4" s="109"/>
      <c r="WWW4" s="109"/>
      <c r="WWX4" s="109"/>
      <c r="WWY4" s="109"/>
      <c r="WWZ4" s="109"/>
      <c r="WXA4" s="109"/>
      <c r="WXB4" s="109"/>
      <c r="WXC4" s="109"/>
      <c r="WXD4" s="109"/>
      <c r="WXE4" s="109"/>
      <c r="WXF4" s="109"/>
      <c r="WXG4" s="109"/>
      <c r="WXH4" s="109"/>
      <c r="WXI4" s="109"/>
      <c r="WXJ4" s="109"/>
      <c r="WXK4" s="109"/>
      <c r="WXL4" s="109"/>
      <c r="WXM4" s="109"/>
      <c r="WXN4" s="109"/>
      <c r="WXO4" s="109"/>
      <c r="WXP4" s="109"/>
      <c r="WXQ4" s="109"/>
      <c r="WXR4" s="109"/>
      <c r="WXS4" s="109"/>
      <c r="WXT4" s="109"/>
      <c r="WXU4" s="109"/>
      <c r="WXV4" s="109"/>
      <c r="WXW4" s="109"/>
      <c r="WXX4" s="109"/>
      <c r="WXY4" s="109"/>
      <c r="WXZ4" s="109"/>
      <c r="WYA4" s="109"/>
      <c r="WYB4" s="109"/>
      <c r="WYC4" s="109"/>
      <c r="WYD4" s="109"/>
      <c r="WYE4" s="109"/>
      <c r="WYF4" s="109"/>
      <c r="WYG4" s="109"/>
      <c r="WYH4" s="109"/>
      <c r="WYI4" s="109"/>
      <c r="WYJ4" s="109"/>
      <c r="WYK4" s="109"/>
      <c r="WYL4" s="109"/>
      <c r="WYM4" s="109"/>
      <c r="WYN4" s="109"/>
      <c r="WYO4" s="109"/>
      <c r="WYP4" s="109"/>
      <c r="WYQ4" s="109"/>
      <c r="WYR4" s="109"/>
      <c r="WYS4" s="109"/>
      <c r="WYT4" s="109"/>
      <c r="WYU4" s="109"/>
      <c r="WYV4" s="109"/>
      <c r="WYW4" s="109"/>
      <c r="WYX4" s="109"/>
      <c r="WYY4" s="109"/>
      <c r="WYZ4" s="109"/>
      <c r="WZA4" s="109"/>
      <c r="WZB4" s="109"/>
      <c r="WZC4" s="109"/>
      <c r="WZD4" s="109"/>
      <c r="WZE4" s="109"/>
      <c r="WZF4" s="109"/>
      <c r="WZG4" s="109"/>
      <c r="WZH4" s="109"/>
      <c r="WZI4" s="109"/>
      <c r="WZJ4" s="109"/>
      <c r="WZK4" s="109"/>
      <c r="WZL4" s="109"/>
      <c r="WZM4" s="109"/>
      <c r="WZN4" s="109"/>
      <c r="WZO4" s="109"/>
      <c r="WZP4" s="109"/>
      <c r="WZQ4" s="109"/>
      <c r="WZR4" s="109"/>
      <c r="WZS4" s="109"/>
      <c r="WZT4" s="109"/>
      <c r="WZU4" s="109"/>
      <c r="WZV4" s="109"/>
      <c r="WZW4" s="109"/>
      <c r="WZX4" s="109"/>
      <c r="WZY4" s="109"/>
      <c r="WZZ4" s="109"/>
      <c r="XAA4" s="109"/>
      <c r="XAB4" s="109"/>
      <c r="XAC4" s="109"/>
      <c r="XAD4" s="109"/>
      <c r="XAE4" s="109"/>
      <c r="XAF4" s="109"/>
      <c r="XAG4" s="109"/>
      <c r="XAH4" s="109"/>
      <c r="XAI4" s="109"/>
      <c r="XAJ4" s="109"/>
      <c r="XAK4" s="109"/>
      <c r="XAL4" s="109"/>
      <c r="XAM4" s="109"/>
      <c r="XAN4" s="109"/>
      <c r="XAO4" s="109"/>
      <c r="XAP4" s="109"/>
      <c r="XAQ4" s="109"/>
      <c r="XAR4" s="109"/>
      <c r="XAS4" s="109"/>
      <c r="XAT4" s="109"/>
      <c r="XAU4" s="109"/>
      <c r="XAV4" s="109"/>
      <c r="XAW4" s="109"/>
      <c r="XAX4" s="109"/>
      <c r="XAY4" s="109"/>
      <c r="XAZ4" s="109"/>
      <c r="XBA4" s="109"/>
      <c r="XBB4" s="109"/>
      <c r="XBC4" s="109"/>
      <c r="XBD4" s="109"/>
      <c r="XBE4" s="109"/>
      <c r="XBF4" s="109"/>
      <c r="XBG4" s="109"/>
      <c r="XBH4" s="109"/>
      <c r="XBI4" s="109"/>
      <c r="XBJ4" s="109"/>
      <c r="XBK4" s="109"/>
      <c r="XBL4" s="109"/>
      <c r="XBM4" s="109"/>
      <c r="XBN4" s="109"/>
      <c r="XBO4" s="109"/>
      <c r="XBP4" s="109"/>
      <c r="XBQ4" s="109"/>
      <c r="XBR4" s="109"/>
      <c r="XBS4" s="109"/>
      <c r="XBT4" s="109"/>
      <c r="XBU4" s="109"/>
      <c r="XBV4" s="109"/>
      <c r="XBW4" s="109"/>
      <c r="XBX4" s="109"/>
      <c r="XBY4" s="109"/>
      <c r="XBZ4" s="109"/>
      <c r="XCA4" s="109"/>
      <c r="XCB4" s="109"/>
      <c r="XCC4" s="109"/>
      <c r="XCD4" s="109"/>
      <c r="XCE4" s="109"/>
      <c r="XCF4" s="109"/>
      <c r="XCG4" s="109"/>
      <c r="XCH4" s="109"/>
      <c r="XCI4" s="109"/>
      <c r="XCJ4" s="109"/>
      <c r="XCK4" s="109"/>
      <c r="XCL4" s="109"/>
      <c r="XCM4" s="109"/>
      <c r="XCN4" s="109"/>
      <c r="XCO4" s="109"/>
      <c r="XCP4" s="109"/>
      <c r="XCQ4" s="109"/>
      <c r="XCR4" s="109"/>
      <c r="XCS4" s="109"/>
      <c r="XCT4" s="109"/>
      <c r="XCU4" s="109"/>
      <c r="XCV4" s="109"/>
      <c r="XCW4" s="109"/>
      <c r="XCX4" s="109"/>
      <c r="XCY4" s="109"/>
      <c r="XCZ4" s="109"/>
      <c r="XDA4" s="109"/>
      <c r="XDB4" s="109"/>
      <c r="XDC4" s="109"/>
      <c r="XDD4" s="109"/>
      <c r="XDE4" s="109"/>
      <c r="XDF4" s="109"/>
      <c r="XDG4" s="109"/>
      <c r="XDH4" s="109"/>
      <c r="XDI4" s="109"/>
      <c r="XDJ4" s="109"/>
      <c r="XDK4" s="109"/>
      <c r="XDL4" s="109"/>
      <c r="XDM4" s="109"/>
      <c r="XDN4" s="109"/>
      <c r="XDO4" s="109"/>
      <c r="XDP4" s="109"/>
      <c r="XDQ4" s="109"/>
      <c r="XDR4" s="109"/>
      <c r="XDS4" s="109"/>
      <c r="XDT4" s="109"/>
      <c r="XDU4" s="109"/>
      <c r="XDV4" s="109"/>
      <c r="XDW4" s="109"/>
      <c r="XDX4" s="109"/>
      <c r="XDY4" s="109"/>
      <c r="XDZ4" s="109"/>
      <c r="XEA4" s="109"/>
      <c r="XEB4" s="109"/>
      <c r="XEC4" s="109"/>
      <c r="XED4" s="109"/>
      <c r="XEE4" s="109"/>
      <c r="XEF4" s="109"/>
      <c r="XEG4" s="109"/>
      <c r="XEH4" s="109"/>
      <c r="XEI4" s="109"/>
      <c r="XEJ4" s="109"/>
      <c r="XEK4" s="109"/>
      <c r="XEL4" s="109"/>
      <c r="XEM4" s="109"/>
      <c r="XEN4" s="109"/>
      <c r="XEO4" s="109"/>
      <c r="XEP4" s="109"/>
      <c r="XEQ4" s="109"/>
      <c r="XER4" s="109"/>
      <c r="XES4" s="109"/>
      <c r="XET4" s="109"/>
      <c r="XEU4" s="109"/>
      <c r="XEV4" s="109"/>
      <c r="XEW4" s="109"/>
      <c r="XEX4" s="109"/>
      <c r="XEY4" s="109"/>
      <c r="XEZ4" s="109"/>
      <c r="XFA4" s="109"/>
      <c r="XFB4" s="109"/>
      <c r="XFC4" s="109"/>
    </row>
    <row r="5" spans="1:16383" ht="17.399999999999999" customHeight="1"/>
    <row r="6" spans="1:16383" s="7" customFormat="1" ht="25.05" customHeight="1">
      <c r="F6" s="36"/>
      <c r="G6" s="111" t="s">
        <v>375</v>
      </c>
      <c r="H6" s="111"/>
    </row>
    <row r="7" spans="1:16383" ht="17.399999999999999">
      <c r="G7" s="40" t="s">
        <v>1</v>
      </c>
      <c r="H7" s="41" t="s">
        <v>417</v>
      </c>
    </row>
    <row r="8" spans="1:16383" ht="15.6">
      <c r="G8" s="87" t="s">
        <v>24</v>
      </c>
      <c r="H8" s="88">
        <v>527370</v>
      </c>
      <c r="J8" s="46"/>
      <c r="K8" s="46"/>
      <c r="L8" s="46"/>
      <c r="M8" s="46"/>
      <c r="N8" s="46"/>
      <c r="O8" s="46"/>
    </row>
    <row r="9" spans="1:16383" ht="15.6">
      <c r="G9" s="51" t="s">
        <v>14</v>
      </c>
      <c r="H9" s="52">
        <v>301576</v>
      </c>
      <c r="J9" s="112" t="s">
        <v>418</v>
      </c>
      <c r="K9" s="113"/>
      <c r="L9" s="113"/>
      <c r="M9" s="113"/>
      <c r="N9" s="114"/>
      <c r="O9" s="46"/>
    </row>
    <row r="10" spans="1:16383" ht="15.6">
      <c r="G10" s="95" t="s">
        <v>31</v>
      </c>
      <c r="H10" s="52">
        <v>228696</v>
      </c>
      <c r="J10" s="115"/>
      <c r="K10" s="116"/>
      <c r="L10" s="116"/>
      <c r="M10" s="116"/>
      <c r="N10" s="117"/>
      <c r="O10" s="46"/>
    </row>
    <row r="11" spans="1:16383" ht="15.6">
      <c r="G11" s="17" t="s">
        <v>373</v>
      </c>
      <c r="H11" s="53">
        <v>1057642</v>
      </c>
      <c r="J11" s="115"/>
      <c r="K11" s="116"/>
      <c r="L11" s="116"/>
      <c r="M11" s="116"/>
      <c r="N11" s="117"/>
      <c r="O11" s="46"/>
    </row>
    <row r="12" spans="1:16383">
      <c r="J12" s="115"/>
      <c r="K12" s="116"/>
      <c r="L12" s="116"/>
      <c r="M12" s="116"/>
      <c r="N12" s="117"/>
      <c r="O12" s="46"/>
    </row>
    <row r="13" spans="1:16383">
      <c r="J13" s="115"/>
      <c r="K13" s="116"/>
      <c r="L13" s="116"/>
      <c r="M13" s="116"/>
      <c r="N13" s="117"/>
      <c r="O13" s="46"/>
    </row>
    <row r="14" spans="1:16383">
      <c r="J14" s="118"/>
      <c r="K14" s="119"/>
      <c r="L14" s="119"/>
      <c r="M14" s="119"/>
      <c r="N14" s="120"/>
      <c r="O14" s="46"/>
    </row>
    <row r="15" spans="1:16383">
      <c r="J15" s="46"/>
      <c r="K15" s="46"/>
      <c r="L15" s="46"/>
      <c r="M15" s="46"/>
      <c r="N15" s="46"/>
      <c r="O15" s="46"/>
    </row>
    <row r="16" spans="1:16383">
      <c r="J16" s="46"/>
      <c r="K16" s="46"/>
      <c r="L16" s="46"/>
      <c r="M16" s="46"/>
      <c r="N16" s="46"/>
      <c r="O16" s="46"/>
    </row>
    <row r="17" spans="10:18">
      <c r="J17" s="46"/>
      <c r="K17" s="46"/>
      <c r="L17" s="46"/>
      <c r="M17" s="46"/>
      <c r="N17" s="46"/>
      <c r="O17" s="46"/>
    </row>
    <row r="18" spans="10:18">
      <c r="J18" s="46"/>
      <c r="K18" s="46"/>
      <c r="L18" s="46"/>
      <c r="M18" s="46"/>
      <c r="N18" s="46"/>
      <c r="O18" s="46"/>
    </row>
    <row r="19" spans="10:18">
      <c r="J19" s="46"/>
      <c r="K19" s="46"/>
      <c r="L19" s="46"/>
      <c r="M19" s="46"/>
      <c r="N19" s="46"/>
      <c r="O19" s="46"/>
    </row>
    <row r="20" spans="10:18">
      <c r="J20" s="46"/>
      <c r="K20" s="46"/>
      <c r="L20" s="46"/>
      <c r="M20" s="46"/>
      <c r="N20" s="46"/>
      <c r="O20" s="46"/>
    </row>
    <row r="21" spans="10:18">
      <c r="J21" s="46"/>
      <c r="K21" s="46"/>
      <c r="L21" s="46"/>
      <c r="M21" s="46"/>
      <c r="N21" s="46"/>
      <c r="O21" s="46"/>
    </row>
    <row r="22" spans="10:18">
      <c r="J22" s="46"/>
      <c r="K22" s="46"/>
      <c r="L22" s="46"/>
      <c r="M22" s="46"/>
      <c r="N22" s="46"/>
      <c r="O22" s="46"/>
    </row>
    <row r="23" spans="10:18">
      <c r="J23" s="46"/>
      <c r="K23" s="46"/>
      <c r="L23" s="46"/>
      <c r="M23" s="46"/>
      <c r="N23" s="46"/>
      <c r="O23" s="46"/>
    </row>
    <row r="24" spans="10:18">
      <c r="M24" s="46"/>
      <c r="N24" s="46"/>
      <c r="O24" s="46"/>
    </row>
    <row r="25" spans="10:18">
      <c r="N25" s="35"/>
    </row>
    <row r="26" spans="10:18" ht="21">
      <c r="M26" s="42"/>
      <c r="N26" s="42"/>
      <c r="O26" s="42"/>
      <c r="P26" s="42"/>
      <c r="Q26" s="42"/>
      <c r="R26" s="42"/>
    </row>
  </sheetData>
  <mergeCells count="1262">
    <mergeCell ref="G2:H2"/>
    <mergeCell ref="G6:H6"/>
    <mergeCell ref="Z4:AL4"/>
    <mergeCell ref="GM4:GY4"/>
    <mergeCell ref="GZ4:HL4"/>
    <mergeCell ref="HM4:HY4"/>
    <mergeCell ref="HZ4:IL4"/>
    <mergeCell ref="IM4:IY4"/>
    <mergeCell ref="IZ4:JL4"/>
    <mergeCell ref="DM4:DY4"/>
    <mergeCell ref="DZ4:EL4"/>
    <mergeCell ref="EM4:EY4"/>
    <mergeCell ref="EZ4:FL4"/>
    <mergeCell ref="FM4:FY4"/>
    <mergeCell ref="FZ4:GL4"/>
    <mergeCell ref="AM4:AY4"/>
    <mergeCell ref="AZ4:BL4"/>
    <mergeCell ref="BM4:BY4"/>
    <mergeCell ref="BZ4:CL4"/>
    <mergeCell ref="CM4:CY4"/>
    <mergeCell ref="CZ4:DL4"/>
    <mergeCell ref="J9:N14"/>
    <mergeCell ref="PM4:PY4"/>
    <mergeCell ref="PZ4:QL4"/>
    <mergeCell ref="QM4:QY4"/>
    <mergeCell ref="QZ4:RL4"/>
    <mergeCell ref="RM4:RY4"/>
    <mergeCell ref="RZ4:SL4"/>
    <mergeCell ref="MM4:MY4"/>
    <mergeCell ref="MZ4:NL4"/>
    <mergeCell ref="NM4:NY4"/>
    <mergeCell ref="NZ4:OL4"/>
    <mergeCell ref="OM4:OY4"/>
    <mergeCell ref="OZ4:PL4"/>
    <mergeCell ref="JM4:JY4"/>
    <mergeCell ref="JZ4:KL4"/>
    <mergeCell ref="KM4:KY4"/>
    <mergeCell ref="KZ4:LL4"/>
    <mergeCell ref="LM4:LY4"/>
    <mergeCell ref="LZ4:ML4"/>
    <mergeCell ref="YM4:YY4"/>
    <mergeCell ref="YZ4:ZL4"/>
    <mergeCell ref="ZM4:ZY4"/>
    <mergeCell ref="ZZ4:AAL4"/>
    <mergeCell ref="AAM4:AAY4"/>
    <mergeCell ref="AAZ4:ABL4"/>
    <mergeCell ref="VM4:VY4"/>
    <mergeCell ref="VZ4:WL4"/>
    <mergeCell ref="WM4:WY4"/>
    <mergeCell ref="WZ4:XL4"/>
    <mergeCell ref="XM4:XY4"/>
    <mergeCell ref="XZ4:YL4"/>
    <mergeCell ref="SM4:SY4"/>
    <mergeCell ref="SZ4:TL4"/>
    <mergeCell ref="TM4:TY4"/>
    <mergeCell ref="TZ4:UL4"/>
    <mergeCell ref="UM4:UY4"/>
    <mergeCell ref="UZ4:VL4"/>
    <mergeCell ref="AHM4:AHY4"/>
    <mergeCell ref="AHZ4:AIL4"/>
    <mergeCell ref="AIM4:AIY4"/>
    <mergeCell ref="AIZ4:AJL4"/>
    <mergeCell ref="AJM4:AJY4"/>
    <mergeCell ref="AJZ4:AKL4"/>
    <mergeCell ref="AEM4:AEY4"/>
    <mergeCell ref="AEZ4:AFL4"/>
    <mergeCell ref="AFM4:AFY4"/>
    <mergeCell ref="AFZ4:AGL4"/>
    <mergeCell ref="AGM4:AGY4"/>
    <mergeCell ref="AGZ4:AHL4"/>
    <mergeCell ref="ABM4:ABY4"/>
    <mergeCell ref="ABZ4:ACL4"/>
    <mergeCell ref="ACM4:ACY4"/>
    <mergeCell ref="ACZ4:ADL4"/>
    <mergeCell ref="ADM4:ADY4"/>
    <mergeCell ref="ADZ4:AEL4"/>
    <mergeCell ref="AQM4:AQY4"/>
    <mergeCell ref="AQZ4:ARL4"/>
    <mergeCell ref="ARM4:ARY4"/>
    <mergeCell ref="ARZ4:ASL4"/>
    <mergeCell ref="ASM4:ASY4"/>
    <mergeCell ref="ASZ4:ATL4"/>
    <mergeCell ref="ANM4:ANY4"/>
    <mergeCell ref="ANZ4:AOL4"/>
    <mergeCell ref="AOM4:AOY4"/>
    <mergeCell ref="AOZ4:APL4"/>
    <mergeCell ref="APM4:APY4"/>
    <mergeCell ref="APZ4:AQL4"/>
    <mergeCell ref="AKM4:AKY4"/>
    <mergeCell ref="AKZ4:ALL4"/>
    <mergeCell ref="ALM4:ALY4"/>
    <mergeCell ref="ALZ4:AML4"/>
    <mergeCell ref="AMM4:AMY4"/>
    <mergeCell ref="AMZ4:ANL4"/>
    <mergeCell ref="AZM4:AZY4"/>
    <mergeCell ref="AZZ4:BAL4"/>
    <mergeCell ref="BAM4:BAY4"/>
    <mergeCell ref="BAZ4:BBL4"/>
    <mergeCell ref="BBM4:BBY4"/>
    <mergeCell ref="BBZ4:BCL4"/>
    <mergeCell ref="AWM4:AWY4"/>
    <mergeCell ref="AWZ4:AXL4"/>
    <mergeCell ref="AXM4:AXY4"/>
    <mergeCell ref="AXZ4:AYL4"/>
    <mergeCell ref="AYM4:AYY4"/>
    <mergeCell ref="AYZ4:AZL4"/>
    <mergeCell ref="ATM4:ATY4"/>
    <mergeCell ref="ATZ4:AUL4"/>
    <mergeCell ref="AUM4:AUY4"/>
    <mergeCell ref="AUZ4:AVL4"/>
    <mergeCell ref="AVM4:AVY4"/>
    <mergeCell ref="AVZ4:AWL4"/>
    <mergeCell ref="BIM4:BIY4"/>
    <mergeCell ref="BIZ4:BJL4"/>
    <mergeCell ref="BJM4:BJY4"/>
    <mergeCell ref="BJZ4:BKL4"/>
    <mergeCell ref="BKM4:BKY4"/>
    <mergeCell ref="BKZ4:BLL4"/>
    <mergeCell ref="BFM4:BFY4"/>
    <mergeCell ref="BFZ4:BGL4"/>
    <mergeCell ref="BGM4:BGY4"/>
    <mergeCell ref="BGZ4:BHL4"/>
    <mergeCell ref="BHM4:BHY4"/>
    <mergeCell ref="BHZ4:BIL4"/>
    <mergeCell ref="BCM4:BCY4"/>
    <mergeCell ref="BCZ4:BDL4"/>
    <mergeCell ref="BDM4:BDY4"/>
    <mergeCell ref="BDZ4:BEL4"/>
    <mergeCell ref="BEM4:BEY4"/>
    <mergeCell ref="BEZ4:BFL4"/>
    <mergeCell ref="BRM4:BRY4"/>
    <mergeCell ref="BRZ4:BSL4"/>
    <mergeCell ref="BSM4:BSY4"/>
    <mergeCell ref="BSZ4:BTL4"/>
    <mergeCell ref="BTM4:BTY4"/>
    <mergeCell ref="BTZ4:BUL4"/>
    <mergeCell ref="BOM4:BOY4"/>
    <mergeCell ref="BOZ4:BPL4"/>
    <mergeCell ref="BPM4:BPY4"/>
    <mergeCell ref="BPZ4:BQL4"/>
    <mergeCell ref="BQM4:BQY4"/>
    <mergeCell ref="BQZ4:BRL4"/>
    <mergeCell ref="BLM4:BLY4"/>
    <mergeCell ref="BLZ4:BML4"/>
    <mergeCell ref="BMM4:BMY4"/>
    <mergeCell ref="BMZ4:BNL4"/>
    <mergeCell ref="BNM4:BNY4"/>
    <mergeCell ref="BNZ4:BOL4"/>
    <mergeCell ref="CAM4:CAY4"/>
    <mergeCell ref="CAZ4:CBL4"/>
    <mergeCell ref="CBM4:CBY4"/>
    <mergeCell ref="CBZ4:CCL4"/>
    <mergeCell ref="CCM4:CCY4"/>
    <mergeCell ref="CCZ4:CDL4"/>
    <mergeCell ref="BXM4:BXY4"/>
    <mergeCell ref="BXZ4:BYL4"/>
    <mergeCell ref="BYM4:BYY4"/>
    <mergeCell ref="BYZ4:BZL4"/>
    <mergeCell ref="BZM4:BZY4"/>
    <mergeCell ref="BZZ4:CAL4"/>
    <mergeCell ref="BUM4:BUY4"/>
    <mergeCell ref="BUZ4:BVL4"/>
    <mergeCell ref="BVM4:BVY4"/>
    <mergeCell ref="BVZ4:BWL4"/>
    <mergeCell ref="BWM4:BWY4"/>
    <mergeCell ref="BWZ4:BXL4"/>
    <mergeCell ref="CJM4:CJY4"/>
    <mergeCell ref="CJZ4:CKL4"/>
    <mergeCell ref="CKM4:CKY4"/>
    <mergeCell ref="CKZ4:CLL4"/>
    <mergeCell ref="CLM4:CLY4"/>
    <mergeCell ref="CLZ4:CML4"/>
    <mergeCell ref="CGM4:CGY4"/>
    <mergeCell ref="CGZ4:CHL4"/>
    <mergeCell ref="CHM4:CHY4"/>
    <mergeCell ref="CHZ4:CIL4"/>
    <mergeCell ref="CIM4:CIY4"/>
    <mergeCell ref="CIZ4:CJL4"/>
    <mergeCell ref="CDM4:CDY4"/>
    <mergeCell ref="CDZ4:CEL4"/>
    <mergeCell ref="CEM4:CEY4"/>
    <mergeCell ref="CEZ4:CFL4"/>
    <mergeCell ref="CFM4:CFY4"/>
    <mergeCell ref="CFZ4:CGL4"/>
    <mergeCell ref="CSM4:CSY4"/>
    <mergeCell ref="CSZ4:CTL4"/>
    <mergeCell ref="CTM4:CTY4"/>
    <mergeCell ref="CTZ4:CUL4"/>
    <mergeCell ref="CUM4:CUY4"/>
    <mergeCell ref="CUZ4:CVL4"/>
    <mergeCell ref="CPM4:CPY4"/>
    <mergeCell ref="CPZ4:CQL4"/>
    <mergeCell ref="CQM4:CQY4"/>
    <mergeCell ref="CQZ4:CRL4"/>
    <mergeCell ref="CRM4:CRY4"/>
    <mergeCell ref="CRZ4:CSL4"/>
    <mergeCell ref="CMM4:CMY4"/>
    <mergeCell ref="CMZ4:CNL4"/>
    <mergeCell ref="CNM4:CNY4"/>
    <mergeCell ref="CNZ4:COL4"/>
    <mergeCell ref="COM4:COY4"/>
    <mergeCell ref="COZ4:CPL4"/>
    <mergeCell ref="DBM4:DBY4"/>
    <mergeCell ref="DBZ4:DCL4"/>
    <mergeCell ref="DCM4:DCY4"/>
    <mergeCell ref="DCZ4:DDL4"/>
    <mergeCell ref="DDM4:DDY4"/>
    <mergeCell ref="DDZ4:DEL4"/>
    <mergeCell ref="CYM4:CYY4"/>
    <mergeCell ref="CYZ4:CZL4"/>
    <mergeCell ref="CZM4:CZY4"/>
    <mergeCell ref="CZZ4:DAL4"/>
    <mergeCell ref="DAM4:DAY4"/>
    <mergeCell ref="DAZ4:DBL4"/>
    <mergeCell ref="CVM4:CVY4"/>
    <mergeCell ref="CVZ4:CWL4"/>
    <mergeCell ref="CWM4:CWY4"/>
    <mergeCell ref="CWZ4:CXL4"/>
    <mergeCell ref="CXM4:CXY4"/>
    <mergeCell ref="CXZ4:CYL4"/>
    <mergeCell ref="DKM4:DKY4"/>
    <mergeCell ref="DKZ4:DLL4"/>
    <mergeCell ref="DLM4:DLY4"/>
    <mergeCell ref="DLZ4:DML4"/>
    <mergeCell ref="DMM4:DMY4"/>
    <mergeCell ref="DMZ4:DNL4"/>
    <mergeCell ref="DHM4:DHY4"/>
    <mergeCell ref="DHZ4:DIL4"/>
    <mergeCell ref="DIM4:DIY4"/>
    <mergeCell ref="DIZ4:DJL4"/>
    <mergeCell ref="DJM4:DJY4"/>
    <mergeCell ref="DJZ4:DKL4"/>
    <mergeCell ref="DEM4:DEY4"/>
    <mergeCell ref="DEZ4:DFL4"/>
    <mergeCell ref="DFM4:DFY4"/>
    <mergeCell ref="DFZ4:DGL4"/>
    <mergeCell ref="DGM4:DGY4"/>
    <mergeCell ref="DGZ4:DHL4"/>
    <mergeCell ref="DTM4:DTY4"/>
    <mergeCell ref="DTZ4:DUL4"/>
    <mergeCell ref="DUM4:DUY4"/>
    <mergeCell ref="DUZ4:DVL4"/>
    <mergeCell ref="DVM4:DVY4"/>
    <mergeCell ref="DVZ4:DWL4"/>
    <mergeCell ref="DQM4:DQY4"/>
    <mergeCell ref="DQZ4:DRL4"/>
    <mergeCell ref="DRM4:DRY4"/>
    <mergeCell ref="DRZ4:DSL4"/>
    <mergeCell ref="DSM4:DSY4"/>
    <mergeCell ref="DSZ4:DTL4"/>
    <mergeCell ref="DNM4:DNY4"/>
    <mergeCell ref="DNZ4:DOL4"/>
    <mergeCell ref="DOM4:DOY4"/>
    <mergeCell ref="DOZ4:DPL4"/>
    <mergeCell ref="DPM4:DPY4"/>
    <mergeCell ref="DPZ4:DQL4"/>
    <mergeCell ref="ECM4:ECY4"/>
    <mergeCell ref="ECZ4:EDL4"/>
    <mergeCell ref="EDM4:EDY4"/>
    <mergeCell ref="EDZ4:EEL4"/>
    <mergeCell ref="EEM4:EEY4"/>
    <mergeCell ref="EEZ4:EFL4"/>
    <mergeCell ref="DZM4:DZY4"/>
    <mergeCell ref="DZZ4:EAL4"/>
    <mergeCell ref="EAM4:EAY4"/>
    <mergeCell ref="EAZ4:EBL4"/>
    <mergeCell ref="EBM4:EBY4"/>
    <mergeCell ref="EBZ4:ECL4"/>
    <mergeCell ref="DWM4:DWY4"/>
    <mergeCell ref="DWZ4:DXL4"/>
    <mergeCell ref="DXM4:DXY4"/>
    <mergeCell ref="DXZ4:DYL4"/>
    <mergeCell ref="DYM4:DYY4"/>
    <mergeCell ref="DYZ4:DZL4"/>
    <mergeCell ref="ELM4:ELY4"/>
    <mergeCell ref="ELZ4:EML4"/>
    <mergeCell ref="EMM4:EMY4"/>
    <mergeCell ref="EMZ4:ENL4"/>
    <mergeCell ref="ENM4:ENY4"/>
    <mergeCell ref="ENZ4:EOL4"/>
    <mergeCell ref="EIM4:EIY4"/>
    <mergeCell ref="EIZ4:EJL4"/>
    <mergeCell ref="EJM4:EJY4"/>
    <mergeCell ref="EJZ4:EKL4"/>
    <mergeCell ref="EKM4:EKY4"/>
    <mergeCell ref="EKZ4:ELL4"/>
    <mergeCell ref="EFM4:EFY4"/>
    <mergeCell ref="EFZ4:EGL4"/>
    <mergeCell ref="EGM4:EGY4"/>
    <mergeCell ref="EGZ4:EHL4"/>
    <mergeCell ref="EHM4:EHY4"/>
    <mergeCell ref="EHZ4:EIL4"/>
    <mergeCell ref="EUM4:EUY4"/>
    <mergeCell ref="EUZ4:EVL4"/>
    <mergeCell ref="EVM4:EVY4"/>
    <mergeCell ref="EVZ4:EWL4"/>
    <mergeCell ref="EWM4:EWY4"/>
    <mergeCell ref="EWZ4:EXL4"/>
    <mergeCell ref="ERM4:ERY4"/>
    <mergeCell ref="ERZ4:ESL4"/>
    <mergeCell ref="ESM4:ESY4"/>
    <mergeCell ref="ESZ4:ETL4"/>
    <mergeCell ref="ETM4:ETY4"/>
    <mergeCell ref="ETZ4:EUL4"/>
    <mergeCell ref="EOM4:EOY4"/>
    <mergeCell ref="EOZ4:EPL4"/>
    <mergeCell ref="EPM4:EPY4"/>
    <mergeCell ref="EPZ4:EQL4"/>
    <mergeCell ref="EQM4:EQY4"/>
    <mergeCell ref="EQZ4:ERL4"/>
    <mergeCell ref="FDM4:FDY4"/>
    <mergeCell ref="FDZ4:FEL4"/>
    <mergeCell ref="FEM4:FEY4"/>
    <mergeCell ref="FEZ4:FFL4"/>
    <mergeCell ref="FFM4:FFY4"/>
    <mergeCell ref="FFZ4:FGL4"/>
    <mergeCell ref="FAM4:FAY4"/>
    <mergeCell ref="FAZ4:FBL4"/>
    <mergeCell ref="FBM4:FBY4"/>
    <mergeCell ref="FBZ4:FCL4"/>
    <mergeCell ref="FCM4:FCY4"/>
    <mergeCell ref="FCZ4:FDL4"/>
    <mergeCell ref="EXM4:EXY4"/>
    <mergeCell ref="EXZ4:EYL4"/>
    <mergeCell ref="EYM4:EYY4"/>
    <mergeCell ref="EYZ4:EZL4"/>
    <mergeCell ref="EZM4:EZY4"/>
    <mergeCell ref="EZZ4:FAL4"/>
    <mergeCell ref="FMM4:FMY4"/>
    <mergeCell ref="FMZ4:FNL4"/>
    <mergeCell ref="FNM4:FNY4"/>
    <mergeCell ref="FNZ4:FOL4"/>
    <mergeCell ref="FOM4:FOY4"/>
    <mergeCell ref="FOZ4:FPL4"/>
    <mergeCell ref="FJM4:FJY4"/>
    <mergeCell ref="FJZ4:FKL4"/>
    <mergeCell ref="FKM4:FKY4"/>
    <mergeCell ref="FKZ4:FLL4"/>
    <mergeCell ref="FLM4:FLY4"/>
    <mergeCell ref="FLZ4:FML4"/>
    <mergeCell ref="FGM4:FGY4"/>
    <mergeCell ref="FGZ4:FHL4"/>
    <mergeCell ref="FHM4:FHY4"/>
    <mergeCell ref="FHZ4:FIL4"/>
    <mergeCell ref="FIM4:FIY4"/>
    <mergeCell ref="FIZ4:FJL4"/>
    <mergeCell ref="FVM4:FVY4"/>
    <mergeCell ref="FVZ4:FWL4"/>
    <mergeCell ref="FWM4:FWY4"/>
    <mergeCell ref="FWZ4:FXL4"/>
    <mergeCell ref="FXM4:FXY4"/>
    <mergeCell ref="FXZ4:FYL4"/>
    <mergeCell ref="FSM4:FSY4"/>
    <mergeCell ref="FSZ4:FTL4"/>
    <mergeCell ref="FTM4:FTY4"/>
    <mergeCell ref="FTZ4:FUL4"/>
    <mergeCell ref="FUM4:FUY4"/>
    <mergeCell ref="FUZ4:FVL4"/>
    <mergeCell ref="FPM4:FPY4"/>
    <mergeCell ref="FPZ4:FQL4"/>
    <mergeCell ref="FQM4:FQY4"/>
    <mergeCell ref="FQZ4:FRL4"/>
    <mergeCell ref="FRM4:FRY4"/>
    <mergeCell ref="FRZ4:FSL4"/>
    <mergeCell ref="GEM4:GEY4"/>
    <mergeCell ref="GEZ4:GFL4"/>
    <mergeCell ref="GFM4:GFY4"/>
    <mergeCell ref="GFZ4:GGL4"/>
    <mergeCell ref="GGM4:GGY4"/>
    <mergeCell ref="GGZ4:GHL4"/>
    <mergeCell ref="GBM4:GBY4"/>
    <mergeCell ref="GBZ4:GCL4"/>
    <mergeCell ref="GCM4:GCY4"/>
    <mergeCell ref="GCZ4:GDL4"/>
    <mergeCell ref="GDM4:GDY4"/>
    <mergeCell ref="GDZ4:GEL4"/>
    <mergeCell ref="FYM4:FYY4"/>
    <mergeCell ref="FYZ4:FZL4"/>
    <mergeCell ref="FZM4:FZY4"/>
    <mergeCell ref="FZZ4:GAL4"/>
    <mergeCell ref="GAM4:GAY4"/>
    <mergeCell ref="GAZ4:GBL4"/>
    <mergeCell ref="GNM4:GNY4"/>
    <mergeCell ref="GNZ4:GOL4"/>
    <mergeCell ref="GOM4:GOY4"/>
    <mergeCell ref="GOZ4:GPL4"/>
    <mergeCell ref="GPM4:GPY4"/>
    <mergeCell ref="GPZ4:GQL4"/>
    <mergeCell ref="GKM4:GKY4"/>
    <mergeCell ref="GKZ4:GLL4"/>
    <mergeCell ref="GLM4:GLY4"/>
    <mergeCell ref="GLZ4:GML4"/>
    <mergeCell ref="GMM4:GMY4"/>
    <mergeCell ref="GMZ4:GNL4"/>
    <mergeCell ref="GHM4:GHY4"/>
    <mergeCell ref="GHZ4:GIL4"/>
    <mergeCell ref="GIM4:GIY4"/>
    <mergeCell ref="GIZ4:GJL4"/>
    <mergeCell ref="GJM4:GJY4"/>
    <mergeCell ref="GJZ4:GKL4"/>
    <mergeCell ref="GWM4:GWY4"/>
    <mergeCell ref="GWZ4:GXL4"/>
    <mergeCell ref="GXM4:GXY4"/>
    <mergeCell ref="GXZ4:GYL4"/>
    <mergeCell ref="GYM4:GYY4"/>
    <mergeCell ref="GYZ4:GZL4"/>
    <mergeCell ref="GTM4:GTY4"/>
    <mergeCell ref="GTZ4:GUL4"/>
    <mergeCell ref="GUM4:GUY4"/>
    <mergeCell ref="GUZ4:GVL4"/>
    <mergeCell ref="GVM4:GVY4"/>
    <mergeCell ref="GVZ4:GWL4"/>
    <mergeCell ref="GQM4:GQY4"/>
    <mergeCell ref="GQZ4:GRL4"/>
    <mergeCell ref="GRM4:GRY4"/>
    <mergeCell ref="GRZ4:GSL4"/>
    <mergeCell ref="GSM4:GSY4"/>
    <mergeCell ref="GSZ4:GTL4"/>
    <mergeCell ref="HFM4:HFY4"/>
    <mergeCell ref="HFZ4:HGL4"/>
    <mergeCell ref="HGM4:HGY4"/>
    <mergeCell ref="HGZ4:HHL4"/>
    <mergeCell ref="HHM4:HHY4"/>
    <mergeCell ref="HHZ4:HIL4"/>
    <mergeCell ref="HCM4:HCY4"/>
    <mergeCell ref="HCZ4:HDL4"/>
    <mergeCell ref="HDM4:HDY4"/>
    <mergeCell ref="HDZ4:HEL4"/>
    <mergeCell ref="HEM4:HEY4"/>
    <mergeCell ref="HEZ4:HFL4"/>
    <mergeCell ref="GZM4:GZY4"/>
    <mergeCell ref="GZZ4:HAL4"/>
    <mergeCell ref="HAM4:HAY4"/>
    <mergeCell ref="HAZ4:HBL4"/>
    <mergeCell ref="HBM4:HBY4"/>
    <mergeCell ref="HBZ4:HCL4"/>
    <mergeCell ref="HOM4:HOY4"/>
    <mergeCell ref="HOZ4:HPL4"/>
    <mergeCell ref="HPM4:HPY4"/>
    <mergeCell ref="HPZ4:HQL4"/>
    <mergeCell ref="HQM4:HQY4"/>
    <mergeCell ref="HQZ4:HRL4"/>
    <mergeCell ref="HLM4:HLY4"/>
    <mergeCell ref="HLZ4:HML4"/>
    <mergeCell ref="HMM4:HMY4"/>
    <mergeCell ref="HMZ4:HNL4"/>
    <mergeCell ref="HNM4:HNY4"/>
    <mergeCell ref="HNZ4:HOL4"/>
    <mergeCell ref="HIM4:HIY4"/>
    <mergeCell ref="HIZ4:HJL4"/>
    <mergeCell ref="HJM4:HJY4"/>
    <mergeCell ref="HJZ4:HKL4"/>
    <mergeCell ref="HKM4:HKY4"/>
    <mergeCell ref="HKZ4:HLL4"/>
    <mergeCell ref="HXM4:HXY4"/>
    <mergeCell ref="HXZ4:HYL4"/>
    <mergeCell ref="HYM4:HYY4"/>
    <mergeCell ref="HYZ4:HZL4"/>
    <mergeCell ref="HZM4:HZY4"/>
    <mergeCell ref="HZZ4:IAL4"/>
    <mergeCell ref="HUM4:HUY4"/>
    <mergeCell ref="HUZ4:HVL4"/>
    <mergeCell ref="HVM4:HVY4"/>
    <mergeCell ref="HVZ4:HWL4"/>
    <mergeCell ref="HWM4:HWY4"/>
    <mergeCell ref="HWZ4:HXL4"/>
    <mergeCell ref="HRM4:HRY4"/>
    <mergeCell ref="HRZ4:HSL4"/>
    <mergeCell ref="HSM4:HSY4"/>
    <mergeCell ref="HSZ4:HTL4"/>
    <mergeCell ref="HTM4:HTY4"/>
    <mergeCell ref="HTZ4:HUL4"/>
    <mergeCell ref="IGM4:IGY4"/>
    <mergeCell ref="IGZ4:IHL4"/>
    <mergeCell ref="IHM4:IHY4"/>
    <mergeCell ref="IHZ4:IIL4"/>
    <mergeCell ref="IIM4:IIY4"/>
    <mergeCell ref="IIZ4:IJL4"/>
    <mergeCell ref="IDM4:IDY4"/>
    <mergeCell ref="IDZ4:IEL4"/>
    <mergeCell ref="IEM4:IEY4"/>
    <mergeCell ref="IEZ4:IFL4"/>
    <mergeCell ref="IFM4:IFY4"/>
    <mergeCell ref="IFZ4:IGL4"/>
    <mergeCell ref="IAM4:IAY4"/>
    <mergeCell ref="IAZ4:IBL4"/>
    <mergeCell ref="IBM4:IBY4"/>
    <mergeCell ref="IBZ4:ICL4"/>
    <mergeCell ref="ICM4:ICY4"/>
    <mergeCell ref="ICZ4:IDL4"/>
    <mergeCell ref="IPM4:IPY4"/>
    <mergeCell ref="IPZ4:IQL4"/>
    <mergeCell ref="IQM4:IQY4"/>
    <mergeCell ref="IQZ4:IRL4"/>
    <mergeCell ref="IRM4:IRY4"/>
    <mergeCell ref="IRZ4:ISL4"/>
    <mergeCell ref="IMM4:IMY4"/>
    <mergeCell ref="IMZ4:INL4"/>
    <mergeCell ref="INM4:INY4"/>
    <mergeCell ref="INZ4:IOL4"/>
    <mergeCell ref="IOM4:IOY4"/>
    <mergeCell ref="IOZ4:IPL4"/>
    <mergeCell ref="IJM4:IJY4"/>
    <mergeCell ref="IJZ4:IKL4"/>
    <mergeCell ref="IKM4:IKY4"/>
    <mergeCell ref="IKZ4:ILL4"/>
    <mergeCell ref="ILM4:ILY4"/>
    <mergeCell ref="ILZ4:IML4"/>
    <mergeCell ref="IYM4:IYY4"/>
    <mergeCell ref="IYZ4:IZL4"/>
    <mergeCell ref="IZM4:IZY4"/>
    <mergeCell ref="IZZ4:JAL4"/>
    <mergeCell ref="JAM4:JAY4"/>
    <mergeCell ref="JAZ4:JBL4"/>
    <mergeCell ref="IVM4:IVY4"/>
    <mergeCell ref="IVZ4:IWL4"/>
    <mergeCell ref="IWM4:IWY4"/>
    <mergeCell ref="IWZ4:IXL4"/>
    <mergeCell ref="IXM4:IXY4"/>
    <mergeCell ref="IXZ4:IYL4"/>
    <mergeCell ref="ISM4:ISY4"/>
    <mergeCell ref="ISZ4:ITL4"/>
    <mergeCell ref="ITM4:ITY4"/>
    <mergeCell ref="ITZ4:IUL4"/>
    <mergeCell ref="IUM4:IUY4"/>
    <mergeCell ref="IUZ4:IVL4"/>
    <mergeCell ref="JHM4:JHY4"/>
    <mergeCell ref="JHZ4:JIL4"/>
    <mergeCell ref="JIM4:JIY4"/>
    <mergeCell ref="JIZ4:JJL4"/>
    <mergeCell ref="JJM4:JJY4"/>
    <mergeCell ref="JJZ4:JKL4"/>
    <mergeCell ref="JEM4:JEY4"/>
    <mergeCell ref="JEZ4:JFL4"/>
    <mergeCell ref="JFM4:JFY4"/>
    <mergeCell ref="JFZ4:JGL4"/>
    <mergeCell ref="JGM4:JGY4"/>
    <mergeCell ref="JGZ4:JHL4"/>
    <mergeCell ref="JBM4:JBY4"/>
    <mergeCell ref="JBZ4:JCL4"/>
    <mergeCell ref="JCM4:JCY4"/>
    <mergeCell ref="JCZ4:JDL4"/>
    <mergeCell ref="JDM4:JDY4"/>
    <mergeCell ref="JDZ4:JEL4"/>
    <mergeCell ref="JQM4:JQY4"/>
    <mergeCell ref="JQZ4:JRL4"/>
    <mergeCell ref="JRM4:JRY4"/>
    <mergeCell ref="JRZ4:JSL4"/>
    <mergeCell ref="JSM4:JSY4"/>
    <mergeCell ref="JSZ4:JTL4"/>
    <mergeCell ref="JNM4:JNY4"/>
    <mergeCell ref="JNZ4:JOL4"/>
    <mergeCell ref="JOM4:JOY4"/>
    <mergeCell ref="JOZ4:JPL4"/>
    <mergeCell ref="JPM4:JPY4"/>
    <mergeCell ref="JPZ4:JQL4"/>
    <mergeCell ref="JKM4:JKY4"/>
    <mergeCell ref="JKZ4:JLL4"/>
    <mergeCell ref="JLM4:JLY4"/>
    <mergeCell ref="JLZ4:JML4"/>
    <mergeCell ref="JMM4:JMY4"/>
    <mergeCell ref="JMZ4:JNL4"/>
    <mergeCell ref="JZM4:JZY4"/>
    <mergeCell ref="JZZ4:KAL4"/>
    <mergeCell ref="KAM4:KAY4"/>
    <mergeCell ref="KAZ4:KBL4"/>
    <mergeCell ref="KBM4:KBY4"/>
    <mergeCell ref="KBZ4:KCL4"/>
    <mergeCell ref="JWM4:JWY4"/>
    <mergeCell ref="JWZ4:JXL4"/>
    <mergeCell ref="JXM4:JXY4"/>
    <mergeCell ref="JXZ4:JYL4"/>
    <mergeCell ref="JYM4:JYY4"/>
    <mergeCell ref="JYZ4:JZL4"/>
    <mergeCell ref="JTM4:JTY4"/>
    <mergeCell ref="JTZ4:JUL4"/>
    <mergeCell ref="JUM4:JUY4"/>
    <mergeCell ref="JUZ4:JVL4"/>
    <mergeCell ref="JVM4:JVY4"/>
    <mergeCell ref="JVZ4:JWL4"/>
    <mergeCell ref="KIM4:KIY4"/>
    <mergeCell ref="KIZ4:KJL4"/>
    <mergeCell ref="KJM4:KJY4"/>
    <mergeCell ref="KJZ4:KKL4"/>
    <mergeCell ref="KKM4:KKY4"/>
    <mergeCell ref="KKZ4:KLL4"/>
    <mergeCell ref="KFM4:KFY4"/>
    <mergeCell ref="KFZ4:KGL4"/>
    <mergeCell ref="KGM4:KGY4"/>
    <mergeCell ref="KGZ4:KHL4"/>
    <mergeCell ref="KHM4:KHY4"/>
    <mergeCell ref="KHZ4:KIL4"/>
    <mergeCell ref="KCM4:KCY4"/>
    <mergeCell ref="KCZ4:KDL4"/>
    <mergeCell ref="KDM4:KDY4"/>
    <mergeCell ref="KDZ4:KEL4"/>
    <mergeCell ref="KEM4:KEY4"/>
    <mergeCell ref="KEZ4:KFL4"/>
    <mergeCell ref="KRM4:KRY4"/>
    <mergeCell ref="KRZ4:KSL4"/>
    <mergeCell ref="KSM4:KSY4"/>
    <mergeCell ref="KSZ4:KTL4"/>
    <mergeCell ref="KTM4:KTY4"/>
    <mergeCell ref="KTZ4:KUL4"/>
    <mergeCell ref="KOM4:KOY4"/>
    <mergeCell ref="KOZ4:KPL4"/>
    <mergeCell ref="KPM4:KPY4"/>
    <mergeCell ref="KPZ4:KQL4"/>
    <mergeCell ref="KQM4:KQY4"/>
    <mergeCell ref="KQZ4:KRL4"/>
    <mergeCell ref="KLM4:KLY4"/>
    <mergeCell ref="KLZ4:KML4"/>
    <mergeCell ref="KMM4:KMY4"/>
    <mergeCell ref="KMZ4:KNL4"/>
    <mergeCell ref="KNM4:KNY4"/>
    <mergeCell ref="KNZ4:KOL4"/>
    <mergeCell ref="LAM4:LAY4"/>
    <mergeCell ref="LAZ4:LBL4"/>
    <mergeCell ref="LBM4:LBY4"/>
    <mergeCell ref="LBZ4:LCL4"/>
    <mergeCell ref="LCM4:LCY4"/>
    <mergeCell ref="LCZ4:LDL4"/>
    <mergeCell ref="KXM4:KXY4"/>
    <mergeCell ref="KXZ4:KYL4"/>
    <mergeCell ref="KYM4:KYY4"/>
    <mergeCell ref="KYZ4:KZL4"/>
    <mergeCell ref="KZM4:KZY4"/>
    <mergeCell ref="KZZ4:LAL4"/>
    <mergeCell ref="KUM4:KUY4"/>
    <mergeCell ref="KUZ4:KVL4"/>
    <mergeCell ref="KVM4:KVY4"/>
    <mergeCell ref="KVZ4:KWL4"/>
    <mergeCell ref="KWM4:KWY4"/>
    <mergeCell ref="KWZ4:KXL4"/>
    <mergeCell ref="LJM4:LJY4"/>
    <mergeCell ref="LJZ4:LKL4"/>
    <mergeCell ref="LKM4:LKY4"/>
    <mergeCell ref="LKZ4:LLL4"/>
    <mergeCell ref="LLM4:LLY4"/>
    <mergeCell ref="LLZ4:LML4"/>
    <mergeCell ref="LGM4:LGY4"/>
    <mergeCell ref="LGZ4:LHL4"/>
    <mergeCell ref="LHM4:LHY4"/>
    <mergeCell ref="LHZ4:LIL4"/>
    <mergeCell ref="LIM4:LIY4"/>
    <mergeCell ref="LIZ4:LJL4"/>
    <mergeCell ref="LDM4:LDY4"/>
    <mergeCell ref="LDZ4:LEL4"/>
    <mergeCell ref="LEM4:LEY4"/>
    <mergeCell ref="LEZ4:LFL4"/>
    <mergeCell ref="LFM4:LFY4"/>
    <mergeCell ref="LFZ4:LGL4"/>
    <mergeCell ref="LSM4:LSY4"/>
    <mergeCell ref="LSZ4:LTL4"/>
    <mergeCell ref="LTM4:LTY4"/>
    <mergeCell ref="LTZ4:LUL4"/>
    <mergeCell ref="LUM4:LUY4"/>
    <mergeCell ref="LUZ4:LVL4"/>
    <mergeCell ref="LPM4:LPY4"/>
    <mergeCell ref="LPZ4:LQL4"/>
    <mergeCell ref="LQM4:LQY4"/>
    <mergeCell ref="LQZ4:LRL4"/>
    <mergeCell ref="LRM4:LRY4"/>
    <mergeCell ref="LRZ4:LSL4"/>
    <mergeCell ref="LMM4:LMY4"/>
    <mergeCell ref="LMZ4:LNL4"/>
    <mergeCell ref="LNM4:LNY4"/>
    <mergeCell ref="LNZ4:LOL4"/>
    <mergeCell ref="LOM4:LOY4"/>
    <mergeCell ref="LOZ4:LPL4"/>
    <mergeCell ref="MBM4:MBY4"/>
    <mergeCell ref="MBZ4:MCL4"/>
    <mergeCell ref="MCM4:MCY4"/>
    <mergeCell ref="MCZ4:MDL4"/>
    <mergeCell ref="MDM4:MDY4"/>
    <mergeCell ref="MDZ4:MEL4"/>
    <mergeCell ref="LYM4:LYY4"/>
    <mergeCell ref="LYZ4:LZL4"/>
    <mergeCell ref="LZM4:LZY4"/>
    <mergeCell ref="LZZ4:MAL4"/>
    <mergeCell ref="MAM4:MAY4"/>
    <mergeCell ref="MAZ4:MBL4"/>
    <mergeCell ref="LVM4:LVY4"/>
    <mergeCell ref="LVZ4:LWL4"/>
    <mergeCell ref="LWM4:LWY4"/>
    <mergeCell ref="LWZ4:LXL4"/>
    <mergeCell ref="LXM4:LXY4"/>
    <mergeCell ref="LXZ4:LYL4"/>
    <mergeCell ref="MKM4:MKY4"/>
    <mergeCell ref="MKZ4:MLL4"/>
    <mergeCell ref="MLM4:MLY4"/>
    <mergeCell ref="MLZ4:MML4"/>
    <mergeCell ref="MMM4:MMY4"/>
    <mergeCell ref="MMZ4:MNL4"/>
    <mergeCell ref="MHM4:MHY4"/>
    <mergeCell ref="MHZ4:MIL4"/>
    <mergeCell ref="MIM4:MIY4"/>
    <mergeCell ref="MIZ4:MJL4"/>
    <mergeCell ref="MJM4:MJY4"/>
    <mergeCell ref="MJZ4:MKL4"/>
    <mergeCell ref="MEM4:MEY4"/>
    <mergeCell ref="MEZ4:MFL4"/>
    <mergeCell ref="MFM4:MFY4"/>
    <mergeCell ref="MFZ4:MGL4"/>
    <mergeCell ref="MGM4:MGY4"/>
    <mergeCell ref="MGZ4:MHL4"/>
    <mergeCell ref="MTM4:MTY4"/>
    <mergeCell ref="MTZ4:MUL4"/>
    <mergeCell ref="MUM4:MUY4"/>
    <mergeCell ref="MUZ4:MVL4"/>
    <mergeCell ref="MVM4:MVY4"/>
    <mergeCell ref="MVZ4:MWL4"/>
    <mergeCell ref="MQM4:MQY4"/>
    <mergeCell ref="MQZ4:MRL4"/>
    <mergeCell ref="MRM4:MRY4"/>
    <mergeCell ref="MRZ4:MSL4"/>
    <mergeCell ref="MSM4:MSY4"/>
    <mergeCell ref="MSZ4:MTL4"/>
    <mergeCell ref="MNM4:MNY4"/>
    <mergeCell ref="MNZ4:MOL4"/>
    <mergeCell ref="MOM4:MOY4"/>
    <mergeCell ref="MOZ4:MPL4"/>
    <mergeCell ref="MPM4:MPY4"/>
    <mergeCell ref="MPZ4:MQL4"/>
    <mergeCell ref="NCM4:NCY4"/>
    <mergeCell ref="NCZ4:NDL4"/>
    <mergeCell ref="NDM4:NDY4"/>
    <mergeCell ref="NDZ4:NEL4"/>
    <mergeCell ref="NEM4:NEY4"/>
    <mergeCell ref="NEZ4:NFL4"/>
    <mergeCell ref="MZM4:MZY4"/>
    <mergeCell ref="MZZ4:NAL4"/>
    <mergeCell ref="NAM4:NAY4"/>
    <mergeCell ref="NAZ4:NBL4"/>
    <mergeCell ref="NBM4:NBY4"/>
    <mergeCell ref="NBZ4:NCL4"/>
    <mergeCell ref="MWM4:MWY4"/>
    <mergeCell ref="MWZ4:MXL4"/>
    <mergeCell ref="MXM4:MXY4"/>
    <mergeCell ref="MXZ4:MYL4"/>
    <mergeCell ref="MYM4:MYY4"/>
    <mergeCell ref="MYZ4:MZL4"/>
    <mergeCell ref="NLM4:NLY4"/>
    <mergeCell ref="NLZ4:NML4"/>
    <mergeCell ref="NMM4:NMY4"/>
    <mergeCell ref="NMZ4:NNL4"/>
    <mergeCell ref="NNM4:NNY4"/>
    <mergeCell ref="NNZ4:NOL4"/>
    <mergeCell ref="NIM4:NIY4"/>
    <mergeCell ref="NIZ4:NJL4"/>
    <mergeCell ref="NJM4:NJY4"/>
    <mergeCell ref="NJZ4:NKL4"/>
    <mergeCell ref="NKM4:NKY4"/>
    <mergeCell ref="NKZ4:NLL4"/>
    <mergeCell ref="NFM4:NFY4"/>
    <mergeCell ref="NFZ4:NGL4"/>
    <mergeCell ref="NGM4:NGY4"/>
    <mergeCell ref="NGZ4:NHL4"/>
    <mergeCell ref="NHM4:NHY4"/>
    <mergeCell ref="NHZ4:NIL4"/>
    <mergeCell ref="NUM4:NUY4"/>
    <mergeCell ref="NUZ4:NVL4"/>
    <mergeCell ref="NVM4:NVY4"/>
    <mergeCell ref="NVZ4:NWL4"/>
    <mergeCell ref="NWM4:NWY4"/>
    <mergeCell ref="NWZ4:NXL4"/>
    <mergeCell ref="NRM4:NRY4"/>
    <mergeCell ref="NRZ4:NSL4"/>
    <mergeCell ref="NSM4:NSY4"/>
    <mergeCell ref="NSZ4:NTL4"/>
    <mergeCell ref="NTM4:NTY4"/>
    <mergeCell ref="NTZ4:NUL4"/>
    <mergeCell ref="NOM4:NOY4"/>
    <mergeCell ref="NOZ4:NPL4"/>
    <mergeCell ref="NPM4:NPY4"/>
    <mergeCell ref="NPZ4:NQL4"/>
    <mergeCell ref="NQM4:NQY4"/>
    <mergeCell ref="NQZ4:NRL4"/>
    <mergeCell ref="ODM4:ODY4"/>
    <mergeCell ref="ODZ4:OEL4"/>
    <mergeCell ref="OEM4:OEY4"/>
    <mergeCell ref="OEZ4:OFL4"/>
    <mergeCell ref="OFM4:OFY4"/>
    <mergeCell ref="OFZ4:OGL4"/>
    <mergeCell ref="OAM4:OAY4"/>
    <mergeCell ref="OAZ4:OBL4"/>
    <mergeCell ref="OBM4:OBY4"/>
    <mergeCell ref="OBZ4:OCL4"/>
    <mergeCell ref="OCM4:OCY4"/>
    <mergeCell ref="OCZ4:ODL4"/>
    <mergeCell ref="NXM4:NXY4"/>
    <mergeCell ref="NXZ4:NYL4"/>
    <mergeCell ref="NYM4:NYY4"/>
    <mergeCell ref="NYZ4:NZL4"/>
    <mergeCell ref="NZM4:NZY4"/>
    <mergeCell ref="NZZ4:OAL4"/>
    <mergeCell ref="OMM4:OMY4"/>
    <mergeCell ref="OMZ4:ONL4"/>
    <mergeCell ref="ONM4:ONY4"/>
    <mergeCell ref="ONZ4:OOL4"/>
    <mergeCell ref="OOM4:OOY4"/>
    <mergeCell ref="OOZ4:OPL4"/>
    <mergeCell ref="OJM4:OJY4"/>
    <mergeCell ref="OJZ4:OKL4"/>
    <mergeCell ref="OKM4:OKY4"/>
    <mergeCell ref="OKZ4:OLL4"/>
    <mergeCell ref="OLM4:OLY4"/>
    <mergeCell ref="OLZ4:OML4"/>
    <mergeCell ref="OGM4:OGY4"/>
    <mergeCell ref="OGZ4:OHL4"/>
    <mergeCell ref="OHM4:OHY4"/>
    <mergeCell ref="OHZ4:OIL4"/>
    <mergeCell ref="OIM4:OIY4"/>
    <mergeCell ref="OIZ4:OJL4"/>
    <mergeCell ref="OVM4:OVY4"/>
    <mergeCell ref="OVZ4:OWL4"/>
    <mergeCell ref="OWM4:OWY4"/>
    <mergeCell ref="OWZ4:OXL4"/>
    <mergeCell ref="OXM4:OXY4"/>
    <mergeCell ref="OXZ4:OYL4"/>
    <mergeCell ref="OSM4:OSY4"/>
    <mergeCell ref="OSZ4:OTL4"/>
    <mergeCell ref="OTM4:OTY4"/>
    <mergeCell ref="OTZ4:OUL4"/>
    <mergeCell ref="OUM4:OUY4"/>
    <mergeCell ref="OUZ4:OVL4"/>
    <mergeCell ref="OPM4:OPY4"/>
    <mergeCell ref="OPZ4:OQL4"/>
    <mergeCell ref="OQM4:OQY4"/>
    <mergeCell ref="OQZ4:ORL4"/>
    <mergeCell ref="ORM4:ORY4"/>
    <mergeCell ref="ORZ4:OSL4"/>
    <mergeCell ref="PEM4:PEY4"/>
    <mergeCell ref="PEZ4:PFL4"/>
    <mergeCell ref="PFM4:PFY4"/>
    <mergeCell ref="PFZ4:PGL4"/>
    <mergeCell ref="PGM4:PGY4"/>
    <mergeCell ref="PGZ4:PHL4"/>
    <mergeCell ref="PBM4:PBY4"/>
    <mergeCell ref="PBZ4:PCL4"/>
    <mergeCell ref="PCM4:PCY4"/>
    <mergeCell ref="PCZ4:PDL4"/>
    <mergeCell ref="PDM4:PDY4"/>
    <mergeCell ref="PDZ4:PEL4"/>
    <mergeCell ref="OYM4:OYY4"/>
    <mergeCell ref="OYZ4:OZL4"/>
    <mergeCell ref="OZM4:OZY4"/>
    <mergeCell ref="OZZ4:PAL4"/>
    <mergeCell ref="PAM4:PAY4"/>
    <mergeCell ref="PAZ4:PBL4"/>
    <mergeCell ref="PNM4:PNY4"/>
    <mergeCell ref="PNZ4:POL4"/>
    <mergeCell ref="POM4:POY4"/>
    <mergeCell ref="POZ4:PPL4"/>
    <mergeCell ref="PPM4:PPY4"/>
    <mergeCell ref="PPZ4:PQL4"/>
    <mergeCell ref="PKM4:PKY4"/>
    <mergeCell ref="PKZ4:PLL4"/>
    <mergeCell ref="PLM4:PLY4"/>
    <mergeCell ref="PLZ4:PML4"/>
    <mergeCell ref="PMM4:PMY4"/>
    <mergeCell ref="PMZ4:PNL4"/>
    <mergeCell ref="PHM4:PHY4"/>
    <mergeCell ref="PHZ4:PIL4"/>
    <mergeCell ref="PIM4:PIY4"/>
    <mergeCell ref="PIZ4:PJL4"/>
    <mergeCell ref="PJM4:PJY4"/>
    <mergeCell ref="PJZ4:PKL4"/>
    <mergeCell ref="PWM4:PWY4"/>
    <mergeCell ref="PWZ4:PXL4"/>
    <mergeCell ref="PXM4:PXY4"/>
    <mergeCell ref="PXZ4:PYL4"/>
    <mergeCell ref="PYM4:PYY4"/>
    <mergeCell ref="PYZ4:PZL4"/>
    <mergeCell ref="PTM4:PTY4"/>
    <mergeCell ref="PTZ4:PUL4"/>
    <mergeCell ref="PUM4:PUY4"/>
    <mergeCell ref="PUZ4:PVL4"/>
    <mergeCell ref="PVM4:PVY4"/>
    <mergeCell ref="PVZ4:PWL4"/>
    <mergeCell ref="PQM4:PQY4"/>
    <mergeCell ref="PQZ4:PRL4"/>
    <mergeCell ref="PRM4:PRY4"/>
    <mergeCell ref="PRZ4:PSL4"/>
    <mergeCell ref="PSM4:PSY4"/>
    <mergeCell ref="PSZ4:PTL4"/>
    <mergeCell ref="QFM4:QFY4"/>
    <mergeCell ref="QFZ4:QGL4"/>
    <mergeCell ref="QGM4:QGY4"/>
    <mergeCell ref="QGZ4:QHL4"/>
    <mergeCell ref="QHM4:QHY4"/>
    <mergeCell ref="QHZ4:QIL4"/>
    <mergeCell ref="QCM4:QCY4"/>
    <mergeCell ref="QCZ4:QDL4"/>
    <mergeCell ref="QDM4:QDY4"/>
    <mergeCell ref="QDZ4:QEL4"/>
    <mergeCell ref="QEM4:QEY4"/>
    <mergeCell ref="QEZ4:QFL4"/>
    <mergeCell ref="PZM4:PZY4"/>
    <mergeCell ref="PZZ4:QAL4"/>
    <mergeCell ref="QAM4:QAY4"/>
    <mergeCell ref="QAZ4:QBL4"/>
    <mergeCell ref="QBM4:QBY4"/>
    <mergeCell ref="QBZ4:QCL4"/>
    <mergeCell ref="QOM4:QOY4"/>
    <mergeCell ref="QOZ4:QPL4"/>
    <mergeCell ref="QPM4:QPY4"/>
    <mergeCell ref="QPZ4:QQL4"/>
    <mergeCell ref="QQM4:QQY4"/>
    <mergeCell ref="QQZ4:QRL4"/>
    <mergeCell ref="QLM4:QLY4"/>
    <mergeCell ref="QLZ4:QML4"/>
    <mergeCell ref="QMM4:QMY4"/>
    <mergeCell ref="QMZ4:QNL4"/>
    <mergeCell ref="QNM4:QNY4"/>
    <mergeCell ref="QNZ4:QOL4"/>
    <mergeCell ref="QIM4:QIY4"/>
    <mergeCell ref="QIZ4:QJL4"/>
    <mergeCell ref="QJM4:QJY4"/>
    <mergeCell ref="QJZ4:QKL4"/>
    <mergeCell ref="QKM4:QKY4"/>
    <mergeCell ref="QKZ4:QLL4"/>
    <mergeCell ref="QXM4:QXY4"/>
    <mergeCell ref="QXZ4:QYL4"/>
    <mergeCell ref="QYM4:QYY4"/>
    <mergeCell ref="QYZ4:QZL4"/>
    <mergeCell ref="QZM4:QZY4"/>
    <mergeCell ref="QZZ4:RAL4"/>
    <mergeCell ref="QUM4:QUY4"/>
    <mergeCell ref="QUZ4:QVL4"/>
    <mergeCell ref="QVM4:QVY4"/>
    <mergeCell ref="QVZ4:QWL4"/>
    <mergeCell ref="QWM4:QWY4"/>
    <mergeCell ref="QWZ4:QXL4"/>
    <mergeCell ref="QRM4:QRY4"/>
    <mergeCell ref="QRZ4:QSL4"/>
    <mergeCell ref="QSM4:QSY4"/>
    <mergeCell ref="QSZ4:QTL4"/>
    <mergeCell ref="QTM4:QTY4"/>
    <mergeCell ref="QTZ4:QUL4"/>
    <mergeCell ref="RGM4:RGY4"/>
    <mergeCell ref="RGZ4:RHL4"/>
    <mergeCell ref="RHM4:RHY4"/>
    <mergeCell ref="RHZ4:RIL4"/>
    <mergeCell ref="RIM4:RIY4"/>
    <mergeCell ref="RIZ4:RJL4"/>
    <mergeCell ref="RDM4:RDY4"/>
    <mergeCell ref="RDZ4:REL4"/>
    <mergeCell ref="REM4:REY4"/>
    <mergeCell ref="REZ4:RFL4"/>
    <mergeCell ref="RFM4:RFY4"/>
    <mergeCell ref="RFZ4:RGL4"/>
    <mergeCell ref="RAM4:RAY4"/>
    <mergeCell ref="RAZ4:RBL4"/>
    <mergeCell ref="RBM4:RBY4"/>
    <mergeCell ref="RBZ4:RCL4"/>
    <mergeCell ref="RCM4:RCY4"/>
    <mergeCell ref="RCZ4:RDL4"/>
    <mergeCell ref="RPM4:RPY4"/>
    <mergeCell ref="RPZ4:RQL4"/>
    <mergeCell ref="RQM4:RQY4"/>
    <mergeCell ref="RQZ4:RRL4"/>
    <mergeCell ref="RRM4:RRY4"/>
    <mergeCell ref="RRZ4:RSL4"/>
    <mergeCell ref="RMM4:RMY4"/>
    <mergeCell ref="RMZ4:RNL4"/>
    <mergeCell ref="RNM4:RNY4"/>
    <mergeCell ref="RNZ4:ROL4"/>
    <mergeCell ref="ROM4:ROY4"/>
    <mergeCell ref="ROZ4:RPL4"/>
    <mergeCell ref="RJM4:RJY4"/>
    <mergeCell ref="RJZ4:RKL4"/>
    <mergeCell ref="RKM4:RKY4"/>
    <mergeCell ref="RKZ4:RLL4"/>
    <mergeCell ref="RLM4:RLY4"/>
    <mergeCell ref="RLZ4:RML4"/>
    <mergeCell ref="RYM4:RYY4"/>
    <mergeCell ref="RYZ4:RZL4"/>
    <mergeCell ref="RZM4:RZY4"/>
    <mergeCell ref="RZZ4:SAL4"/>
    <mergeCell ref="SAM4:SAY4"/>
    <mergeCell ref="SAZ4:SBL4"/>
    <mergeCell ref="RVM4:RVY4"/>
    <mergeCell ref="RVZ4:RWL4"/>
    <mergeCell ref="RWM4:RWY4"/>
    <mergeCell ref="RWZ4:RXL4"/>
    <mergeCell ref="RXM4:RXY4"/>
    <mergeCell ref="RXZ4:RYL4"/>
    <mergeCell ref="RSM4:RSY4"/>
    <mergeCell ref="RSZ4:RTL4"/>
    <mergeCell ref="RTM4:RTY4"/>
    <mergeCell ref="RTZ4:RUL4"/>
    <mergeCell ref="RUM4:RUY4"/>
    <mergeCell ref="RUZ4:RVL4"/>
    <mergeCell ref="SHM4:SHY4"/>
    <mergeCell ref="SHZ4:SIL4"/>
    <mergeCell ref="SIM4:SIY4"/>
    <mergeCell ref="SIZ4:SJL4"/>
    <mergeCell ref="SJM4:SJY4"/>
    <mergeCell ref="SJZ4:SKL4"/>
    <mergeCell ref="SEM4:SEY4"/>
    <mergeCell ref="SEZ4:SFL4"/>
    <mergeCell ref="SFM4:SFY4"/>
    <mergeCell ref="SFZ4:SGL4"/>
    <mergeCell ref="SGM4:SGY4"/>
    <mergeCell ref="SGZ4:SHL4"/>
    <mergeCell ref="SBM4:SBY4"/>
    <mergeCell ref="SBZ4:SCL4"/>
    <mergeCell ref="SCM4:SCY4"/>
    <mergeCell ref="SCZ4:SDL4"/>
    <mergeCell ref="SDM4:SDY4"/>
    <mergeCell ref="SDZ4:SEL4"/>
    <mergeCell ref="SQM4:SQY4"/>
    <mergeCell ref="SQZ4:SRL4"/>
    <mergeCell ref="SRM4:SRY4"/>
    <mergeCell ref="SRZ4:SSL4"/>
    <mergeCell ref="SSM4:SSY4"/>
    <mergeCell ref="SSZ4:STL4"/>
    <mergeCell ref="SNM4:SNY4"/>
    <mergeCell ref="SNZ4:SOL4"/>
    <mergeCell ref="SOM4:SOY4"/>
    <mergeCell ref="SOZ4:SPL4"/>
    <mergeCell ref="SPM4:SPY4"/>
    <mergeCell ref="SPZ4:SQL4"/>
    <mergeCell ref="SKM4:SKY4"/>
    <mergeCell ref="SKZ4:SLL4"/>
    <mergeCell ref="SLM4:SLY4"/>
    <mergeCell ref="SLZ4:SML4"/>
    <mergeCell ref="SMM4:SMY4"/>
    <mergeCell ref="SMZ4:SNL4"/>
    <mergeCell ref="SZM4:SZY4"/>
    <mergeCell ref="SZZ4:TAL4"/>
    <mergeCell ref="TAM4:TAY4"/>
    <mergeCell ref="TAZ4:TBL4"/>
    <mergeCell ref="TBM4:TBY4"/>
    <mergeCell ref="TBZ4:TCL4"/>
    <mergeCell ref="SWM4:SWY4"/>
    <mergeCell ref="SWZ4:SXL4"/>
    <mergeCell ref="SXM4:SXY4"/>
    <mergeCell ref="SXZ4:SYL4"/>
    <mergeCell ref="SYM4:SYY4"/>
    <mergeCell ref="SYZ4:SZL4"/>
    <mergeCell ref="STM4:STY4"/>
    <mergeCell ref="STZ4:SUL4"/>
    <mergeCell ref="SUM4:SUY4"/>
    <mergeCell ref="SUZ4:SVL4"/>
    <mergeCell ref="SVM4:SVY4"/>
    <mergeCell ref="SVZ4:SWL4"/>
    <mergeCell ref="TIM4:TIY4"/>
    <mergeCell ref="TIZ4:TJL4"/>
    <mergeCell ref="TJM4:TJY4"/>
    <mergeCell ref="TJZ4:TKL4"/>
    <mergeCell ref="TKM4:TKY4"/>
    <mergeCell ref="TKZ4:TLL4"/>
    <mergeCell ref="TFM4:TFY4"/>
    <mergeCell ref="TFZ4:TGL4"/>
    <mergeCell ref="TGM4:TGY4"/>
    <mergeCell ref="TGZ4:THL4"/>
    <mergeCell ref="THM4:THY4"/>
    <mergeCell ref="THZ4:TIL4"/>
    <mergeCell ref="TCM4:TCY4"/>
    <mergeCell ref="TCZ4:TDL4"/>
    <mergeCell ref="TDM4:TDY4"/>
    <mergeCell ref="TDZ4:TEL4"/>
    <mergeCell ref="TEM4:TEY4"/>
    <mergeCell ref="TEZ4:TFL4"/>
    <mergeCell ref="TRM4:TRY4"/>
    <mergeCell ref="TRZ4:TSL4"/>
    <mergeCell ref="TSM4:TSY4"/>
    <mergeCell ref="TSZ4:TTL4"/>
    <mergeCell ref="TTM4:TTY4"/>
    <mergeCell ref="TTZ4:TUL4"/>
    <mergeCell ref="TOM4:TOY4"/>
    <mergeCell ref="TOZ4:TPL4"/>
    <mergeCell ref="TPM4:TPY4"/>
    <mergeCell ref="TPZ4:TQL4"/>
    <mergeCell ref="TQM4:TQY4"/>
    <mergeCell ref="TQZ4:TRL4"/>
    <mergeCell ref="TLM4:TLY4"/>
    <mergeCell ref="TLZ4:TML4"/>
    <mergeCell ref="TMM4:TMY4"/>
    <mergeCell ref="TMZ4:TNL4"/>
    <mergeCell ref="TNM4:TNY4"/>
    <mergeCell ref="TNZ4:TOL4"/>
    <mergeCell ref="UAM4:UAY4"/>
    <mergeCell ref="UAZ4:UBL4"/>
    <mergeCell ref="UBM4:UBY4"/>
    <mergeCell ref="UBZ4:UCL4"/>
    <mergeCell ref="UCM4:UCY4"/>
    <mergeCell ref="UCZ4:UDL4"/>
    <mergeCell ref="TXM4:TXY4"/>
    <mergeCell ref="TXZ4:TYL4"/>
    <mergeCell ref="TYM4:TYY4"/>
    <mergeCell ref="TYZ4:TZL4"/>
    <mergeCell ref="TZM4:TZY4"/>
    <mergeCell ref="TZZ4:UAL4"/>
    <mergeCell ref="TUM4:TUY4"/>
    <mergeCell ref="TUZ4:TVL4"/>
    <mergeCell ref="TVM4:TVY4"/>
    <mergeCell ref="TVZ4:TWL4"/>
    <mergeCell ref="TWM4:TWY4"/>
    <mergeCell ref="TWZ4:TXL4"/>
    <mergeCell ref="UJM4:UJY4"/>
    <mergeCell ref="UJZ4:UKL4"/>
    <mergeCell ref="UKM4:UKY4"/>
    <mergeCell ref="UKZ4:ULL4"/>
    <mergeCell ref="ULM4:ULY4"/>
    <mergeCell ref="ULZ4:UML4"/>
    <mergeCell ref="UGM4:UGY4"/>
    <mergeCell ref="UGZ4:UHL4"/>
    <mergeCell ref="UHM4:UHY4"/>
    <mergeCell ref="UHZ4:UIL4"/>
    <mergeCell ref="UIM4:UIY4"/>
    <mergeCell ref="UIZ4:UJL4"/>
    <mergeCell ref="UDM4:UDY4"/>
    <mergeCell ref="UDZ4:UEL4"/>
    <mergeCell ref="UEM4:UEY4"/>
    <mergeCell ref="UEZ4:UFL4"/>
    <mergeCell ref="UFM4:UFY4"/>
    <mergeCell ref="UFZ4:UGL4"/>
    <mergeCell ref="USM4:USY4"/>
    <mergeCell ref="USZ4:UTL4"/>
    <mergeCell ref="UTM4:UTY4"/>
    <mergeCell ref="UTZ4:UUL4"/>
    <mergeCell ref="UUM4:UUY4"/>
    <mergeCell ref="UUZ4:UVL4"/>
    <mergeCell ref="UPM4:UPY4"/>
    <mergeCell ref="UPZ4:UQL4"/>
    <mergeCell ref="UQM4:UQY4"/>
    <mergeCell ref="UQZ4:URL4"/>
    <mergeCell ref="URM4:URY4"/>
    <mergeCell ref="URZ4:USL4"/>
    <mergeCell ref="UMM4:UMY4"/>
    <mergeCell ref="UMZ4:UNL4"/>
    <mergeCell ref="UNM4:UNY4"/>
    <mergeCell ref="UNZ4:UOL4"/>
    <mergeCell ref="UOM4:UOY4"/>
    <mergeCell ref="UOZ4:UPL4"/>
    <mergeCell ref="VBM4:VBY4"/>
    <mergeCell ref="VBZ4:VCL4"/>
    <mergeCell ref="VCM4:VCY4"/>
    <mergeCell ref="VCZ4:VDL4"/>
    <mergeCell ref="VDM4:VDY4"/>
    <mergeCell ref="VDZ4:VEL4"/>
    <mergeCell ref="UYM4:UYY4"/>
    <mergeCell ref="UYZ4:UZL4"/>
    <mergeCell ref="UZM4:UZY4"/>
    <mergeCell ref="UZZ4:VAL4"/>
    <mergeCell ref="VAM4:VAY4"/>
    <mergeCell ref="VAZ4:VBL4"/>
    <mergeCell ref="UVM4:UVY4"/>
    <mergeCell ref="UVZ4:UWL4"/>
    <mergeCell ref="UWM4:UWY4"/>
    <mergeCell ref="UWZ4:UXL4"/>
    <mergeCell ref="UXM4:UXY4"/>
    <mergeCell ref="UXZ4:UYL4"/>
    <mergeCell ref="VKM4:VKY4"/>
    <mergeCell ref="VKZ4:VLL4"/>
    <mergeCell ref="VLM4:VLY4"/>
    <mergeCell ref="VLZ4:VML4"/>
    <mergeCell ref="VMM4:VMY4"/>
    <mergeCell ref="VMZ4:VNL4"/>
    <mergeCell ref="VHM4:VHY4"/>
    <mergeCell ref="VHZ4:VIL4"/>
    <mergeCell ref="VIM4:VIY4"/>
    <mergeCell ref="VIZ4:VJL4"/>
    <mergeCell ref="VJM4:VJY4"/>
    <mergeCell ref="VJZ4:VKL4"/>
    <mergeCell ref="VEM4:VEY4"/>
    <mergeCell ref="VEZ4:VFL4"/>
    <mergeCell ref="VFM4:VFY4"/>
    <mergeCell ref="VFZ4:VGL4"/>
    <mergeCell ref="VGM4:VGY4"/>
    <mergeCell ref="VGZ4:VHL4"/>
    <mergeCell ref="VTM4:VTY4"/>
    <mergeCell ref="VTZ4:VUL4"/>
    <mergeCell ref="VUM4:VUY4"/>
    <mergeCell ref="VUZ4:VVL4"/>
    <mergeCell ref="VVM4:VVY4"/>
    <mergeCell ref="VVZ4:VWL4"/>
    <mergeCell ref="VQM4:VQY4"/>
    <mergeCell ref="VQZ4:VRL4"/>
    <mergeCell ref="VRM4:VRY4"/>
    <mergeCell ref="VRZ4:VSL4"/>
    <mergeCell ref="VSM4:VSY4"/>
    <mergeCell ref="VSZ4:VTL4"/>
    <mergeCell ref="VNM4:VNY4"/>
    <mergeCell ref="VNZ4:VOL4"/>
    <mergeCell ref="VOM4:VOY4"/>
    <mergeCell ref="VOZ4:VPL4"/>
    <mergeCell ref="VPM4:VPY4"/>
    <mergeCell ref="VPZ4:VQL4"/>
    <mergeCell ref="WCM4:WCY4"/>
    <mergeCell ref="WCZ4:WDL4"/>
    <mergeCell ref="WDM4:WDY4"/>
    <mergeCell ref="WDZ4:WEL4"/>
    <mergeCell ref="WEM4:WEY4"/>
    <mergeCell ref="WEZ4:WFL4"/>
    <mergeCell ref="VZM4:VZY4"/>
    <mergeCell ref="VZZ4:WAL4"/>
    <mergeCell ref="WAM4:WAY4"/>
    <mergeCell ref="WAZ4:WBL4"/>
    <mergeCell ref="WBM4:WBY4"/>
    <mergeCell ref="WBZ4:WCL4"/>
    <mergeCell ref="VWM4:VWY4"/>
    <mergeCell ref="VWZ4:VXL4"/>
    <mergeCell ref="VXM4:VXY4"/>
    <mergeCell ref="VXZ4:VYL4"/>
    <mergeCell ref="VYM4:VYY4"/>
    <mergeCell ref="VYZ4:VZL4"/>
    <mergeCell ref="WQM4:WQY4"/>
    <mergeCell ref="WQZ4:WRL4"/>
    <mergeCell ref="WLM4:WLY4"/>
    <mergeCell ref="WLZ4:WML4"/>
    <mergeCell ref="WMM4:WMY4"/>
    <mergeCell ref="WMZ4:WNL4"/>
    <mergeCell ref="WNM4:WNY4"/>
    <mergeCell ref="WNZ4:WOL4"/>
    <mergeCell ref="WIM4:WIY4"/>
    <mergeCell ref="WIZ4:WJL4"/>
    <mergeCell ref="WJM4:WJY4"/>
    <mergeCell ref="WJZ4:WKL4"/>
    <mergeCell ref="WKM4:WKY4"/>
    <mergeCell ref="WKZ4:WLL4"/>
    <mergeCell ref="WFM4:WFY4"/>
    <mergeCell ref="WFZ4:WGL4"/>
    <mergeCell ref="WGM4:WGY4"/>
    <mergeCell ref="WGZ4:WHL4"/>
    <mergeCell ref="WHM4:WHY4"/>
    <mergeCell ref="WHZ4:WIL4"/>
    <mergeCell ref="WRM4:WRY4"/>
    <mergeCell ref="WRZ4:WSL4"/>
    <mergeCell ref="WSM4:WSY4"/>
    <mergeCell ref="WSZ4:WTL4"/>
    <mergeCell ref="WTM4:WTY4"/>
    <mergeCell ref="WTZ4:WUL4"/>
    <mergeCell ref="WOM4:WOY4"/>
    <mergeCell ref="WOZ4:WPL4"/>
    <mergeCell ref="WPM4:WPY4"/>
    <mergeCell ref="XDM4:XDY4"/>
    <mergeCell ref="XDZ4:XEL4"/>
    <mergeCell ref="XEM4:XEY4"/>
    <mergeCell ref="XEZ4:XFC4"/>
    <mergeCell ref="XAM4:XAY4"/>
    <mergeCell ref="XAZ4:XBL4"/>
    <mergeCell ref="XBM4:XBY4"/>
    <mergeCell ref="XBZ4:XCL4"/>
    <mergeCell ref="XCM4:XCY4"/>
    <mergeCell ref="XCZ4:XDL4"/>
    <mergeCell ref="WXM4:WXY4"/>
    <mergeCell ref="WXZ4:WYL4"/>
    <mergeCell ref="WYM4:WYY4"/>
    <mergeCell ref="WYZ4:WZL4"/>
    <mergeCell ref="WZM4:WZY4"/>
    <mergeCell ref="WZZ4:XAL4"/>
    <mergeCell ref="WUM4:WUY4"/>
    <mergeCell ref="WUZ4:WVL4"/>
    <mergeCell ref="WVM4:WVY4"/>
    <mergeCell ref="WVZ4:WWL4"/>
    <mergeCell ref="WWM4:WWY4"/>
    <mergeCell ref="WWZ4:WXL4"/>
    <mergeCell ref="WPZ4:WQL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25A6-B20A-4E1F-A4FF-1EEBA99B2F1B}">
  <sheetPr>
    <tabColor theme="4" tint="-0.249977111117893"/>
  </sheetPr>
  <dimension ref="B1:Y274"/>
  <sheetViews>
    <sheetView zoomScaleNormal="100" workbookViewId="0">
      <selection activeCell="B7" sqref="B7"/>
    </sheetView>
  </sheetViews>
  <sheetFormatPr defaultRowHeight="14.4"/>
  <cols>
    <col min="2" max="2" width="24.5546875" style="7" bestFit="1" customWidth="1"/>
    <col min="3" max="3" width="18.5546875" style="7" bestFit="1" customWidth="1"/>
    <col min="4" max="4" width="8.109375" style="7" customWidth="1"/>
    <col min="5" max="5" width="8.44140625" style="7" bestFit="1" customWidth="1"/>
    <col min="6" max="6" width="10.77734375" bestFit="1" customWidth="1"/>
    <col min="22" max="22" width="8.88671875" customWidth="1"/>
    <col min="23" max="23" width="5" customWidth="1"/>
    <col min="24" max="24" width="15.5546875" bestFit="1" customWidth="1"/>
    <col min="25" max="25" width="5.88671875" customWidth="1"/>
    <col min="26" max="26" width="7.77734375" customWidth="1"/>
    <col min="27" max="27" width="10.77734375" bestFit="1" customWidth="1"/>
    <col min="37" max="37" width="10.44140625" customWidth="1"/>
  </cols>
  <sheetData>
    <row r="1" spans="2:25" ht="9" customHeight="1"/>
    <row r="2" spans="2:25" ht="24" customHeight="1">
      <c r="C2" s="65" t="s">
        <v>387</v>
      </c>
      <c r="G2" s="131" t="s">
        <v>385</v>
      </c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2:25" ht="7.2" customHeight="1"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</row>
    <row r="4" spans="2:25" ht="22.95" customHeight="1">
      <c r="B4" s="67" t="s">
        <v>401</v>
      </c>
      <c r="C4" s="66"/>
      <c r="D4" s="66"/>
      <c r="E4" s="66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</row>
    <row r="5" spans="2:25"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</row>
    <row r="6" spans="2:25" s="57" customFormat="1" ht="22.95" customHeight="1">
      <c r="B6" s="121" t="s">
        <v>385</v>
      </c>
      <c r="C6" s="121"/>
      <c r="D6" s="121"/>
      <c r="E6" s="121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</row>
    <row r="7" spans="2:25">
      <c r="B7" s="48" t="s">
        <v>388</v>
      </c>
      <c r="C7" s="59" t="s">
        <v>392</v>
      </c>
      <c r="D7" s="59"/>
      <c r="E7" s="60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</row>
    <row r="8" spans="2:25">
      <c r="B8" s="61" t="s">
        <v>341</v>
      </c>
      <c r="C8" s="94" t="s">
        <v>14</v>
      </c>
      <c r="D8" s="48" t="s">
        <v>24</v>
      </c>
      <c r="E8" s="48" t="s">
        <v>31</v>
      </c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</row>
    <row r="9" spans="2:25">
      <c r="B9" s="58">
        <v>45446</v>
      </c>
      <c r="C9" s="37">
        <v>1.0709526179733787E-2</v>
      </c>
      <c r="D9" s="37">
        <v>3.9875766588582107E-3</v>
      </c>
      <c r="E9" s="37">
        <v>3.176300905893983E-3</v>
      </c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</row>
    <row r="10" spans="2:25">
      <c r="B10" s="58">
        <v>45453</v>
      </c>
      <c r="C10" s="37">
        <v>1.0035253152237385E-2</v>
      </c>
      <c r="D10" s="37">
        <v>4.247465810484582E-3</v>
      </c>
      <c r="E10" s="37">
        <v>1.1541771253329111E-3</v>
      </c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</row>
    <row r="11" spans="2:25">
      <c r="B11" s="58">
        <v>45460</v>
      </c>
      <c r="C11" s="37">
        <v>6.1532043593888509E-3</v>
      </c>
      <c r="D11" s="37">
        <v>5.2165710498603361E-3</v>
      </c>
      <c r="E11" s="37">
        <v>5.1990991422684362E-3</v>
      </c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</row>
    <row r="12" spans="2:25">
      <c r="B12" s="58">
        <v>45467</v>
      </c>
      <c r="C12" s="37">
        <v>7.0194756038813571E-3</v>
      </c>
      <c r="D12" s="37">
        <v>8.7155963302752298E-3</v>
      </c>
      <c r="E12" s="37">
        <v>5.5548942586200059E-3</v>
      </c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</row>
    <row r="13" spans="2:25">
      <c r="B13" s="58">
        <v>45474</v>
      </c>
      <c r="C13" s="37">
        <v>3.9974246283906723E-3</v>
      </c>
      <c r="D13" s="37">
        <v>2.7265062228494967E-3</v>
      </c>
      <c r="E13" s="37">
        <v>3.7184126339477423E-3</v>
      </c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</row>
    <row r="14" spans="2:25">
      <c r="B14" s="58">
        <v>45481</v>
      </c>
      <c r="C14" s="37">
        <v>1.9610667968164271E-3</v>
      </c>
      <c r="D14" s="37">
        <v>1.7836234485988603E-2</v>
      </c>
      <c r="E14" s="37">
        <v>5.7836390843520723E-3</v>
      </c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</row>
    <row r="15" spans="2:25">
      <c r="B15" s="58">
        <v>45488</v>
      </c>
      <c r="C15" s="37">
        <v>2.1159343412017798E-3</v>
      </c>
      <c r="D15" s="37">
        <v>4.1633646660018432E-3</v>
      </c>
      <c r="E15" s="37">
        <v>4.4074791828765565E-3</v>
      </c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</row>
    <row r="16" spans="2:25">
      <c r="B16" s="58">
        <v>45495</v>
      </c>
      <c r="C16" s="37">
        <v>3.8800515380583087E-3</v>
      </c>
      <c r="D16" s="37">
        <v>1.3666228646517741E-3</v>
      </c>
      <c r="E16" s="37">
        <v>2.9558125725816196E-3</v>
      </c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</row>
    <row r="17" spans="2:25">
      <c r="B17" s="58">
        <v>45502</v>
      </c>
      <c r="C17" s="37">
        <v>2.3089717768720206E-3</v>
      </c>
      <c r="D17" s="37">
        <v>5.2125958475504573E-3</v>
      </c>
      <c r="E17" s="37">
        <v>2.4107127645679174E-3</v>
      </c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</row>
    <row r="18" spans="2:25">
      <c r="B18" s="58">
        <v>45509</v>
      </c>
      <c r="C18" s="37">
        <v>6.7435554935305723E-3</v>
      </c>
      <c r="D18" s="37">
        <v>4.3839826448522105E-3</v>
      </c>
      <c r="E18" s="37">
        <v>2.3829134417695176E-3</v>
      </c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</row>
    <row r="19" spans="2:25">
      <c r="B19" s="58">
        <v>45516</v>
      </c>
      <c r="C19" s="37">
        <v>1.4216285431581398E-2</v>
      </c>
      <c r="D19" s="37">
        <v>1.031124193757846E-2</v>
      </c>
      <c r="E19" s="37">
        <v>3.2668165162148292E-3</v>
      </c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</row>
    <row r="20" spans="2:25">
      <c r="B20" s="58">
        <v>45523</v>
      </c>
      <c r="C20" s="37">
        <v>2.5711521816608116E-3</v>
      </c>
      <c r="D20" s="37">
        <v>6.2169419806330862E-3</v>
      </c>
      <c r="E20" s="37">
        <v>6.1138546368952043E-3</v>
      </c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</row>
    <row r="21" spans="2:25">
      <c r="B21" s="58">
        <v>45530</v>
      </c>
      <c r="C21" s="37">
        <v>5.2519335029163131E-3</v>
      </c>
      <c r="D21" s="37">
        <v>1.1090510417460359E-3</v>
      </c>
      <c r="E21" s="37">
        <v>4.3018845648676966E-3</v>
      </c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</row>
    <row r="22" spans="2:25">
      <c r="B22" s="58">
        <v>45537</v>
      </c>
      <c r="C22" s="37">
        <v>1.5378321642822803E-3</v>
      </c>
      <c r="D22" s="37">
        <v>2.6618404566337186E-3</v>
      </c>
      <c r="E22" s="37">
        <v>2.8775171297394605E-3</v>
      </c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</row>
    <row r="23" spans="2:25">
      <c r="B23" s="58">
        <v>45544</v>
      </c>
      <c r="C23" s="37">
        <v>1.7288453918263881E-3</v>
      </c>
      <c r="D23" s="37">
        <v>4.7123181781018424E-3</v>
      </c>
      <c r="E23" s="37">
        <v>2.3319170287838973E-3</v>
      </c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</row>
    <row r="24" spans="2:25">
      <c r="B24" s="58">
        <v>45551</v>
      </c>
      <c r="C24" s="37">
        <v>1.8947546272643525E-3</v>
      </c>
      <c r="D24" s="37">
        <v>3.4796436801746559E-3</v>
      </c>
      <c r="E24" s="37">
        <v>2.2541306944976669E-3</v>
      </c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</row>
    <row r="25" spans="2:25">
      <c r="B25" s="58">
        <v>45558</v>
      </c>
      <c r="C25" s="37">
        <v>1.3784135240572171E-2</v>
      </c>
      <c r="D25" s="37">
        <v>3.305365562946797E-3</v>
      </c>
      <c r="E25" s="37">
        <v>1.3748256088824177E-3</v>
      </c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</row>
    <row r="26" spans="2:25">
      <c r="B26" s="58">
        <v>45565</v>
      </c>
      <c r="C26" s="37">
        <v>3.0190531054641659E-3</v>
      </c>
      <c r="D26" s="37">
        <v>4.6946006530167259E-3</v>
      </c>
      <c r="E26" s="37">
        <v>3.2768049617799048E-3</v>
      </c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</row>
    <row r="27" spans="2:25">
      <c r="B27" s="58">
        <v>45572</v>
      </c>
      <c r="C27" s="37">
        <v>1.7507375647522346E-3</v>
      </c>
      <c r="D27" s="37">
        <v>2.8850860838862216E-3</v>
      </c>
      <c r="E27" s="37">
        <v>8.0878372132944243E-3</v>
      </c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</row>
    <row r="28" spans="2:25">
      <c r="B28" s="58">
        <v>45579</v>
      </c>
      <c r="C28" s="37">
        <v>4.7398149771776844E-3</v>
      </c>
      <c r="D28" s="37">
        <v>1.8353650184906177E-3</v>
      </c>
      <c r="E28" s="37">
        <v>3.8177207407976638E-3</v>
      </c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</row>
    <row r="29" spans="2:25">
      <c r="B29" s="58">
        <v>45586</v>
      </c>
      <c r="C29" s="37">
        <v>1.0915497012055407E-2</v>
      </c>
      <c r="D29" s="37">
        <v>5.3980915408646862E-3</v>
      </c>
      <c r="E29" s="37">
        <v>7.2173750633688196E-3</v>
      </c>
    </row>
    <row r="30" spans="2:25">
      <c r="B30" s="58">
        <v>45593</v>
      </c>
      <c r="C30" s="37">
        <v>3.8051035059458792E-3</v>
      </c>
      <c r="D30" s="37">
        <v>1.5788005199153436E-3</v>
      </c>
      <c r="E30" s="37">
        <v>3.6774665438586984E-3</v>
      </c>
    </row>
    <row r="31" spans="2:25">
      <c r="B31" s="58">
        <v>45600</v>
      </c>
      <c r="C31" s="37">
        <v>3.6781918718691762E-3</v>
      </c>
      <c r="D31" s="37">
        <v>3.9842122008616216E-3</v>
      </c>
      <c r="E31" s="37">
        <v>8.0175996088975802E-3</v>
      </c>
    </row>
    <row r="32" spans="2:25">
      <c r="B32" s="58">
        <v>45607</v>
      </c>
      <c r="C32" s="37">
        <v>3.9281193313061976E-3</v>
      </c>
      <c r="D32" s="37">
        <v>2.6275238057607967E-3</v>
      </c>
      <c r="E32" s="37">
        <v>4.6556860536239985E-3</v>
      </c>
    </row>
    <row r="33" spans="2:5">
      <c r="B33" s="58">
        <v>45614</v>
      </c>
      <c r="C33" s="37">
        <v>2.741648314656868E-3</v>
      </c>
      <c r="D33" s="37">
        <v>5.0288483327232481E-3</v>
      </c>
      <c r="E33" s="37">
        <v>2.0449775112443779E-3</v>
      </c>
    </row>
    <row r="34" spans="2:5">
      <c r="B34" s="58">
        <v>45621</v>
      </c>
      <c r="C34" s="37">
        <v>1.2759550523566889E-3</v>
      </c>
      <c r="D34" s="37">
        <v>4.2439230501565839E-3</v>
      </c>
      <c r="E34" s="37">
        <v>5.8524314976443207E-3</v>
      </c>
    </row>
    <row r="35" spans="2:5">
      <c r="B35" s="58">
        <v>45628</v>
      </c>
      <c r="C35" s="37">
        <v>4.7176696580273365E-3</v>
      </c>
      <c r="D35" s="37">
        <v>7.8261885293774095E-3</v>
      </c>
      <c r="E35" s="37">
        <v>2.0028848369668811E-3</v>
      </c>
    </row>
    <row r="36" spans="2:5">
      <c r="B36" s="58">
        <v>45635</v>
      </c>
      <c r="C36" s="37">
        <v>1.7677812464738406E-3</v>
      </c>
      <c r="D36" s="37">
        <v>3.8344284334702996E-3</v>
      </c>
      <c r="E36" s="37">
        <v>3.2086280175382597E-3</v>
      </c>
    </row>
    <row r="37" spans="2:5">
      <c r="B37" s="58">
        <v>45642</v>
      </c>
      <c r="C37" s="37">
        <v>6.506669773402458E-3</v>
      </c>
      <c r="D37" s="37">
        <v>2.7987701840030041E-3</v>
      </c>
      <c r="E37" s="37">
        <v>7.8332145402708487E-3</v>
      </c>
    </row>
    <row r="38" spans="2:5">
      <c r="B38" s="58">
        <v>45649</v>
      </c>
      <c r="C38" s="37">
        <v>4.8653658034289241E-3</v>
      </c>
      <c r="D38" s="37">
        <v>6.4046760353189906E-3</v>
      </c>
      <c r="E38" s="37">
        <v>2.60081206532016E-3</v>
      </c>
    </row>
    <row r="39" spans="2:5">
      <c r="B39" s="58">
        <v>45656</v>
      </c>
      <c r="C39" s="37">
        <v>1.7165562473503519E-3</v>
      </c>
      <c r="D39" s="37">
        <v>3.7157691133055076E-3</v>
      </c>
      <c r="E39" s="37">
        <v>4.3562203906807708E-3</v>
      </c>
    </row>
    <row r="40" spans="2:5">
      <c r="B40" s="58">
        <v>45663</v>
      </c>
      <c r="C40" s="37">
        <v>3.1809630491290049E-3</v>
      </c>
      <c r="D40" s="37">
        <v>8.2282093543773697E-3</v>
      </c>
      <c r="E40" s="37">
        <v>2.8057492705051896E-3</v>
      </c>
    </row>
    <row r="41" spans="2:5">
      <c r="B41" s="58">
        <v>45670</v>
      </c>
      <c r="C41" s="37">
        <v>1.3793673813581599E-3</v>
      </c>
      <c r="D41" s="37">
        <v>3.960732004118693E-3</v>
      </c>
      <c r="E41" s="37">
        <v>2.9568975321278288E-3</v>
      </c>
    </row>
    <row r="42" spans="2:5">
      <c r="B42" s="58">
        <v>45677</v>
      </c>
      <c r="C42" s="37">
        <v>1.3487040845594743E-3</v>
      </c>
      <c r="D42" s="37">
        <v>2.0100280520398473E-3</v>
      </c>
      <c r="E42" s="37">
        <v>2.5280739012313877E-3</v>
      </c>
    </row>
    <row r="43" spans="2:5">
      <c r="B43" s="58">
        <v>45684</v>
      </c>
      <c r="C43" s="37">
        <v>9.2415931314094918E-4</v>
      </c>
      <c r="D43" s="37">
        <v>5.1939513477975013E-3</v>
      </c>
      <c r="E43" s="37">
        <v>3.685623501752981E-3</v>
      </c>
    </row>
    <row r="44" spans="2:5">
      <c r="B44" s="58">
        <v>45691</v>
      </c>
      <c r="C44" s="37">
        <v>2.3334666742861497E-3</v>
      </c>
      <c r="D44" s="37">
        <v>6.8852027382833069E-3</v>
      </c>
      <c r="E44" s="37">
        <v>1.1697559866836308E-3</v>
      </c>
    </row>
    <row r="45" spans="2:5">
      <c r="B45" s="58">
        <v>45698</v>
      </c>
      <c r="C45" s="37">
        <v>3.0798747854185599E-3</v>
      </c>
      <c r="D45" s="37">
        <v>1.2038244241634072E-2</v>
      </c>
      <c r="E45" s="37">
        <v>1.9357425118836263E-3</v>
      </c>
    </row>
    <row r="46" spans="2:5">
      <c r="B46" s="58">
        <v>45705</v>
      </c>
      <c r="C46" s="37">
        <v>4.0817246978170664E-3</v>
      </c>
      <c r="D46" s="37">
        <v>2.3280135960016494E-3</v>
      </c>
      <c r="E46" s="37">
        <v>1.0583174536168594E-3</v>
      </c>
    </row>
    <row r="47" spans="2:5">
      <c r="B47" s="58">
        <v>45712</v>
      </c>
      <c r="C47" s="37">
        <v>1.0896826083196401E-3</v>
      </c>
      <c r="D47" s="37">
        <v>3.7818873758696555E-3</v>
      </c>
      <c r="E47" s="37">
        <v>1.8949662755644234E-3</v>
      </c>
    </row>
    <row r="48" spans="2:5">
      <c r="B48" s="58">
        <v>45719</v>
      </c>
      <c r="C48" s="37">
        <v>1.0984575217286749E-2</v>
      </c>
      <c r="D48" s="37">
        <v>7.8900723125911749E-3</v>
      </c>
      <c r="E48" s="37">
        <v>1.7409229805475531E-3</v>
      </c>
    </row>
    <row r="49" spans="2:5">
      <c r="B49" s="58">
        <v>45726</v>
      </c>
      <c r="C49" s="37">
        <v>1.8468941678809856E-3</v>
      </c>
      <c r="D49" s="37">
        <v>5.1540047386073422E-3</v>
      </c>
      <c r="E49" s="37">
        <v>2.2450476889214967E-3</v>
      </c>
    </row>
    <row r="50" spans="2:5">
      <c r="B50" s="58">
        <v>45733</v>
      </c>
      <c r="C50" s="37">
        <v>1.9052058737091724E-3</v>
      </c>
      <c r="D50" s="37">
        <v>1.4348198375413667E-3</v>
      </c>
      <c r="E50" s="37">
        <v>4.2810298761233904E-3</v>
      </c>
    </row>
    <row r="51" spans="2:5">
      <c r="B51" s="58">
        <v>45740</v>
      </c>
      <c r="C51" s="37">
        <v>3.0555240088474996E-3</v>
      </c>
      <c r="D51" s="37">
        <v>6.5302778380201933E-3</v>
      </c>
      <c r="E51" s="37">
        <v>3.2720751898231166E-3</v>
      </c>
    </row>
    <row r="52" spans="2:5">
      <c r="B52" s="58">
        <v>45747</v>
      </c>
      <c r="C52" s="37">
        <v>3.1475371965261584E-3</v>
      </c>
      <c r="D52" s="37">
        <v>9.0792625187990864E-3</v>
      </c>
      <c r="E52" s="37">
        <v>6.7594964249334932E-3</v>
      </c>
    </row>
    <row r="53" spans="2:5">
      <c r="B53" s="58">
        <v>45754</v>
      </c>
      <c r="C53" s="37">
        <v>3.9209705941868752E-3</v>
      </c>
      <c r="D53" s="37">
        <v>2.9814935695005556E-3</v>
      </c>
      <c r="E53" s="37">
        <v>3.6902252215116576E-3</v>
      </c>
    </row>
    <row r="54" spans="2:5">
      <c r="B54" s="58">
        <v>45761</v>
      </c>
      <c r="C54" s="37">
        <v>1.9961869935398759E-3</v>
      </c>
      <c r="D54" s="37">
        <v>6.2397756485160086E-3</v>
      </c>
      <c r="E54" s="37">
        <v>4.6142223427541986E-3</v>
      </c>
    </row>
    <row r="55" spans="2:5">
      <c r="B55" s="58">
        <v>45768</v>
      </c>
      <c r="C55" s="37">
        <v>1.0988053215795403E-3</v>
      </c>
      <c r="D55" s="37">
        <v>1.4351099955706482E-3</v>
      </c>
      <c r="E55" s="37">
        <v>3.2565414723670183E-3</v>
      </c>
    </row>
    <row r="56" spans="2:5">
      <c r="B56" s="58">
        <v>45775</v>
      </c>
      <c r="C56" s="37">
        <v>3.7778051067623862E-3</v>
      </c>
      <c r="D56" s="37">
        <v>2.0509887813384732E-3</v>
      </c>
      <c r="E56" s="37">
        <v>2.9339148299662998E-3</v>
      </c>
    </row>
    <row r="57" spans="2:5">
      <c r="B57" s="58">
        <v>45782</v>
      </c>
      <c r="C57" s="37">
        <v>2.5976522198761379E-3</v>
      </c>
      <c r="D57" s="37">
        <v>2.5507605115104954E-3</v>
      </c>
      <c r="E57" s="37">
        <v>1.9790880672631238E-3</v>
      </c>
    </row>
    <row r="58" spans="2:5">
      <c r="B58" s="58">
        <v>45789</v>
      </c>
      <c r="C58" s="37">
        <v>1.5731300645365684E-3</v>
      </c>
      <c r="D58" s="37">
        <v>2.6547884187082403E-3</v>
      </c>
      <c r="E58" s="37">
        <v>1.4915157677349929E-3</v>
      </c>
    </row>
    <row r="59" spans="2:5">
      <c r="B59" s="58">
        <v>45796</v>
      </c>
      <c r="C59" s="37">
        <v>7.872087032172511E-3</v>
      </c>
      <c r="D59" s="37">
        <v>4.1466368206671319E-3</v>
      </c>
      <c r="E59" s="37">
        <v>7.5491490264485411E-3</v>
      </c>
    </row>
    <row r="60" spans="2:5">
      <c r="B60" s="58">
        <v>45803</v>
      </c>
      <c r="C60" s="37">
        <v>3.8281206906062111E-3</v>
      </c>
      <c r="D60" s="37">
        <v>3.7470607409939207E-3</v>
      </c>
      <c r="E60" s="37">
        <v>2.005770990217468E-3</v>
      </c>
    </row>
    <row r="61" spans="2:5">
      <c r="B61" s="58">
        <v>45810</v>
      </c>
      <c r="C61" s="37">
        <v>1.2413909189098204E-3</v>
      </c>
      <c r="D61" s="37">
        <v>9.6542972769051369E-3</v>
      </c>
      <c r="E61" s="37">
        <v>4.9181461441388493E-3</v>
      </c>
    </row>
    <row r="62" spans="2:5">
      <c r="B62" s="58">
        <v>45817</v>
      </c>
      <c r="C62" s="37">
        <v>1.1327664328719508E-2</v>
      </c>
      <c r="D62" s="37">
        <v>1.5942232850377457E-3</v>
      </c>
      <c r="E62" s="37">
        <v>4.1211031333606603E-3</v>
      </c>
    </row>
    <row r="63" spans="2:5">
      <c r="B63" s="58">
        <v>45824</v>
      </c>
      <c r="C63" s="37">
        <v>2.4617598408673293E-3</v>
      </c>
      <c r="D63" s="37">
        <v>5.1721119722456512E-3</v>
      </c>
      <c r="E63" s="37">
        <v>5.4388566363352828E-3</v>
      </c>
    </row>
    <row r="64" spans="2:5">
      <c r="B64" s="58">
        <v>45831</v>
      </c>
      <c r="C64" s="37">
        <v>1.1452908859898713E-3</v>
      </c>
      <c r="D64" s="37">
        <v>2.1127444317144686E-3</v>
      </c>
      <c r="E64" s="37">
        <v>3.3553365983339462E-3</v>
      </c>
    </row>
    <row r="65" spans="2:9">
      <c r="B65" s="58">
        <v>45838</v>
      </c>
      <c r="C65" s="37">
        <v>2.2401847575057735E-3</v>
      </c>
      <c r="D65" s="37">
        <v>1.208595326242385E-2</v>
      </c>
      <c r="E65" s="37">
        <v>6.4765009508285796E-3</v>
      </c>
    </row>
    <row r="66" spans="2:9">
      <c r="B66" s="58">
        <v>45845</v>
      </c>
      <c r="C66" s="37">
        <v>3.3512794144334888E-3</v>
      </c>
      <c r="D66" s="37">
        <v>2.6668250067122413E-3</v>
      </c>
      <c r="E66" s="37">
        <v>3.1694785125105812E-3</v>
      </c>
    </row>
    <row r="67" spans="2:9">
      <c r="B67" s="58">
        <v>45852</v>
      </c>
      <c r="C67" s="37">
        <v>9.827213822894169E-3</v>
      </c>
      <c r="D67" s="37">
        <v>1.5181988769584942E-3</v>
      </c>
      <c r="E67" s="37">
        <v>2.6388003437092886E-3</v>
      </c>
    </row>
    <row r="68" spans="2:9">
      <c r="B68" s="58">
        <v>45859</v>
      </c>
      <c r="C68" s="37">
        <v>7.4721268454424738E-3</v>
      </c>
      <c r="D68" s="37">
        <v>3.1852844079273504E-3</v>
      </c>
      <c r="E68" s="37">
        <v>3.2454858113287115E-3</v>
      </c>
    </row>
    <row r="69" spans="2:9">
      <c r="B69" s="58">
        <v>45866</v>
      </c>
      <c r="C69" s="37">
        <v>4.669318378338316E-3</v>
      </c>
      <c r="D69" s="37">
        <v>1.0981480529715098E-2</v>
      </c>
      <c r="E69" s="37">
        <v>1.7084647221127316E-2</v>
      </c>
    </row>
    <row r="70" spans="2:9">
      <c r="B70" s="58">
        <v>45873</v>
      </c>
      <c r="C70" s="37">
        <v>7.6555792759910937E-3</v>
      </c>
      <c r="D70" s="37">
        <v>1.8650998332996943E-3</v>
      </c>
      <c r="E70" s="37">
        <v>3.9299078763469142E-3</v>
      </c>
    </row>
    <row r="71" spans="2:9">
      <c r="B71" s="58">
        <v>45880</v>
      </c>
      <c r="C71" s="37">
        <v>2.6309839468870114E-3</v>
      </c>
      <c r="D71" s="37">
        <v>6.0271996703070265E-3</v>
      </c>
      <c r="E71" s="37">
        <v>6.6042394102916796E-3</v>
      </c>
    </row>
    <row r="72" spans="2:9">
      <c r="B72" s="58">
        <v>45887</v>
      </c>
      <c r="C72" s="37">
        <v>2.1136549728017671E-3</v>
      </c>
      <c r="D72" s="37">
        <v>1.823480339105339E-3</v>
      </c>
      <c r="E72" s="37">
        <v>5.5270456327116777E-3</v>
      </c>
    </row>
    <row r="73" spans="2:9">
      <c r="B73" s="58">
        <v>45894</v>
      </c>
      <c r="C73" s="37">
        <v>6.6754281661347186E-3</v>
      </c>
      <c r="D73" s="37">
        <v>3.9399561477483558E-3</v>
      </c>
      <c r="E73" s="37">
        <v>3.5959985838152297E-3</v>
      </c>
    </row>
    <row r="74" spans="2:9">
      <c r="B74" s="58">
        <v>45901</v>
      </c>
      <c r="C74" s="37">
        <v>3.1996007837554212E-3</v>
      </c>
      <c r="D74" s="37">
        <v>3.6710630280192063E-3</v>
      </c>
      <c r="E74" s="37">
        <v>7.9729048800556194E-4</v>
      </c>
    </row>
    <row r="75" spans="2:9">
      <c r="B75" s="58">
        <v>45908</v>
      </c>
      <c r="C75" s="37">
        <v>9.1194199159233963E-3</v>
      </c>
      <c r="D75" s="37">
        <v>1.7666324429429343E-3</v>
      </c>
      <c r="E75" s="37"/>
    </row>
    <row r="76" spans="2:9">
      <c r="B76" s="93" t="s">
        <v>373</v>
      </c>
      <c r="C76" s="92">
        <v>4.3506104359793425E-3</v>
      </c>
      <c r="D76" s="38">
        <v>4.6999264757296667E-3</v>
      </c>
      <c r="E76" s="38">
        <v>3.9495607574575953E-3</v>
      </c>
    </row>
    <row r="77" spans="2:9">
      <c r="B77"/>
      <c r="C77"/>
      <c r="D77"/>
      <c r="E77"/>
    </row>
    <row r="78" spans="2:9">
      <c r="B78"/>
      <c r="C78" s="68"/>
      <c r="D78"/>
      <c r="E78"/>
      <c r="G78" s="122" t="s">
        <v>402</v>
      </c>
      <c r="H78" s="123"/>
      <c r="I78" s="124"/>
    </row>
    <row r="79" spans="2:9">
      <c r="B79"/>
      <c r="C79"/>
      <c r="D79"/>
      <c r="E79"/>
      <c r="G79" s="125"/>
      <c r="H79" s="126"/>
      <c r="I79" s="127"/>
    </row>
    <row r="80" spans="2:9">
      <c r="B80"/>
      <c r="C80" s="68"/>
      <c r="D80" s="68"/>
      <c r="E80" s="68"/>
      <c r="G80" s="128"/>
      <c r="H80" s="129"/>
      <c r="I80" s="130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spans="2:5">
      <c r="B129"/>
      <c r="C129"/>
      <c r="D129"/>
      <c r="E129"/>
    </row>
    <row r="130" spans="2:5">
      <c r="B130"/>
      <c r="C130"/>
      <c r="D130"/>
      <c r="E130"/>
    </row>
    <row r="131" spans="2:5">
      <c r="B131"/>
      <c r="C131"/>
      <c r="D131"/>
      <c r="E131"/>
    </row>
    <row r="132" spans="2:5">
      <c r="B132"/>
      <c r="C132"/>
      <c r="D132"/>
      <c r="E132"/>
    </row>
    <row r="133" spans="2:5">
      <c r="B133"/>
      <c r="C133"/>
      <c r="D133"/>
      <c r="E133"/>
    </row>
    <row r="134" spans="2:5">
      <c r="B134"/>
      <c r="C134"/>
      <c r="D134"/>
      <c r="E134"/>
    </row>
    <row r="135" spans="2:5">
      <c r="B135"/>
      <c r="C135"/>
      <c r="D135"/>
      <c r="E135"/>
    </row>
    <row r="136" spans="2:5">
      <c r="B136"/>
      <c r="C136"/>
      <c r="D136"/>
      <c r="E136"/>
    </row>
    <row r="137" spans="2:5">
      <c r="B137"/>
      <c r="C137"/>
      <c r="D137"/>
      <c r="E137"/>
    </row>
    <row r="138" spans="2:5">
      <c r="B138"/>
      <c r="C138"/>
      <c r="D138"/>
      <c r="E138"/>
    </row>
    <row r="139" spans="2:5">
      <c r="B139"/>
      <c r="C139"/>
      <c r="D139"/>
      <c r="E139"/>
    </row>
    <row r="140" spans="2:5">
      <c r="B140"/>
      <c r="C140"/>
      <c r="D140"/>
      <c r="E140"/>
    </row>
    <row r="141" spans="2:5">
      <c r="B141"/>
      <c r="C141"/>
      <c r="D141"/>
      <c r="E141"/>
    </row>
    <row r="142" spans="2:5">
      <c r="B142"/>
      <c r="C142"/>
      <c r="D142"/>
      <c r="E142"/>
    </row>
    <row r="143" spans="2:5">
      <c r="B143"/>
      <c r="C143"/>
    </row>
    <row r="144" spans="2:5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</sheetData>
  <mergeCells count="4">
    <mergeCell ref="B6:E6"/>
    <mergeCell ref="G78:I80"/>
    <mergeCell ref="G2:Y2"/>
    <mergeCell ref="G3:Y28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DCF5-E325-47B4-AE5F-49FE81DD74CC}">
  <sheetPr>
    <tabColor theme="4" tint="-0.249977111117893"/>
  </sheetPr>
  <dimension ref="B2:U25"/>
  <sheetViews>
    <sheetView zoomScaleNormal="100" workbookViewId="0">
      <selection activeCell="D9" sqref="D9"/>
    </sheetView>
  </sheetViews>
  <sheetFormatPr defaultRowHeight="14.4"/>
  <cols>
    <col min="1" max="1" width="3.44140625" customWidth="1"/>
    <col min="2" max="2" width="16.21875" customWidth="1"/>
    <col min="4" max="4" width="13.44140625" bestFit="1" customWidth="1"/>
    <col min="5" max="5" width="21.6640625" customWidth="1"/>
    <col min="6" max="6" width="27.5546875" customWidth="1"/>
    <col min="7" max="7" width="12.88671875" customWidth="1"/>
    <col min="8" max="8" width="13.44140625" bestFit="1" customWidth="1"/>
    <col min="9" max="9" width="20" bestFit="1" customWidth="1"/>
    <col min="17" max="17" width="9.77734375" customWidth="1"/>
    <col min="18" max="18" width="3.44140625" customWidth="1"/>
    <col min="19" max="19" width="16.21875" bestFit="1" customWidth="1"/>
    <col min="21" max="21" width="15.6640625" customWidth="1"/>
  </cols>
  <sheetData>
    <row r="2" spans="2:21" ht="25.05" customHeight="1">
      <c r="E2" s="47" t="s">
        <v>387</v>
      </c>
      <c r="H2" s="147" t="s">
        <v>386</v>
      </c>
      <c r="I2" s="147"/>
      <c r="J2" s="147"/>
      <c r="K2" s="147"/>
      <c r="L2" s="147"/>
      <c r="M2" s="147"/>
      <c r="N2" s="147"/>
      <c r="O2" s="147"/>
      <c r="P2" s="147"/>
      <c r="Q2" s="147"/>
    </row>
    <row r="3" spans="2:21" ht="9" customHeight="1">
      <c r="H3" s="132"/>
      <c r="I3" s="132"/>
      <c r="J3" s="132"/>
      <c r="K3" s="132"/>
      <c r="L3" s="132"/>
      <c r="M3" s="132"/>
      <c r="N3" s="132"/>
      <c r="O3" s="132"/>
      <c r="P3" s="132"/>
      <c r="Q3" s="132"/>
    </row>
    <row r="4" spans="2:21" ht="22.05" customHeight="1">
      <c r="C4" s="97" t="s">
        <v>400</v>
      </c>
      <c r="D4" s="97"/>
      <c r="E4" s="97"/>
      <c r="F4" s="98"/>
      <c r="G4" s="64"/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2:21" ht="16.2" customHeight="1">
      <c r="C5" s="62"/>
      <c r="D5" s="62"/>
      <c r="E5" s="62"/>
      <c r="F5" s="63"/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2:21" s="31" customFormat="1" ht="19.95" customHeight="1">
      <c r="D6" s="135" t="s">
        <v>386</v>
      </c>
      <c r="E6" s="135"/>
      <c r="F6" s="135"/>
      <c r="H6" s="132"/>
      <c r="I6" s="132"/>
      <c r="J6" s="132"/>
      <c r="K6" s="132"/>
      <c r="L6" s="132"/>
      <c r="M6" s="132"/>
      <c r="N6" s="132"/>
      <c r="O6" s="132"/>
      <c r="P6" s="132"/>
      <c r="Q6" s="132"/>
      <c r="S6" s="148" t="s">
        <v>408</v>
      </c>
      <c r="T6" s="149"/>
      <c r="U6" s="150"/>
    </row>
    <row r="7" spans="2:21">
      <c r="D7" s="39" t="s">
        <v>1</v>
      </c>
      <c r="E7" s="48" t="s">
        <v>376</v>
      </c>
      <c r="F7" s="39" t="s">
        <v>377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S7" s="69" t="s">
        <v>409</v>
      </c>
      <c r="T7" s="151" t="s">
        <v>410</v>
      </c>
      <c r="U7" s="152"/>
    </row>
    <row r="8" spans="2:21" ht="19.95" customHeight="1">
      <c r="D8" s="16" t="str" cm="1">
        <f t="array" ref="D8:D10">_xlfn.UNIQUE(Cleaned_post_Data!B2:B301)</f>
        <v>Instagram</v>
      </c>
      <c r="E8" s="16">
        <f>SUMIF(Cleaned_post_Data!$B$2:$B$301,'Ad Spend vs Engagement'!D8,Cleaned_post_Data!$O$2:$O$301)</f>
        <v>301576</v>
      </c>
      <c r="F8" s="16">
        <f>SUMIF('Cleaned_Engagement_Data '!$B$2:$B$201,'Ad Spend vs Engagement'!D8,'Cleaned_Engagement_Data '!$G$2:$G$201)</f>
        <v>1035942</v>
      </c>
      <c r="H8" s="132"/>
      <c r="I8" s="132"/>
      <c r="J8" s="132"/>
      <c r="K8" s="132"/>
      <c r="L8" s="132"/>
      <c r="M8" s="132"/>
      <c r="N8" s="132"/>
      <c r="O8" s="132"/>
      <c r="P8" s="132"/>
      <c r="Q8" s="132"/>
      <c r="S8" s="70" t="s">
        <v>415</v>
      </c>
      <c r="T8" s="133" t="s">
        <v>414</v>
      </c>
      <c r="U8" s="134"/>
    </row>
    <row r="9" spans="2:21" ht="19.95" customHeight="1">
      <c r="D9" s="89" t="str">
        <v>Twitter</v>
      </c>
      <c r="E9" s="89">
        <f>SUMIF(Cleaned_post_Data!$B$2:$B$301,'Ad Spend vs Engagement'!D9,Cleaned_post_Data!$O$2:$O$301)</f>
        <v>527370</v>
      </c>
      <c r="F9" s="89">
        <f>SUMIF('Cleaned_Engagement_Data '!$B$2:$B$201,'Ad Spend vs Engagement'!D9,'Cleaned_Engagement_Data '!$G$2:$G$201)</f>
        <v>1114204</v>
      </c>
      <c r="H9" s="132"/>
      <c r="I9" s="132"/>
      <c r="J9" s="132"/>
      <c r="K9" s="132"/>
      <c r="L9" s="132"/>
      <c r="M9" s="132"/>
      <c r="N9" s="132"/>
      <c r="O9" s="132"/>
      <c r="P9" s="132"/>
      <c r="Q9" s="132"/>
      <c r="S9" s="70" t="s">
        <v>411</v>
      </c>
      <c r="T9" s="133" t="s">
        <v>412</v>
      </c>
      <c r="U9" s="134"/>
    </row>
    <row r="10" spans="2:21" ht="19.95" customHeight="1">
      <c r="D10" s="16" t="str">
        <v>YouTube</v>
      </c>
      <c r="E10" s="16">
        <f>SUMIF(Cleaned_post_Data!$B$2:$B$301,'Ad Spend vs Engagement'!D10,Cleaned_post_Data!$O$2:$O$301)</f>
        <v>228696</v>
      </c>
      <c r="F10" s="16">
        <f>SUMIF('Cleaned_Engagement_Data '!$B$2:$B$201,'Ad Spend vs Engagement'!D10,'Cleaned_Engagement_Data '!$G$2:$G$201)</f>
        <v>1065782</v>
      </c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S10" s="70" t="s">
        <v>411</v>
      </c>
      <c r="T10" s="133" t="s">
        <v>413</v>
      </c>
      <c r="U10" s="134"/>
    </row>
    <row r="11" spans="2:21">
      <c r="H11" s="132"/>
      <c r="I11" s="132"/>
      <c r="J11" s="132"/>
      <c r="K11" s="132"/>
      <c r="L11" s="132"/>
      <c r="M11" s="132"/>
      <c r="N11" s="132"/>
      <c r="O11" s="132"/>
      <c r="P11" s="132"/>
      <c r="Q11" s="132"/>
    </row>
    <row r="12" spans="2:21"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2:21">
      <c r="B13" s="136" t="s">
        <v>394</v>
      </c>
      <c r="C13" s="137"/>
      <c r="D13" s="137"/>
      <c r="E13" s="137"/>
      <c r="F13" s="138"/>
      <c r="H13" s="132"/>
      <c r="I13" s="132"/>
      <c r="J13" s="132"/>
      <c r="K13" s="132"/>
      <c r="L13" s="132"/>
      <c r="M13" s="132"/>
      <c r="N13" s="132"/>
      <c r="O13" s="132"/>
      <c r="P13" s="132"/>
      <c r="Q13" s="132"/>
    </row>
    <row r="14" spans="2:21">
      <c r="B14" s="139" t="s">
        <v>393</v>
      </c>
      <c r="C14" s="140"/>
      <c r="D14" s="140"/>
      <c r="E14" s="140"/>
      <c r="F14" s="141"/>
      <c r="H14" s="132"/>
      <c r="I14" s="132"/>
      <c r="J14" s="132"/>
      <c r="K14" s="132"/>
      <c r="L14" s="132"/>
      <c r="M14" s="132"/>
      <c r="N14" s="132"/>
      <c r="O14" s="132"/>
      <c r="P14" s="132"/>
      <c r="Q14" s="132"/>
    </row>
    <row r="15" spans="2:21">
      <c r="B15" s="145" t="s">
        <v>416</v>
      </c>
      <c r="C15" s="143"/>
      <c r="D15" s="143"/>
      <c r="E15" s="143"/>
      <c r="F15" s="144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2:21">
      <c r="H16" s="132"/>
      <c r="I16" s="132"/>
      <c r="J16" s="132"/>
      <c r="K16" s="132"/>
      <c r="L16" s="132"/>
      <c r="M16" s="132"/>
      <c r="N16" s="132"/>
      <c r="O16" s="132"/>
      <c r="P16" s="132"/>
      <c r="Q16" s="132"/>
    </row>
    <row r="17" spans="2:17"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spans="2:17">
      <c r="B18" s="146" t="s">
        <v>395</v>
      </c>
      <c r="C18" s="137"/>
      <c r="D18" s="137"/>
      <c r="E18" s="137"/>
      <c r="F18" s="138"/>
      <c r="H18" s="132"/>
      <c r="I18" s="132"/>
      <c r="J18" s="132"/>
      <c r="K18" s="132"/>
      <c r="L18" s="132"/>
      <c r="M18" s="132"/>
      <c r="N18" s="132"/>
      <c r="O18" s="132"/>
      <c r="P18" s="132"/>
      <c r="Q18" s="132"/>
    </row>
    <row r="19" spans="2:17">
      <c r="B19" s="139" t="s">
        <v>396</v>
      </c>
      <c r="C19" s="140"/>
      <c r="D19" s="140"/>
      <c r="E19" s="140"/>
      <c r="F19" s="141"/>
      <c r="H19" s="132"/>
      <c r="I19" s="132"/>
      <c r="J19" s="132"/>
      <c r="K19" s="132"/>
      <c r="L19" s="132"/>
      <c r="M19" s="132"/>
      <c r="N19" s="132"/>
      <c r="O19" s="132"/>
      <c r="P19" s="132"/>
      <c r="Q19" s="132"/>
    </row>
    <row r="20" spans="2:17">
      <c r="B20" s="139" t="s">
        <v>397</v>
      </c>
      <c r="C20" s="140"/>
      <c r="D20" s="140"/>
      <c r="E20" s="140"/>
      <c r="F20" s="141"/>
      <c r="H20" s="132"/>
      <c r="I20" s="132"/>
      <c r="J20" s="132"/>
      <c r="K20" s="132"/>
      <c r="L20" s="132"/>
      <c r="M20" s="132"/>
      <c r="N20" s="132"/>
      <c r="O20" s="132"/>
      <c r="P20" s="132"/>
      <c r="Q20" s="132"/>
    </row>
    <row r="21" spans="2:17">
      <c r="B21" s="139" t="s">
        <v>398</v>
      </c>
      <c r="C21" s="140"/>
      <c r="D21" s="140"/>
      <c r="E21" s="140"/>
      <c r="F21" s="141"/>
      <c r="H21" s="132"/>
      <c r="I21" s="132"/>
      <c r="J21" s="132"/>
      <c r="K21" s="132"/>
      <c r="L21" s="132"/>
      <c r="M21" s="132"/>
      <c r="N21" s="132"/>
      <c r="O21" s="132"/>
      <c r="P21" s="132"/>
      <c r="Q21" s="132"/>
    </row>
    <row r="22" spans="2:17">
      <c r="B22" s="142" t="s">
        <v>399</v>
      </c>
      <c r="C22" s="143"/>
      <c r="D22" s="143"/>
      <c r="E22" s="143"/>
      <c r="F22" s="144"/>
      <c r="H22" s="132"/>
      <c r="I22" s="132"/>
      <c r="J22" s="132"/>
      <c r="K22" s="132"/>
      <c r="L22" s="132"/>
      <c r="M22" s="132"/>
      <c r="N22" s="132"/>
      <c r="O22" s="132"/>
      <c r="P22" s="132"/>
      <c r="Q22" s="132"/>
    </row>
    <row r="23" spans="2:17" ht="18" customHeight="1">
      <c r="H23" s="132"/>
      <c r="I23" s="132"/>
      <c r="J23" s="132"/>
      <c r="K23" s="132"/>
      <c r="L23" s="132"/>
      <c r="M23" s="132"/>
      <c r="N23" s="132"/>
      <c r="O23" s="132"/>
      <c r="P23" s="132"/>
      <c r="Q23" s="132"/>
    </row>
    <row r="24" spans="2:17" ht="9" customHeight="1">
      <c r="H24" s="132"/>
      <c r="I24" s="132"/>
      <c r="J24" s="132"/>
      <c r="K24" s="132"/>
      <c r="L24" s="132"/>
      <c r="M24" s="132"/>
      <c r="N24" s="132"/>
      <c r="O24" s="132"/>
      <c r="P24" s="132"/>
      <c r="Q24" s="132"/>
    </row>
    <row r="25" spans="2:17" ht="30" customHeight="1"/>
  </sheetData>
  <mergeCells count="16">
    <mergeCell ref="H2:Q2"/>
    <mergeCell ref="S6:U6"/>
    <mergeCell ref="T7:U7"/>
    <mergeCell ref="T8:U8"/>
    <mergeCell ref="T9:U9"/>
    <mergeCell ref="T10:U10"/>
    <mergeCell ref="H3:Q24"/>
    <mergeCell ref="D6:F6"/>
    <mergeCell ref="B13:F13"/>
    <mergeCell ref="B14:F14"/>
    <mergeCell ref="B22:F22"/>
    <mergeCell ref="B15:F15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2C63-AF0B-4883-872F-AB52C0F46D73}">
  <sheetPr>
    <tabColor theme="4" tint="-0.249977111117893"/>
  </sheetPr>
  <dimension ref="A1:Q24"/>
  <sheetViews>
    <sheetView zoomScaleNormal="100" workbookViewId="0">
      <selection activeCell="L16" sqref="L16"/>
    </sheetView>
  </sheetViews>
  <sheetFormatPr defaultRowHeight="14.4"/>
  <cols>
    <col min="2" max="2" width="20.21875" bestFit="1" customWidth="1"/>
    <col min="3" max="3" width="41.33203125" customWidth="1"/>
    <col min="4" max="4" width="14.6640625" customWidth="1"/>
    <col min="5" max="5" width="8.44140625" bestFit="1" customWidth="1"/>
    <col min="11" max="11" width="14.5546875" customWidth="1"/>
    <col min="12" max="12" width="21.21875" customWidth="1"/>
    <col min="13" max="13" width="17.109375" customWidth="1"/>
    <col min="14" max="14" width="36.109375" customWidth="1"/>
    <col min="16" max="16" width="24.6640625" customWidth="1"/>
  </cols>
  <sheetData>
    <row r="1" spans="1:17" ht="25.05" customHeight="1" thickBot="1">
      <c r="A1" s="171" t="s">
        <v>389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3"/>
    </row>
    <row r="2" spans="1:17" ht="18">
      <c r="A2" s="175"/>
      <c r="B2" s="175"/>
      <c r="C2" s="175"/>
      <c r="D2" s="175"/>
      <c r="E2" s="175"/>
      <c r="F2" s="175"/>
      <c r="G2" s="175"/>
      <c r="H2" s="45"/>
      <c r="I2" s="45"/>
    </row>
    <row r="3" spans="1:17" ht="18">
      <c r="L3" s="176" t="s">
        <v>390</v>
      </c>
      <c r="M3" s="176"/>
    </row>
    <row r="4" spans="1:17" ht="19.95" customHeight="1">
      <c r="A4" s="36"/>
      <c r="B4" s="110" t="s">
        <v>375</v>
      </c>
      <c r="C4" s="110"/>
      <c r="D4" s="7"/>
      <c r="E4" s="7"/>
      <c r="F4" s="7"/>
      <c r="G4" s="7"/>
      <c r="H4" s="7"/>
      <c r="I4" s="7"/>
      <c r="L4" s="174" t="s">
        <v>420</v>
      </c>
      <c r="M4" s="174"/>
      <c r="N4" s="174"/>
    </row>
    <row r="5" spans="1:17" ht="18">
      <c r="B5" s="40" t="s">
        <v>1</v>
      </c>
      <c r="C5" s="41" t="s">
        <v>417</v>
      </c>
      <c r="L5" s="174" t="s">
        <v>391</v>
      </c>
      <c r="M5" s="174"/>
      <c r="N5" s="174"/>
    </row>
    <row r="6" spans="1:17" ht="15.6">
      <c r="B6" s="84" t="s">
        <v>24</v>
      </c>
      <c r="C6" s="85">
        <v>527370</v>
      </c>
      <c r="E6" s="46"/>
      <c r="F6" s="46"/>
      <c r="G6" s="46"/>
      <c r="H6" s="46"/>
      <c r="I6" s="46"/>
    </row>
    <row r="7" spans="1:17" ht="15.6">
      <c r="B7" s="72" t="s">
        <v>14</v>
      </c>
      <c r="C7" s="73">
        <v>301576</v>
      </c>
      <c r="E7" s="112" t="s">
        <v>418</v>
      </c>
      <c r="F7" s="113"/>
      <c r="G7" s="113"/>
      <c r="H7" s="113"/>
      <c r="I7" s="114"/>
    </row>
    <row r="8" spans="1:17" ht="15.6">
      <c r="B8" s="96" t="s">
        <v>31</v>
      </c>
      <c r="C8" s="73">
        <v>228696</v>
      </c>
      <c r="E8" s="115"/>
      <c r="F8" s="116"/>
      <c r="G8" s="116"/>
      <c r="H8" s="116"/>
      <c r="I8" s="117"/>
      <c r="L8" s="162" t="s">
        <v>421</v>
      </c>
      <c r="M8" s="163"/>
      <c r="N8" s="164"/>
    </row>
    <row r="9" spans="1:17" ht="15.6">
      <c r="B9" s="74" t="s">
        <v>373</v>
      </c>
      <c r="C9" s="53">
        <v>1057642</v>
      </c>
      <c r="E9" s="115"/>
      <c r="F9" s="116"/>
      <c r="G9" s="116"/>
      <c r="H9" s="116"/>
      <c r="I9" s="117"/>
      <c r="L9" s="165"/>
      <c r="M9" s="166"/>
      <c r="N9" s="167"/>
    </row>
    <row r="10" spans="1:17" ht="19.95" customHeight="1">
      <c r="C10" s="35"/>
      <c r="E10" s="115"/>
      <c r="F10" s="116"/>
      <c r="G10" s="116"/>
      <c r="H10" s="116"/>
      <c r="I10" s="117"/>
      <c r="L10" s="165"/>
      <c r="M10" s="166"/>
      <c r="N10" s="167"/>
      <c r="O10" s="91"/>
      <c r="P10" s="91"/>
    </row>
    <row r="11" spans="1:17" ht="19.95" customHeight="1">
      <c r="E11" s="115"/>
      <c r="F11" s="116"/>
      <c r="G11" s="116"/>
      <c r="H11" s="116"/>
      <c r="I11" s="117"/>
      <c r="L11" s="165"/>
      <c r="M11" s="166"/>
      <c r="N11" s="167"/>
      <c r="O11" s="90"/>
      <c r="P11" s="90"/>
    </row>
    <row r="12" spans="1:17" ht="19.95" customHeight="1">
      <c r="E12" s="118"/>
      <c r="F12" s="119"/>
      <c r="G12" s="119"/>
      <c r="H12" s="119"/>
      <c r="I12" s="120"/>
      <c r="L12" s="165"/>
      <c r="M12" s="166"/>
      <c r="N12" s="167"/>
      <c r="O12" s="90"/>
      <c r="P12" s="90"/>
    </row>
    <row r="13" spans="1:17" ht="19.95" customHeight="1">
      <c r="B13" s="153" t="s">
        <v>385</v>
      </c>
      <c r="C13" s="153"/>
      <c r="L13" s="165"/>
      <c r="M13" s="166"/>
      <c r="N13" s="167"/>
      <c r="O13" s="90"/>
      <c r="P13" s="90"/>
    </row>
    <row r="14" spans="1:17" ht="15.6">
      <c r="B14" s="82" t="s">
        <v>341</v>
      </c>
      <c r="C14" s="83" t="s">
        <v>388</v>
      </c>
      <c r="L14" s="165"/>
      <c r="M14" s="166"/>
      <c r="N14" s="167"/>
      <c r="O14" s="90"/>
      <c r="P14" s="90"/>
    </row>
    <row r="15" spans="1:17" ht="15.6">
      <c r="B15" s="75" t="s">
        <v>14</v>
      </c>
      <c r="C15" s="76">
        <v>4.3506104359793425E-3</v>
      </c>
      <c r="E15" s="112" t="s">
        <v>419</v>
      </c>
      <c r="F15" s="113"/>
      <c r="G15" s="113"/>
      <c r="H15" s="113"/>
      <c r="I15" s="114"/>
      <c r="L15" s="168"/>
      <c r="M15" s="169"/>
      <c r="N15" s="170"/>
      <c r="O15" s="90"/>
      <c r="P15" s="90"/>
    </row>
    <row r="16" spans="1:17" ht="15.6">
      <c r="B16" s="77" t="s">
        <v>24</v>
      </c>
      <c r="C16" s="78">
        <v>4.6999264757296667E-3</v>
      </c>
      <c r="E16" s="115"/>
      <c r="F16" s="116"/>
      <c r="G16" s="116"/>
      <c r="H16" s="116"/>
      <c r="I16" s="117"/>
      <c r="O16" s="90"/>
      <c r="P16" s="90"/>
    </row>
    <row r="17" spans="2:16" ht="15.6">
      <c r="B17" s="75" t="s">
        <v>31</v>
      </c>
      <c r="C17" s="79">
        <v>3.9495607574575953E-3</v>
      </c>
      <c r="E17" s="115"/>
      <c r="F17" s="116"/>
      <c r="G17" s="116"/>
      <c r="H17" s="116"/>
      <c r="I17" s="117"/>
      <c r="L17" s="90"/>
      <c r="M17" s="90"/>
      <c r="N17" s="90"/>
      <c r="O17" s="90"/>
      <c r="P17" s="90"/>
    </row>
    <row r="18" spans="2:16">
      <c r="E18" s="118"/>
      <c r="F18" s="119"/>
      <c r="G18" s="119"/>
      <c r="H18" s="119"/>
      <c r="I18" s="120"/>
    </row>
    <row r="20" spans="2:16" ht="18">
      <c r="B20" s="153" t="s">
        <v>386</v>
      </c>
      <c r="C20" s="153"/>
      <c r="D20" s="153"/>
    </row>
    <row r="21" spans="2:16" ht="18" customHeight="1">
      <c r="B21" s="80" t="s">
        <v>1</v>
      </c>
      <c r="C21" s="81" t="s">
        <v>376</v>
      </c>
      <c r="D21" s="80" t="s">
        <v>377</v>
      </c>
      <c r="F21" s="112" t="s">
        <v>394</v>
      </c>
      <c r="G21" s="154"/>
      <c r="H21" s="154"/>
      <c r="I21" s="155"/>
    </row>
    <row r="22" spans="2:16" ht="19.95" customHeight="1">
      <c r="B22" s="71" t="s">
        <v>14</v>
      </c>
      <c r="C22" s="71">
        <v>301576</v>
      </c>
      <c r="D22" s="71">
        <v>1035942</v>
      </c>
      <c r="F22" s="156"/>
      <c r="G22" s="157"/>
      <c r="H22" s="157"/>
      <c r="I22" s="158"/>
    </row>
    <row r="23" spans="2:16" ht="19.95" customHeight="1">
      <c r="B23" s="86" t="s">
        <v>24</v>
      </c>
      <c r="C23" s="86">
        <v>527370</v>
      </c>
      <c r="D23" s="86">
        <v>1114204</v>
      </c>
      <c r="F23" s="159"/>
      <c r="G23" s="160"/>
      <c r="H23" s="160"/>
      <c r="I23" s="161"/>
    </row>
    <row r="24" spans="2:16" ht="19.95" customHeight="1">
      <c r="B24" s="71" t="s">
        <v>31</v>
      </c>
      <c r="C24" s="71">
        <v>228696</v>
      </c>
      <c r="D24" s="71">
        <v>1065782</v>
      </c>
    </row>
  </sheetData>
  <mergeCells count="12">
    <mergeCell ref="B20:D20"/>
    <mergeCell ref="F21:I23"/>
    <mergeCell ref="E15:I18"/>
    <mergeCell ref="L8:N15"/>
    <mergeCell ref="A1:Q1"/>
    <mergeCell ref="L4:N4"/>
    <mergeCell ref="B13:C13"/>
    <mergeCell ref="A2:G2"/>
    <mergeCell ref="B4:C4"/>
    <mergeCell ref="L5:N5"/>
    <mergeCell ref="E7:I12"/>
    <mergeCell ref="L3:M3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M1000"/>
  <sheetViews>
    <sheetView workbookViewId="0">
      <selection activeCell="M17" sqref="M17"/>
    </sheetView>
  </sheetViews>
  <sheetFormatPr defaultColWidth="14.44140625" defaultRowHeight="15" customHeight="1"/>
  <cols>
    <col min="1" max="2" width="8.6640625" customWidth="1"/>
    <col min="3" max="3" width="18.88671875" customWidth="1"/>
    <col min="4" max="12" width="8.6640625" customWidth="1"/>
    <col min="13" max="13" width="19" customWidth="1"/>
    <col min="14" max="26" width="8.6640625" customWidth="1"/>
  </cols>
  <sheetData>
    <row r="1" spans="1:13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>
      <c r="A2" s="1" t="s">
        <v>13</v>
      </c>
      <c r="B2" s="1" t="s">
        <v>14</v>
      </c>
      <c r="C2" s="2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" t="s">
        <v>17</v>
      </c>
      <c r="M2" s="1" t="s">
        <v>18</v>
      </c>
    </row>
    <row r="3" spans="1:13" ht="14.4">
      <c r="A3" s="1" t="s">
        <v>19</v>
      </c>
      <c r="B3" s="1" t="s">
        <v>14</v>
      </c>
      <c r="C3" s="2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" t="s">
        <v>21</v>
      </c>
      <c r="M3" s="1" t="s">
        <v>22</v>
      </c>
    </row>
    <row r="4" spans="1:13" ht="14.4">
      <c r="A4" s="1" t="s">
        <v>23</v>
      </c>
      <c r="B4" s="1" t="s">
        <v>24</v>
      </c>
      <c r="C4" s="4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" t="s">
        <v>27</v>
      </c>
      <c r="M4" s="1" t="s">
        <v>18</v>
      </c>
    </row>
    <row r="5" spans="1:13" ht="14.4">
      <c r="A5" s="1" t="s">
        <v>28</v>
      </c>
      <c r="B5" s="1" t="s">
        <v>14</v>
      </c>
      <c r="C5" s="4">
        <v>45629</v>
      </c>
      <c r="D5" s="1" t="s">
        <v>15</v>
      </c>
      <c r="E5" s="1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" t="s">
        <v>17</v>
      </c>
      <c r="M5" s="1" t="s">
        <v>18</v>
      </c>
    </row>
    <row r="6" spans="1:13" ht="14.4">
      <c r="A6" s="1" t="s">
        <v>30</v>
      </c>
      <c r="B6" s="1" t="s">
        <v>31</v>
      </c>
      <c r="C6" s="2">
        <v>45388</v>
      </c>
      <c r="D6" s="1" t="s">
        <v>15</v>
      </c>
      <c r="E6" s="1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" t="s">
        <v>33</v>
      </c>
      <c r="M6" s="1" t="s">
        <v>22</v>
      </c>
    </row>
    <row r="7" spans="1:13" ht="14.4">
      <c r="A7" s="1" t="s">
        <v>34</v>
      </c>
      <c r="B7" s="1" t="s">
        <v>31</v>
      </c>
      <c r="C7" s="4">
        <v>45456</v>
      </c>
      <c r="D7" s="1" t="s">
        <v>15</v>
      </c>
      <c r="E7" s="1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" t="s">
        <v>33</v>
      </c>
      <c r="M7" s="1" t="s">
        <v>22</v>
      </c>
    </row>
    <row r="8" spans="1:13" ht="14.4">
      <c r="A8" s="1" t="s">
        <v>36</v>
      </c>
      <c r="B8" s="1" t="s">
        <v>24</v>
      </c>
      <c r="C8" s="4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" t="s">
        <v>17</v>
      </c>
      <c r="M8" s="1" t="s">
        <v>18</v>
      </c>
    </row>
    <row r="9" spans="1:13" ht="14.4">
      <c r="A9" s="1" t="s">
        <v>38</v>
      </c>
      <c r="B9" s="1" t="s">
        <v>24</v>
      </c>
      <c r="C9" s="2">
        <v>45421</v>
      </c>
      <c r="D9" s="1" t="s">
        <v>25</v>
      </c>
      <c r="E9" s="1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" t="s">
        <v>39</v>
      </c>
      <c r="M9" s="1" t="s">
        <v>18</v>
      </c>
    </row>
    <row r="10" spans="1:13" ht="14.4">
      <c r="A10" s="1" t="s">
        <v>40</v>
      </c>
      <c r="B10" s="1" t="s">
        <v>24</v>
      </c>
      <c r="C10" s="4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" t="s">
        <v>42</v>
      </c>
      <c r="M10" s="1" t="s">
        <v>18</v>
      </c>
    </row>
    <row r="11" spans="1:13" ht="14.4">
      <c r="A11" s="1" t="s">
        <v>43</v>
      </c>
      <c r="B11" s="1" t="s">
        <v>24</v>
      </c>
      <c r="C11" s="4">
        <v>45630</v>
      </c>
      <c r="D11" s="1" t="s">
        <v>15</v>
      </c>
      <c r="E11" s="1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" t="s">
        <v>42</v>
      </c>
      <c r="M11" s="1" t="s">
        <v>18</v>
      </c>
    </row>
    <row r="12" spans="1:13" ht="14.4">
      <c r="A12" s="1" t="s">
        <v>44</v>
      </c>
      <c r="B12" s="1" t="s">
        <v>24</v>
      </c>
      <c r="C12" s="4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" t="s">
        <v>45</v>
      </c>
      <c r="M12" s="1" t="s">
        <v>22</v>
      </c>
    </row>
    <row r="13" spans="1:13" ht="14.4">
      <c r="A13" s="1" t="s">
        <v>46</v>
      </c>
      <c r="B13" s="1" t="s">
        <v>14</v>
      </c>
      <c r="C13" s="4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" t="s">
        <v>17</v>
      </c>
      <c r="M13" s="1" t="s">
        <v>18</v>
      </c>
    </row>
    <row r="14" spans="1:13" ht="14.4">
      <c r="A14" s="1" t="s">
        <v>47</v>
      </c>
      <c r="B14" s="1" t="s">
        <v>24</v>
      </c>
      <c r="C14" s="4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" t="s">
        <v>27</v>
      </c>
      <c r="M14" s="1" t="s">
        <v>18</v>
      </c>
    </row>
    <row r="15" spans="1:13" ht="14.4">
      <c r="A15" s="1" t="s">
        <v>48</v>
      </c>
      <c r="B15" s="1" t="s">
        <v>24</v>
      </c>
      <c r="C15" s="4">
        <v>45573</v>
      </c>
      <c r="D15" s="1" t="s">
        <v>15</v>
      </c>
      <c r="E15" s="1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" t="s">
        <v>42</v>
      </c>
      <c r="M15" s="1" t="s">
        <v>18</v>
      </c>
    </row>
    <row r="16" spans="1:13" ht="14.4">
      <c r="A16" s="1" t="s">
        <v>50</v>
      </c>
      <c r="B16" s="1" t="s">
        <v>24</v>
      </c>
      <c r="C16" s="4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" t="s">
        <v>42</v>
      </c>
      <c r="M16" s="1" t="s">
        <v>18</v>
      </c>
    </row>
    <row r="17" spans="1:13" ht="14.4">
      <c r="A17" s="1" t="s">
        <v>52</v>
      </c>
      <c r="B17" s="1" t="s">
        <v>24</v>
      </c>
      <c r="C17" s="4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" t="s">
        <v>27</v>
      </c>
      <c r="M17" s="1" t="s">
        <v>18</v>
      </c>
    </row>
    <row r="18" spans="1:13" ht="14.4">
      <c r="A18" s="1" t="s">
        <v>53</v>
      </c>
      <c r="B18" s="1" t="s">
        <v>24</v>
      </c>
      <c r="C18" s="4">
        <v>45453</v>
      </c>
      <c r="D18" s="1" t="s">
        <v>15</v>
      </c>
      <c r="E18" s="1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" t="s">
        <v>42</v>
      </c>
      <c r="M18" s="1" t="s">
        <v>18</v>
      </c>
    </row>
    <row r="19" spans="1:13" ht="14.4">
      <c r="A19" s="1" t="s">
        <v>54</v>
      </c>
      <c r="B19" s="1" t="s">
        <v>14</v>
      </c>
      <c r="C19" s="4">
        <v>45325</v>
      </c>
      <c r="D19" s="1" t="s">
        <v>25</v>
      </c>
      <c r="E19" s="1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" t="s">
        <v>42</v>
      </c>
      <c r="M19" s="1" t="s">
        <v>55</v>
      </c>
    </row>
    <row r="20" spans="1:13" ht="14.4">
      <c r="A20" s="1" t="s">
        <v>56</v>
      </c>
      <c r="B20" s="1" t="s">
        <v>31</v>
      </c>
      <c r="C20" s="4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" t="s">
        <v>58</v>
      </c>
      <c r="M20" s="1" t="s">
        <v>59</v>
      </c>
    </row>
    <row r="21" spans="1:13" ht="15.75" customHeight="1">
      <c r="A21" s="1" t="s">
        <v>60</v>
      </c>
      <c r="B21" s="1" t="s">
        <v>14</v>
      </c>
      <c r="C21" s="4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" t="s">
        <v>21</v>
      </c>
      <c r="M21" s="1" t="s">
        <v>22</v>
      </c>
    </row>
    <row r="22" spans="1:13" ht="15.75" customHeight="1">
      <c r="A22" s="1" t="s">
        <v>61</v>
      </c>
      <c r="B22" s="1" t="s">
        <v>14</v>
      </c>
      <c r="C22" s="4">
        <v>45603</v>
      </c>
      <c r="D22" s="1" t="s">
        <v>25</v>
      </c>
      <c r="E22" s="1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" t="s">
        <v>42</v>
      </c>
      <c r="M22" s="1" t="s">
        <v>55</v>
      </c>
    </row>
    <row r="23" spans="1:13" ht="15.75" customHeight="1">
      <c r="A23" s="1" t="s">
        <v>62</v>
      </c>
      <c r="B23" s="1" t="s">
        <v>14</v>
      </c>
      <c r="C23" s="4">
        <v>45823</v>
      </c>
      <c r="D23" s="1" t="s">
        <v>15</v>
      </c>
      <c r="E23" s="1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" t="s">
        <v>17</v>
      </c>
      <c r="M23" s="1" t="s">
        <v>18</v>
      </c>
    </row>
    <row r="24" spans="1:13" ht="15.75" customHeight="1">
      <c r="A24" s="1" t="s">
        <v>63</v>
      </c>
      <c r="B24" s="1" t="s">
        <v>31</v>
      </c>
      <c r="C24" s="4">
        <v>45452</v>
      </c>
      <c r="D24" s="1" t="s">
        <v>57</v>
      </c>
      <c r="E24" s="1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" t="s">
        <v>58</v>
      </c>
      <c r="M24" s="1" t="s">
        <v>59</v>
      </c>
    </row>
    <row r="25" spans="1:13" ht="15.75" customHeight="1">
      <c r="A25" s="1" t="s">
        <v>64</v>
      </c>
      <c r="B25" s="1" t="s">
        <v>24</v>
      </c>
      <c r="C25" s="4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" t="s">
        <v>45</v>
      </c>
      <c r="M25" s="1" t="s">
        <v>22</v>
      </c>
    </row>
    <row r="26" spans="1:13" ht="15.75" customHeight="1">
      <c r="A26" s="1" t="s">
        <v>65</v>
      </c>
      <c r="B26" s="1" t="s">
        <v>31</v>
      </c>
      <c r="C26" s="4">
        <v>45575</v>
      </c>
      <c r="D26" s="1" t="s">
        <v>57</v>
      </c>
      <c r="E26" s="1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" t="s">
        <v>58</v>
      </c>
      <c r="M26" s="1" t="s">
        <v>59</v>
      </c>
    </row>
    <row r="27" spans="1:13" ht="15.75" customHeight="1">
      <c r="A27" s="1" t="s">
        <v>66</v>
      </c>
      <c r="B27" s="1" t="s">
        <v>24</v>
      </c>
      <c r="C27" s="4">
        <v>45791</v>
      </c>
      <c r="D27" s="1" t="s">
        <v>25</v>
      </c>
      <c r="E27" s="1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" t="s">
        <v>39</v>
      </c>
      <c r="M27" s="1" t="s">
        <v>18</v>
      </c>
    </row>
    <row r="28" spans="1:13" ht="15.75" customHeight="1">
      <c r="A28" s="1" t="s">
        <v>67</v>
      </c>
      <c r="B28" s="1" t="s">
        <v>14</v>
      </c>
      <c r="C28" s="4">
        <v>45625</v>
      </c>
      <c r="D28" s="1" t="s">
        <v>15</v>
      </c>
      <c r="E28" s="1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" t="s">
        <v>17</v>
      </c>
      <c r="M28" s="1" t="s">
        <v>18</v>
      </c>
    </row>
    <row r="29" spans="1:13" ht="15.75" customHeight="1">
      <c r="A29" s="1" t="s">
        <v>68</v>
      </c>
      <c r="B29" s="1" t="s">
        <v>31</v>
      </c>
      <c r="C29" s="4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" t="s">
        <v>58</v>
      </c>
      <c r="M29" s="1" t="s">
        <v>59</v>
      </c>
    </row>
    <row r="30" spans="1:13" ht="15.75" customHeight="1">
      <c r="A30" s="1" t="s">
        <v>69</v>
      </c>
      <c r="B30" s="1" t="s">
        <v>24</v>
      </c>
      <c r="C30" s="4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" t="s">
        <v>27</v>
      </c>
      <c r="M30" s="1" t="s">
        <v>18</v>
      </c>
    </row>
    <row r="31" spans="1:13" ht="15.75" customHeight="1">
      <c r="A31" s="1" t="s">
        <v>70</v>
      </c>
      <c r="B31" s="1" t="s">
        <v>24</v>
      </c>
      <c r="C31" s="4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" t="s">
        <v>42</v>
      </c>
      <c r="M31" s="1" t="s">
        <v>18</v>
      </c>
    </row>
    <row r="32" spans="1:13" ht="15.75" customHeight="1">
      <c r="A32" s="1" t="s">
        <v>71</v>
      </c>
      <c r="B32" s="1" t="s">
        <v>14</v>
      </c>
      <c r="C32" s="4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" t="s">
        <v>17</v>
      </c>
      <c r="M32" s="1" t="s">
        <v>18</v>
      </c>
    </row>
    <row r="33" spans="1:13" ht="15.75" customHeight="1">
      <c r="A33" s="1" t="s">
        <v>72</v>
      </c>
      <c r="B33" s="1" t="s">
        <v>24</v>
      </c>
      <c r="C33" s="4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" t="s">
        <v>17</v>
      </c>
      <c r="M33" s="1" t="s">
        <v>18</v>
      </c>
    </row>
    <row r="34" spans="1:13" ht="15.75" customHeight="1">
      <c r="A34" s="1" t="s">
        <v>73</v>
      </c>
      <c r="B34" s="1" t="s">
        <v>24</v>
      </c>
      <c r="C34" s="4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" t="s">
        <v>39</v>
      </c>
      <c r="M34" s="1" t="s">
        <v>18</v>
      </c>
    </row>
    <row r="35" spans="1:13" ht="15.75" customHeight="1">
      <c r="A35" s="1" t="s">
        <v>74</v>
      </c>
      <c r="B35" s="1" t="s">
        <v>14</v>
      </c>
      <c r="C35" s="4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" t="s">
        <v>17</v>
      </c>
      <c r="M35" s="1" t="s">
        <v>18</v>
      </c>
    </row>
    <row r="36" spans="1:13" ht="15.75" customHeight="1">
      <c r="A36" s="1" t="s">
        <v>75</v>
      </c>
      <c r="B36" s="1" t="s">
        <v>24</v>
      </c>
      <c r="C36" s="4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" t="s">
        <v>27</v>
      </c>
      <c r="M36" s="1" t="s">
        <v>18</v>
      </c>
    </row>
    <row r="37" spans="1:13" ht="15.75" customHeight="1">
      <c r="A37" s="1" t="s">
        <v>76</v>
      </c>
      <c r="B37" s="1" t="s">
        <v>14</v>
      </c>
      <c r="C37" s="4">
        <v>45416</v>
      </c>
      <c r="D37" s="1" t="s">
        <v>15</v>
      </c>
      <c r="E37" s="1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" t="s">
        <v>21</v>
      </c>
      <c r="M37" s="1" t="s">
        <v>22</v>
      </c>
    </row>
    <row r="38" spans="1:13" ht="15.75" customHeight="1">
      <c r="A38" s="1" t="s">
        <v>77</v>
      </c>
      <c r="B38" s="1" t="s">
        <v>24</v>
      </c>
      <c r="C38" s="4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" t="s">
        <v>27</v>
      </c>
      <c r="M38" s="1" t="s">
        <v>18</v>
      </c>
    </row>
    <row r="39" spans="1:13" ht="15.75" customHeight="1">
      <c r="A39" s="1" t="s">
        <v>78</v>
      </c>
      <c r="B39" s="1" t="s">
        <v>14</v>
      </c>
      <c r="C39" s="4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" t="s">
        <v>42</v>
      </c>
      <c r="M39" s="1" t="s">
        <v>55</v>
      </c>
    </row>
    <row r="40" spans="1:13" ht="15.75" customHeight="1">
      <c r="A40" s="1" t="s">
        <v>79</v>
      </c>
      <c r="B40" s="1" t="s">
        <v>14</v>
      </c>
      <c r="C40" s="4">
        <v>45621</v>
      </c>
      <c r="D40" s="1" t="s">
        <v>15</v>
      </c>
      <c r="E40" s="1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" t="s">
        <v>21</v>
      </c>
      <c r="M40" s="1" t="s">
        <v>22</v>
      </c>
    </row>
    <row r="41" spans="1:13" ht="15.75" customHeight="1">
      <c r="A41" s="1" t="s">
        <v>80</v>
      </c>
      <c r="B41" s="1" t="s">
        <v>24</v>
      </c>
      <c r="C41" s="4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" t="s">
        <v>42</v>
      </c>
      <c r="M41" s="1" t="s">
        <v>18</v>
      </c>
    </row>
    <row r="42" spans="1:13" ht="15.75" customHeight="1">
      <c r="A42" s="1" t="s">
        <v>81</v>
      </c>
      <c r="B42" s="1" t="s">
        <v>14</v>
      </c>
      <c r="C42" s="4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" t="s">
        <v>17</v>
      </c>
      <c r="M42" s="1" t="s">
        <v>18</v>
      </c>
    </row>
    <row r="43" spans="1:13" ht="15.75" customHeight="1">
      <c r="A43" s="1" t="s">
        <v>82</v>
      </c>
      <c r="B43" s="1" t="s">
        <v>14</v>
      </c>
      <c r="C43" s="4">
        <v>45683</v>
      </c>
      <c r="D43" s="1" t="s">
        <v>25</v>
      </c>
      <c r="E43" s="1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" t="s">
        <v>42</v>
      </c>
      <c r="M43" s="1" t="s">
        <v>55</v>
      </c>
    </row>
    <row r="44" spans="1:13" ht="15.75" customHeight="1">
      <c r="A44" s="1" t="s">
        <v>83</v>
      </c>
      <c r="B44" s="1" t="s">
        <v>14</v>
      </c>
      <c r="C44" s="4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" t="s">
        <v>17</v>
      </c>
      <c r="M44" s="1" t="s">
        <v>18</v>
      </c>
    </row>
    <row r="45" spans="1:13" ht="15.75" customHeight="1">
      <c r="A45" s="1" t="s">
        <v>84</v>
      </c>
      <c r="B45" s="1" t="s">
        <v>14</v>
      </c>
      <c r="C45" s="4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" t="s">
        <v>21</v>
      </c>
      <c r="M45" s="1" t="s">
        <v>22</v>
      </c>
    </row>
    <row r="46" spans="1:13" ht="15.75" customHeight="1">
      <c r="A46" s="1" t="s">
        <v>85</v>
      </c>
      <c r="B46" s="1" t="s">
        <v>31</v>
      </c>
      <c r="C46" s="4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" t="s">
        <v>33</v>
      </c>
      <c r="M46" s="1" t="s">
        <v>22</v>
      </c>
    </row>
    <row r="47" spans="1:13" ht="15.75" customHeight="1">
      <c r="A47" s="1" t="s">
        <v>86</v>
      </c>
      <c r="B47" s="1" t="s">
        <v>14</v>
      </c>
      <c r="C47" s="4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" t="s">
        <v>21</v>
      </c>
      <c r="M47" s="1" t="s">
        <v>22</v>
      </c>
    </row>
    <row r="48" spans="1:13" ht="15.75" customHeight="1">
      <c r="A48" s="1" t="s">
        <v>87</v>
      </c>
      <c r="B48" s="1" t="s">
        <v>31</v>
      </c>
      <c r="C48" s="4">
        <v>45365</v>
      </c>
      <c r="D48" s="1" t="s">
        <v>57</v>
      </c>
      <c r="E48" s="1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" t="s">
        <v>58</v>
      </c>
      <c r="M48" s="1" t="s">
        <v>59</v>
      </c>
    </row>
    <row r="49" spans="1:13" ht="15.75" customHeight="1">
      <c r="A49" s="1" t="s">
        <v>88</v>
      </c>
      <c r="B49" s="1" t="s">
        <v>14</v>
      </c>
      <c r="C49" s="4">
        <v>45693</v>
      </c>
      <c r="D49" s="1" t="s">
        <v>25</v>
      </c>
      <c r="E49" s="1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" t="s">
        <v>42</v>
      </c>
      <c r="M49" s="1" t="s">
        <v>55</v>
      </c>
    </row>
    <row r="50" spans="1:13" ht="15.75" customHeight="1">
      <c r="A50" s="1" t="s">
        <v>89</v>
      </c>
      <c r="B50" s="1" t="s">
        <v>24</v>
      </c>
      <c r="C50" s="4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" t="s">
        <v>39</v>
      </c>
      <c r="M50" s="1" t="s">
        <v>18</v>
      </c>
    </row>
    <row r="51" spans="1:13" ht="15.75" customHeight="1">
      <c r="A51" s="1" t="s">
        <v>90</v>
      </c>
      <c r="B51" s="1" t="s">
        <v>24</v>
      </c>
      <c r="C51" s="4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" t="s">
        <v>42</v>
      </c>
      <c r="M51" s="1" t="s">
        <v>18</v>
      </c>
    </row>
    <row r="52" spans="1:13" ht="15.75" customHeight="1">
      <c r="A52" s="1" t="s">
        <v>91</v>
      </c>
      <c r="B52" s="1" t="s">
        <v>31</v>
      </c>
      <c r="C52" s="4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" t="s">
        <v>58</v>
      </c>
      <c r="M52" s="1" t="s">
        <v>59</v>
      </c>
    </row>
    <row r="53" spans="1:13" ht="15.75" customHeight="1">
      <c r="A53" s="1" t="s">
        <v>92</v>
      </c>
      <c r="B53" s="1" t="s">
        <v>24</v>
      </c>
      <c r="C53" s="4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" t="s">
        <v>39</v>
      </c>
      <c r="M53" s="1" t="s">
        <v>18</v>
      </c>
    </row>
    <row r="54" spans="1:13" ht="15.75" customHeight="1">
      <c r="A54" s="1" t="s">
        <v>93</v>
      </c>
      <c r="B54" s="1" t="s">
        <v>24</v>
      </c>
      <c r="C54" s="4">
        <v>45516</v>
      </c>
      <c r="D54" s="1" t="s">
        <v>25</v>
      </c>
      <c r="E54" s="1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" t="s">
        <v>27</v>
      </c>
      <c r="M54" s="1" t="s">
        <v>18</v>
      </c>
    </row>
    <row r="55" spans="1:13" ht="15.75" customHeight="1">
      <c r="A55" s="1" t="s">
        <v>94</v>
      </c>
      <c r="B55" s="1" t="s">
        <v>14</v>
      </c>
      <c r="C55" s="4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" t="s">
        <v>21</v>
      </c>
      <c r="M55" s="1" t="s">
        <v>22</v>
      </c>
    </row>
    <row r="56" spans="1:13" ht="15.75" customHeight="1">
      <c r="A56" s="1" t="s">
        <v>95</v>
      </c>
      <c r="B56" s="1" t="s">
        <v>24</v>
      </c>
      <c r="C56" s="4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" t="s">
        <v>42</v>
      </c>
      <c r="M56" s="1" t="s">
        <v>18</v>
      </c>
    </row>
    <row r="57" spans="1:13" ht="15.75" customHeight="1">
      <c r="A57" s="1" t="s">
        <v>96</v>
      </c>
      <c r="B57" s="1" t="s">
        <v>14</v>
      </c>
      <c r="C57" s="4">
        <v>45707</v>
      </c>
      <c r="D57" s="1" t="s">
        <v>25</v>
      </c>
      <c r="E57" s="1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" t="s">
        <v>42</v>
      </c>
      <c r="M57" s="1" t="s">
        <v>55</v>
      </c>
    </row>
    <row r="58" spans="1:13" ht="15.75" customHeight="1">
      <c r="A58" s="1" t="s">
        <v>97</v>
      </c>
      <c r="B58" s="1" t="s">
        <v>14</v>
      </c>
      <c r="C58" s="4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" t="s">
        <v>21</v>
      </c>
      <c r="M58" s="1" t="s">
        <v>22</v>
      </c>
    </row>
    <row r="59" spans="1:13" ht="15.75" customHeight="1">
      <c r="A59" s="1" t="s">
        <v>98</v>
      </c>
      <c r="B59" s="1" t="s">
        <v>31</v>
      </c>
      <c r="C59" s="4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" t="s">
        <v>33</v>
      </c>
      <c r="M59" s="1" t="s">
        <v>22</v>
      </c>
    </row>
    <row r="60" spans="1:13" ht="15.75" customHeight="1">
      <c r="A60" s="1" t="s">
        <v>99</v>
      </c>
      <c r="B60" s="1" t="s">
        <v>31</v>
      </c>
      <c r="C60" s="4">
        <v>45514</v>
      </c>
      <c r="D60" s="1" t="s">
        <v>15</v>
      </c>
      <c r="E60" s="1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" t="s">
        <v>33</v>
      </c>
      <c r="M60" s="1" t="s">
        <v>22</v>
      </c>
    </row>
    <row r="61" spans="1:13" ht="15.75" customHeight="1">
      <c r="A61" s="1" t="s">
        <v>100</v>
      </c>
      <c r="B61" s="1" t="s">
        <v>31</v>
      </c>
      <c r="C61" s="4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" t="s">
        <v>33</v>
      </c>
      <c r="M61" s="1" t="s">
        <v>22</v>
      </c>
    </row>
    <row r="62" spans="1:13" ht="15.75" customHeight="1">
      <c r="A62" s="1" t="s">
        <v>101</v>
      </c>
      <c r="B62" s="1" t="s">
        <v>31</v>
      </c>
      <c r="C62" s="4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" t="s">
        <v>58</v>
      </c>
      <c r="M62" s="1" t="s">
        <v>59</v>
      </c>
    </row>
    <row r="63" spans="1:13" ht="15.75" customHeight="1">
      <c r="A63" s="1" t="s">
        <v>102</v>
      </c>
      <c r="B63" s="1" t="s">
        <v>24</v>
      </c>
      <c r="C63" s="4">
        <v>45599</v>
      </c>
      <c r="D63" s="1" t="s">
        <v>25</v>
      </c>
      <c r="E63" s="1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" t="s">
        <v>27</v>
      </c>
      <c r="M63" s="1" t="s">
        <v>18</v>
      </c>
    </row>
    <row r="64" spans="1:13" ht="15.75" customHeight="1">
      <c r="A64" s="1" t="s">
        <v>103</v>
      </c>
      <c r="B64" s="1" t="s">
        <v>24</v>
      </c>
      <c r="C64" s="4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" t="s">
        <v>45</v>
      </c>
      <c r="M64" s="1" t="s">
        <v>22</v>
      </c>
    </row>
    <row r="65" spans="1:13" ht="15.75" customHeight="1">
      <c r="A65" s="1" t="s">
        <v>104</v>
      </c>
      <c r="B65" s="1" t="s">
        <v>24</v>
      </c>
      <c r="C65" s="4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" t="s">
        <v>27</v>
      </c>
      <c r="M65" s="1" t="s">
        <v>18</v>
      </c>
    </row>
    <row r="66" spans="1:13" ht="15.75" customHeight="1">
      <c r="A66" s="1" t="s">
        <v>105</v>
      </c>
      <c r="B66" s="1" t="s">
        <v>31</v>
      </c>
      <c r="C66" s="4">
        <v>45438</v>
      </c>
      <c r="D66" s="1" t="s">
        <v>15</v>
      </c>
      <c r="E66" s="1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" t="s">
        <v>33</v>
      </c>
      <c r="M66" s="1" t="s">
        <v>22</v>
      </c>
    </row>
    <row r="67" spans="1:13" ht="15.75" customHeight="1">
      <c r="A67" s="1" t="s">
        <v>106</v>
      </c>
      <c r="B67" s="1" t="s">
        <v>14</v>
      </c>
      <c r="C67" s="4">
        <v>45763</v>
      </c>
      <c r="D67" s="1" t="s">
        <v>15</v>
      </c>
      <c r="E67" s="1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" t="s">
        <v>17</v>
      </c>
      <c r="M67" s="1" t="s">
        <v>18</v>
      </c>
    </row>
    <row r="68" spans="1:13" ht="15.75" customHeight="1">
      <c r="A68" s="1" t="s">
        <v>107</v>
      </c>
      <c r="B68" s="1" t="s">
        <v>31</v>
      </c>
      <c r="C68" s="4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" t="s">
        <v>58</v>
      </c>
      <c r="M68" s="1" t="s">
        <v>59</v>
      </c>
    </row>
    <row r="69" spans="1:13" ht="15.75" customHeight="1">
      <c r="A69" s="1" t="s">
        <v>108</v>
      </c>
      <c r="B69" s="1" t="s">
        <v>24</v>
      </c>
      <c r="C69" s="4">
        <v>45379</v>
      </c>
      <c r="D69" s="1" t="s">
        <v>15</v>
      </c>
      <c r="E69" s="1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" t="s">
        <v>45</v>
      </c>
      <c r="M69" s="1" t="s">
        <v>22</v>
      </c>
    </row>
    <row r="70" spans="1:13" ht="15.75" customHeight="1">
      <c r="A70" s="1" t="s">
        <v>109</v>
      </c>
      <c r="B70" s="1" t="s">
        <v>24</v>
      </c>
      <c r="C70" s="4">
        <v>45643</v>
      </c>
      <c r="D70" s="1" t="s">
        <v>25</v>
      </c>
      <c r="E70" s="1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" t="s">
        <v>39</v>
      </c>
      <c r="M70" s="1" t="s">
        <v>18</v>
      </c>
    </row>
    <row r="71" spans="1:13" ht="15.75" customHeight="1">
      <c r="A71" s="1" t="s">
        <v>110</v>
      </c>
      <c r="B71" s="1" t="s">
        <v>24</v>
      </c>
      <c r="C71" s="4">
        <v>45662</v>
      </c>
      <c r="D71" s="1" t="s">
        <v>15</v>
      </c>
      <c r="E71" s="1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" t="s">
        <v>42</v>
      </c>
      <c r="M71" s="1" t="s">
        <v>18</v>
      </c>
    </row>
    <row r="72" spans="1:13" ht="15.75" customHeight="1">
      <c r="A72" s="1" t="s">
        <v>111</v>
      </c>
      <c r="B72" s="1" t="s">
        <v>24</v>
      </c>
      <c r="C72" s="4">
        <v>45302</v>
      </c>
      <c r="D72" s="1" t="s">
        <v>15</v>
      </c>
      <c r="E72" s="1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" t="s">
        <v>45</v>
      </c>
      <c r="M72" s="1" t="s">
        <v>22</v>
      </c>
    </row>
    <row r="73" spans="1:13" ht="15.75" customHeight="1">
      <c r="A73" s="1" t="s">
        <v>112</v>
      </c>
      <c r="B73" s="1" t="s">
        <v>14</v>
      </c>
      <c r="C73" s="4">
        <v>45576</v>
      </c>
      <c r="D73" s="1" t="s">
        <v>15</v>
      </c>
      <c r="E73" s="1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" t="s">
        <v>21</v>
      </c>
      <c r="M73" s="1" t="s">
        <v>22</v>
      </c>
    </row>
    <row r="74" spans="1:13" ht="15.75" customHeight="1">
      <c r="A74" s="1" t="s">
        <v>113</v>
      </c>
      <c r="B74" s="1" t="s">
        <v>31</v>
      </c>
      <c r="C74" s="4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" t="s">
        <v>58</v>
      </c>
      <c r="M74" s="1" t="s">
        <v>59</v>
      </c>
    </row>
    <row r="75" spans="1:13" ht="15.75" customHeight="1">
      <c r="A75" s="1" t="s">
        <v>114</v>
      </c>
      <c r="B75" s="1" t="s">
        <v>24</v>
      </c>
      <c r="C75" s="4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" t="s">
        <v>39</v>
      </c>
      <c r="M75" s="1" t="s">
        <v>18</v>
      </c>
    </row>
    <row r="76" spans="1:13" ht="15.75" customHeight="1">
      <c r="A76" s="1" t="s">
        <v>115</v>
      </c>
      <c r="B76" s="1" t="s">
        <v>24</v>
      </c>
      <c r="C76" s="4">
        <v>45313</v>
      </c>
      <c r="D76" s="1" t="s">
        <v>25</v>
      </c>
      <c r="E76" s="1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" t="s">
        <v>17</v>
      </c>
      <c r="M76" s="1" t="s">
        <v>18</v>
      </c>
    </row>
    <row r="77" spans="1:13" ht="15.75" customHeight="1">
      <c r="A77" s="1" t="s">
        <v>116</v>
      </c>
      <c r="B77" s="1" t="s">
        <v>14</v>
      </c>
      <c r="C77" s="4">
        <v>45487</v>
      </c>
      <c r="D77" s="1" t="s">
        <v>15</v>
      </c>
      <c r="E77" s="1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" t="s">
        <v>21</v>
      </c>
      <c r="M77" s="1" t="s">
        <v>22</v>
      </c>
    </row>
    <row r="78" spans="1:13" ht="15.75" customHeight="1">
      <c r="A78" s="1" t="s">
        <v>117</v>
      </c>
      <c r="B78" s="1" t="s">
        <v>24</v>
      </c>
      <c r="C78" s="4">
        <v>45805</v>
      </c>
      <c r="D78" s="1" t="s">
        <v>15</v>
      </c>
      <c r="E78" s="1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" t="s">
        <v>42</v>
      </c>
      <c r="M78" s="1" t="s">
        <v>18</v>
      </c>
    </row>
    <row r="79" spans="1:13" ht="15.75" customHeight="1">
      <c r="A79" s="1" t="s">
        <v>118</v>
      </c>
      <c r="B79" s="1" t="s">
        <v>24</v>
      </c>
      <c r="C79" s="4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" t="s">
        <v>27</v>
      </c>
      <c r="M79" s="1" t="s">
        <v>18</v>
      </c>
    </row>
    <row r="80" spans="1:13" ht="15.75" customHeight="1">
      <c r="A80" s="1" t="s">
        <v>119</v>
      </c>
      <c r="B80" s="1" t="s">
        <v>31</v>
      </c>
      <c r="C80" s="4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" t="s">
        <v>58</v>
      </c>
      <c r="M80" s="1" t="s">
        <v>59</v>
      </c>
    </row>
    <row r="81" spans="1:13" ht="15.75" customHeight="1">
      <c r="A81" s="1" t="s">
        <v>120</v>
      </c>
      <c r="B81" s="1" t="s">
        <v>14</v>
      </c>
      <c r="C81" s="4">
        <v>45825</v>
      </c>
      <c r="D81" s="1" t="s">
        <v>15</v>
      </c>
      <c r="E81" s="1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" t="s">
        <v>17</v>
      </c>
      <c r="M81" s="1" t="s">
        <v>18</v>
      </c>
    </row>
    <row r="82" spans="1:13" ht="15.75" customHeight="1">
      <c r="A82" s="1" t="s">
        <v>121</v>
      </c>
      <c r="B82" s="1" t="s">
        <v>24</v>
      </c>
      <c r="C82" s="4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" t="s">
        <v>45</v>
      </c>
      <c r="M82" s="1" t="s">
        <v>22</v>
      </c>
    </row>
    <row r="83" spans="1:13" ht="15.75" customHeight="1">
      <c r="A83" s="1" t="s">
        <v>122</v>
      </c>
      <c r="B83" s="1" t="s">
        <v>14</v>
      </c>
      <c r="C83" s="4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" t="s">
        <v>21</v>
      </c>
      <c r="M83" s="1" t="s">
        <v>22</v>
      </c>
    </row>
    <row r="84" spans="1:13" ht="15.75" customHeight="1">
      <c r="A84" s="1" t="s">
        <v>123</v>
      </c>
      <c r="B84" s="1" t="s">
        <v>24</v>
      </c>
      <c r="C84" s="4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" t="s">
        <v>17</v>
      </c>
      <c r="M84" s="1" t="s">
        <v>18</v>
      </c>
    </row>
    <row r="85" spans="1:13" ht="15.75" customHeight="1">
      <c r="A85" s="1" t="s">
        <v>124</v>
      </c>
      <c r="B85" s="1" t="s">
        <v>24</v>
      </c>
      <c r="C85" s="4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" t="s">
        <v>42</v>
      </c>
      <c r="M85" s="1" t="s">
        <v>18</v>
      </c>
    </row>
    <row r="86" spans="1:13" ht="15.75" customHeight="1">
      <c r="A86" s="1" t="s">
        <v>125</v>
      </c>
      <c r="B86" s="1" t="s">
        <v>14</v>
      </c>
      <c r="C86" s="4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" t="s">
        <v>17</v>
      </c>
      <c r="M86" s="1" t="s">
        <v>18</v>
      </c>
    </row>
    <row r="87" spans="1:13" ht="15.75" customHeight="1">
      <c r="A87" s="1" t="s">
        <v>126</v>
      </c>
      <c r="B87" s="1" t="s">
        <v>24</v>
      </c>
      <c r="C87" s="4">
        <v>45791</v>
      </c>
      <c r="D87" s="1" t="s">
        <v>25</v>
      </c>
      <c r="E87" s="1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" t="s">
        <v>17</v>
      </c>
      <c r="M87" s="1" t="s">
        <v>18</v>
      </c>
    </row>
    <row r="88" spans="1:13" ht="15.75" customHeight="1">
      <c r="A88" s="1" t="s">
        <v>127</v>
      </c>
      <c r="B88" s="1" t="s">
        <v>24</v>
      </c>
      <c r="C88" s="4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" t="s">
        <v>17</v>
      </c>
      <c r="M88" s="1" t="s">
        <v>18</v>
      </c>
    </row>
    <row r="89" spans="1:13" ht="15.75" customHeight="1">
      <c r="A89" s="1" t="s">
        <v>128</v>
      </c>
      <c r="B89" s="1" t="s">
        <v>24</v>
      </c>
      <c r="C89" s="4">
        <v>45705</v>
      </c>
      <c r="D89" s="1" t="s">
        <v>25</v>
      </c>
      <c r="E89" s="1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" t="s">
        <v>17</v>
      </c>
      <c r="M89" s="1" t="s">
        <v>18</v>
      </c>
    </row>
    <row r="90" spans="1:13" ht="15.75" customHeight="1">
      <c r="A90" s="1" t="s">
        <v>129</v>
      </c>
      <c r="B90" s="1" t="s">
        <v>14</v>
      </c>
      <c r="C90" s="4">
        <v>45630</v>
      </c>
      <c r="D90" s="1" t="s">
        <v>15</v>
      </c>
      <c r="E90" s="1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" t="s">
        <v>17</v>
      </c>
      <c r="M90" s="1" t="s">
        <v>18</v>
      </c>
    </row>
    <row r="91" spans="1:13" ht="15.75" customHeight="1">
      <c r="A91" s="1" t="s">
        <v>130</v>
      </c>
      <c r="B91" s="1" t="s">
        <v>24</v>
      </c>
      <c r="C91" s="4">
        <v>45495</v>
      </c>
      <c r="D91" s="1" t="s">
        <v>25</v>
      </c>
      <c r="E91" s="1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" t="s">
        <v>27</v>
      </c>
      <c r="M91" s="1" t="s">
        <v>18</v>
      </c>
    </row>
    <row r="92" spans="1:13" ht="15.75" customHeight="1">
      <c r="A92" s="1" t="s">
        <v>131</v>
      </c>
      <c r="B92" s="1" t="s">
        <v>24</v>
      </c>
      <c r="C92" s="4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" t="s">
        <v>45</v>
      </c>
      <c r="M92" s="1" t="s">
        <v>22</v>
      </c>
    </row>
    <row r="93" spans="1:13" ht="15.75" customHeight="1">
      <c r="A93" s="1" t="s">
        <v>132</v>
      </c>
      <c r="B93" s="1" t="s">
        <v>31</v>
      </c>
      <c r="C93" s="4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" t="s">
        <v>58</v>
      </c>
      <c r="M93" s="1" t="s">
        <v>59</v>
      </c>
    </row>
    <row r="94" spans="1:13" ht="15.75" customHeight="1">
      <c r="A94" s="1" t="s">
        <v>133</v>
      </c>
      <c r="B94" s="1" t="s">
        <v>14</v>
      </c>
      <c r="C94" s="4">
        <v>45351</v>
      </c>
      <c r="D94" s="1" t="s">
        <v>15</v>
      </c>
      <c r="E94" s="1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" t="s">
        <v>21</v>
      </c>
      <c r="M94" s="1" t="s">
        <v>22</v>
      </c>
    </row>
    <row r="95" spans="1:13" ht="15.75" customHeight="1">
      <c r="A95" s="1" t="s">
        <v>134</v>
      </c>
      <c r="B95" s="1" t="s">
        <v>24</v>
      </c>
      <c r="C95" s="4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" t="s">
        <v>17</v>
      </c>
      <c r="M95" s="1" t="s">
        <v>18</v>
      </c>
    </row>
    <row r="96" spans="1:13" ht="15.75" customHeight="1">
      <c r="A96" s="1" t="s">
        <v>135</v>
      </c>
      <c r="B96" s="1" t="s">
        <v>14</v>
      </c>
      <c r="C96" s="4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" t="s">
        <v>42</v>
      </c>
      <c r="M96" s="1" t="s">
        <v>55</v>
      </c>
    </row>
    <row r="97" spans="1:13" ht="15.75" customHeight="1">
      <c r="A97" s="1" t="s">
        <v>136</v>
      </c>
      <c r="B97" s="1" t="s">
        <v>24</v>
      </c>
      <c r="C97" s="4">
        <v>45367</v>
      </c>
      <c r="D97" s="1" t="s">
        <v>25</v>
      </c>
      <c r="E97" s="1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" t="s">
        <v>17</v>
      </c>
      <c r="M97" s="1" t="s">
        <v>18</v>
      </c>
    </row>
    <row r="98" spans="1:13" ht="15.75" customHeight="1">
      <c r="A98" s="1" t="s">
        <v>137</v>
      </c>
      <c r="B98" s="1" t="s">
        <v>14</v>
      </c>
      <c r="C98" s="4">
        <v>45317</v>
      </c>
      <c r="D98" s="1" t="s">
        <v>15</v>
      </c>
      <c r="E98" s="1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" t="s">
        <v>21</v>
      </c>
      <c r="M98" s="1" t="s">
        <v>22</v>
      </c>
    </row>
    <row r="99" spans="1:13" ht="15.75" customHeight="1">
      <c r="A99" s="1" t="s">
        <v>138</v>
      </c>
      <c r="B99" s="1" t="s">
        <v>24</v>
      </c>
      <c r="C99" s="4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" t="s">
        <v>39</v>
      </c>
      <c r="M99" s="1" t="s">
        <v>18</v>
      </c>
    </row>
    <row r="100" spans="1:13" ht="15.75" customHeight="1">
      <c r="A100" s="1" t="s">
        <v>139</v>
      </c>
      <c r="B100" s="1" t="s">
        <v>24</v>
      </c>
      <c r="C100" s="4">
        <v>45580</v>
      </c>
      <c r="D100" s="1" t="s">
        <v>15</v>
      </c>
      <c r="E100" s="1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" t="s">
        <v>42</v>
      </c>
      <c r="M100" s="1" t="s">
        <v>18</v>
      </c>
    </row>
    <row r="101" spans="1:13" ht="15.75" customHeight="1">
      <c r="A101" s="1" t="s">
        <v>140</v>
      </c>
      <c r="B101" s="1" t="s">
        <v>14</v>
      </c>
      <c r="C101" s="4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" t="s">
        <v>21</v>
      </c>
      <c r="M101" s="1" t="s">
        <v>22</v>
      </c>
    </row>
    <row r="102" spans="1:13" ht="15.75" customHeight="1">
      <c r="A102" s="1" t="s">
        <v>141</v>
      </c>
      <c r="B102" s="1" t="s">
        <v>24</v>
      </c>
      <c r="C102" s="4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" t="s">
        <v>42</v>
      </c>
      <c r="M102" s="1" t="s">
        <v>18</v>
      </c>
    </row>
    <row r="103" spans="1:13" ht="15.75" customHeight="1">
      <c r="A103" s="1" t="s">
        <v>142</v>
      </c>
      <c r="B103" s="1" t="s">
        <v>24</v>
      </c>
      <c r="C103" s="4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" t="s">
        <v>42</v>
      </c>
      <c r="M103" s="1" t="s">
        <v>18</v>
      </c>
    </row>
    <row r="104" spans="1:13" ht="15.75" customHeight="1">
      <c r="A104" s="1" t="s">
        <v>143</v>
      </c>
      <c r="B104" s="1" t="s">
        <v>14</v>
      </c>
      <c r="C104" s="4">
        <v>45336</v>
      </c>
      <c r="D104" s="1" t="s">
        <v>15</v>
      </c>
      <c r="E104" s="1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" t="s">
        <v>17</v>
      </c>
      <c r="M104" s="1" t="s">
        <v>18</v>
      </c>
    </row>
    <row r="105" spans="1:13" ht="15.75" customHeight="1">
      <c r="A105" s="1" t="s">
        <v>144</v>
      </c>
      <c r="B105" s="1" t="s">
        <v>24</v>
      </c>
      <c r="C105" s="4">
        <v>45413</v>
      </c>
      <c r="D105" s="1" t="s">
        <v>25</v>
      </c>
      <c r="E105" s="1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" t="s">
        <v>39</v>
      </c>
      <c r="M105" s="1" t="s">
        <v>18</v>
      </c>
    </row>
    <row r="106" spans="1:13" ht="15.75" customHeight="1">
      <c r="A106" s="1" t="s">
        <v>145</v>
      </c>
      <c r="B106" s="1" t="s">
        <v>24</v>
      </c>
      <c r="C106" s="4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" t="s">
        <v>42</v>
      </c>
      <c r="M106" s="1" t="s">
        <v>18</v>
      </c>
    </row>
    <row r="107" spans="1:13" ht="15.75" customHeight="1">
      <c r="A107" s="1" t="s">
        <v>146</v>
      </c>
      <c r="B107" s="1" t="s">
        <v>24</v>
      </c>
      <c r="C107" s="4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" t="s">
        <v>17</v>
      </c>
      <c r="M107" s="1" t="s">
        <v>18</v>
      </c>
    </row>
    <row r="108" spans="1:13" ht="15.75" customHeight="1">
      <c r="A108" s="1" t="s">
        <v>147</v>
      </c>
      <c r="B108" s="1" t="s">
        <v>24</v>
      </c>
      <c r="C108" s="4">
        <v>45670</v>
      </c>
      <c r="D108" s="1" t="s">
        <v>15</v>
      </c>
      <c r="E108" s="1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" t="s">
        <v>45</v>
      </c>
      <c r="M108" s="1" t="s">
        <v>22</v>
      </c>
    </row>
    <row r="109" spans="1:13" ht="15.75" customHeight="1">
      <c r="A109" s="1" t="s">
        <v>148</v>
      </c>
      <c r="B109" s="1" t="s">
        <v>31</v>
      </c>
      <c r="C109" s="4">
        <v>45542</v>
      </c>
      <c r="D109" s="1" t="s">
        <v>57</v>
      </c>
      <c r="E109" s="1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" t="s">
        <v>58</v>
      </c>
      <c r="M109" s="1" t="s">
        <v>59</v>
      </c>
    </row>
    <row r="110" spans="1:13" ht="15.75" customHeight="1">
      <c r="A110" s="1" t="s">
        <v>149</v>
      </c>
      <c r="B110" s="1" t="s">
        <v>14</v>
      </c>
      <c r="C110" s="4">
        <v>45617</v>
      </c>
      <c r="D110" s="1" t="s">
        <v>15</v>
      </c>
      <c r="E110" s="1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" t="s">
        <v>17</v>
      </c>
      <c r="M110" s="1" t="s">
        <v>18</v>
      </c>
    </row>
    <row r="111" spans="1:13" ht="15.75" customHeight="1">
      <c r="A111" s="1" t="s">
        <v>150</v>
      </c>
      <c r="B111" s="1" t="s">
        <v>14</v>
      </c>
      <c r="C111" s="4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" t="s">
        <v>21</v>
      </c>
      <c r="M111" s="1" t="s">
        <v>22</v>
      </c>
    </row>
    <row r="112" spans="1:13" ht="15.75" customHeight="1">
      <c r="A112" s="1" t="s">
        <v>151</v>
      </c>
      <c r="B112" s="1" t="s">
        <v>31</v>
      </c>
      <c r="C112" s="4">
        <v>45493</v>
      </c>
      <c r="D112" s="1" t="s">
        <v>57</v>
      </c>
      <c r="E112" s="1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" t="s">
        <v>58</v>
      </c>
      <c r="M112" s="1" t="s">
        <v>59</v>
      </c>
    </row>
    <row r="113" spans="1:13" ht="15.75" customHeight="1">
      <c r="A113" s="1" t="s">
        <v>152</v>
      </c>
      <c r="B113" s="1" t="s">
        <v>14</v>
      </c>
      <c r="C113" s="4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" t="s">
        <v>17</v>
      </c>
      <c r="M113" s="1" t="s">
        <v>18</v>
      </c>
    </row>
    <row r="114" spans="1:13" ht="15.75" customHeight="1">
      <c r="A114" s="1" t="s">
        <v>153</v>
      </c>
      <c r="B114" s="1" t="s">
        <v>14</v>
      </c>
      <c r="C114" s="4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" t="s">
        <v>17</v>
      </c>
      <c r="M114" s="1" t="s">
        <v>18</v>
      </c>
    </row>
    <row r="115" spans="1:13" ht="15.75" customHeight="1">
      <c r="A115" s="1" t="s">
        <v>154</v>
      </c>
      <c r="B115" s="1" t="s">
        <v>24</v>
      </c>
      <c r="C115" s="4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" t="s">
        <v>42</v>
      </c>
      <c r="M115" s="1" t="s">
        <v>18</v>
      </c>
    </row>
    <row r="116" spans="1:13" ht="15.75" customHeight="1">
      <c r="A116" s="1" t="s">
        <v>155</v>
      </c>
      <c r="B116" s="1" t="s">
        <v>14</v>
      </c>
      <c r="C116" s="4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" t="s">
        <v>21</v>
      </c>
      <c r="M116" s="1" t="s">
        <v>22</v>
      </c>
    </row>
    <row r="117" spans="1:13" ht="15.75" customHeight="1">
      <c r="A117" s="1" t="s">
        <v>156</v>
      </c>
      <c r="B117" s="1" t="s">
        <v>14</v>
      </c>
      <c r="C117" s="4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" t="s">
        <v>42</v>
      </c>
      <c r="M117" s="1" t="s">
        <v>55</v>
      </c>
    </row>
    <row r="118" spans="1:13" ht="15.75" customHeight="1">
      <c r="A118" s="1" t="s">
        <v>157</v>
      </c>
      <c r="B118" s="1" t="s">
        <v>14</v>
      </c>
      <c r="C118" s="4">
        <v>45340</v>
      </c>
      <c r="D118" s="1" t="s">
        <v>25</v>
      </c>
      <c r="E118" s="1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" t="s">
        <v>42</v>
      </c>
      <c r="M118" s="1" t="s">
        <v>55</v>
      </c>
    </row>
    <row r="119" spans="1:13" ht="15.75" customHeight="1">
      <c r="A119" s="1" t="s">
        <v>158</v>
      </c>
      <c r="B119" s="1" t="s">
        <v>24</v>
      </c>
      <c r="C119" s="4">
        <v>45428</v>
      </c>
      <c r="D119" s="1" t="s">
        <v>25</v>
      </c>
      <c r="E119" s="1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" t="s">
        <v>39</v>
      </c>
      <c r="M119" s="1" t="s">
        <v>18</v>
      </c>
    </row>
    <row r="120" spans="1:13" ht="15.75" customHeight="1">
      <c r="A120" s="1" t="s">
        <v>159</v>
      </c>
      <c r="B120" s="1" t="s">
        <v>24</v>
      </c>
      <c r="C120" s="4">
        <v>45806</v>
      </c>
      <c r="D120" s="1" t="s">
        <v>25</v>
      </c>
      <c r="E120" s="1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" t="s">
        <v>27</v>
      </c>
      <c r="M120" s="1" t="s">
        <v>18</v>
      </c>
    </row>
    <row r="121" spans="1:13" ht="15.75" customHeight="1">
      <c r="A121" s="1" t="s">
        <v>160</v>
      </c>
      <c r="B121" s="1" t="s">
        <v>14</v>
      </c>
      <c r="C121" s="4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" t="s">
        <v>21</v>
      </c>
      <c r="M121" s="1" t="s">
        <v>22</v>
      </c>
    </row>
    <row r="122" spans="1:13" ht="15.75" customHeight="1">
      <c r="A122" s="1" t="s">
        <v>161</v>
      </c>
      <c r="B122" s="1" t="s">
        <v>14</v>
      </c>
      <c r="C122" s="4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" t="s">
        <v>42</v>
      </c>
      <c r="M122" s="1" t="s">
        <v>55</v>
      </c>
    </row>
    <row r="123" spans="1:13" ht="15.75" customHeight="1">
      <c r="A123" s="1" t="s">
        <v>162</v>
      </c>
      <c r="B123" s="1" t="s">
        <v>24</v>
      </c>
      <c r="C123" s="4">
        <v>45346</v>
      </c>
      <c r="D123" s="1" t="s">
        <v>25</v>
      </c>
      <c r="E123" s="1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" t="s">
        <v>39</v>
      </c>
      <c r="M123" s="1" t="s">
        <v>18</v>
      </c>
    </row>
    <row r="124" spans="1:13" ht="15.75" customHeight="1">
      <c r="A124" s="1" t="s">
        <v>163</v>
      </c>
      <c r="B124" s="1" t="s">
        <v>31</v>
      </c>
      <c r="C124" s="4">
        <v>45424</v>
      </c>
      <c r="D124" s="1" t="s">
        <v>15</v>
      </c>
      <c r="E124" s="1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" t="s">
        <v>33</v>
      </c>
      <c r="M124" s="1" t="s">
        <v>22</v>
      </c>
    </row>
    <row r="125" spans="1:13" ht="15.75" customHeight="1">
      <c r="A125" s="1" t="s">
        <v>164</v>
      </c>
      <c r="B125" s="1" t="s">
        <v>24</v>
      </c>
      <c r="C125" s="4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" t="s">
        <v>17</v>
      </c>
      <c r="M125" s="1" t="s">
        <v>18</v>
      </c>
    </row>
    <row r="126" spans="1:13" ht="15.75" customHeight="1">
      <c r="A126" s="1" t="s">
        <v>165</v>
      </c>
      <c r="B126" s="1" t="s">
        <v>24</v>
      </c>
      <c r="C126" s="4">
        <v>45602</v>
      </c>
      <c r="D126" s="1" t="s">
        <v>15</v>
      </c>
      <c r="E126" s="1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" t="s">
        <v>42</v>
      </c>
      <c r="M126" s="1" t="s">
        <v>18</v>
      </c>
    </row>
    <row r="127" spans="1:13" ht="15.75" customHeight="1">
      <c r="A127" s="1" t="s">
        <v>166</v>
      </c>
      <c r="B127" s="1" t="s">
        <v>24</v>
      </c>
      <c r="C127" s="4">
        <v>45295</v>
      </c>
      <c r="D127" s="1" t="s">
        <v>25</v>
      </c>
      <c r="E127" s="1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" t="s">
        <v>27</v>
      </c>
      <c r="M127" s="1" t="s">
        <v>18</v>
      </c>
    </row>
    <row r="128" spans="1:13" ht="15.75" customHeight="1">
      <c r="A128" s="1" t="s">
        <v>167</v>
      </c>
      <c r="B128" s="1" t="s">
        <v>24</v>
      </c>
      <c r="C128" s="4">
        <v>45319</v>
      </c>
      <c r="D128" s="1" t="s">
        <v>15</v>
      </c>
      <c r="E128" s="1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" t="s">
        <v>45</v>
      </c>
      <c r="M128" s="1" t="s">
        <v>22</v>
      </c>
    </row>
    <row r="129" spans="1:13" ht="15.75" customHeight="1">
      <c r="A129" s="1" t="s">
        <v>168</v>
      </c>
      <c r="B129" s="1" t="s">
        <v>14</v>
      </c>
      <c r="C129" s="4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" t="s">
        <v>17</v>
      </c>
      <c r="M129" s="1" t="s">
        <v>18</v>
      </c>
    </row>
    <row r="130" spans="1:13" ht="15.75" customHeight="1">
      <c r="A130" s="1" t="s">
        <v>169</v>
      </c>
      <c r="B130" s="1" t="s">
        <v>24</v>
      </c>
      <c r="C130" s="4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" t="s">
        <v>39</v>
      </c>
      <c r="M130" s="1" t="s">
        <v>18</v>
      </c>
    </row>
    <row r="131" spans="1:13" ht="15.75" customHeight="1">
      <c r="A131" s="1" t="s">
        <v>170</v>
      </c>
      <c r="B131" s="1" t="s">
        <v>31</v>
      </c>
      <c r="C131" s="4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" t="s">
        <v>33</v>
      </c>
      <c r="M131" s="1" t="s">
        <v>22</v>
      </c>
    </row>
    <row r="132" spans="1:13" ht="15.75" customHeight="1">
      <c r="A132" s="1" t="s">
        <v>171</v>
      </c>
      <c r="B132" s="1" t="s">
        <v>24</v>
      </c>
      <c r="C132" s="4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" t="s">
        <v>45</v>
      </c>
      <c r="M132" s="1" t="s">
        <v>22</v>
      </c>
    </row>
    <row r="133" spans="1:13" ht="15.75" customHeight="1">
      <c r="A133" s="1" t="s">
        <v>172</v>
      </c>
      <c r="B133" s="1" t="s">
        <v>24</v>
      </c>
      <c r="C133" s="4">
        <v>45563</v>
      </c>
      <c r="D133" s="1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" t="s">
        <v>42</v>
      </c>
      <c r="M133" s="1" t="s">
        <v>18</v>
      </c>
    </row>
    <row r="134" spans="1:13" ht="15.75" customHeight="1">
      <c r="A134" s="1" t="s">
        <v>173</v>
      </c>
      <c r="B134" s="1" t="s">
        <v>31</v>
      </c>
      <c r="C134" s="4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" t="s">
        <v>33</v>
      </c>
      <c r="M134" s="1" t="s">
        <v>22</v>
      </c>
    </row>
    <row r="135" spans="1:13" ht="15.75" customHeight="1">
      <c r="A135" s="1" t="s">
        <v>174</v>
      </c>
      <c r="B135" s="1" t="s">
        <v>24</v>
      </c>
      <c r="C135" s="4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" t="s">
        <v>42</v>
      </c>
      <c r="M135" s="1" t="s">
        <v>18</v>
      </c>
    </row>
    <row r="136" spans="1:13" ht="15.75" customHeight="1">
      <c r="A136" s="1" t="s">
        <v>175</v>
      </c>
      <c r="B136" s="1" t="s">
        <v>24</v>
      </c>
      <c r="C136" s="4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" t="s">
        <v>27</v>
      </c>
      <c r="M136" s="1" t="s">
        <v>18</v>
      </c>
    </row>
    <row r="137" spans="1:13" ht="15.75" customHeight="1">
      <c r="A137" s="1" t="s">
        <v>176</v>
      </c>
      <c r="B137" s="1" t="s">
        <v>24</v>
      </c>
      <c r="C137" s="4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" t="s">
        <v>42</v>
      </c>
      <c r="M137" s="1" t="s">
        <v>18</v>
      </c>
    </row>
    <row r="138" spans="1:13" ht="15.75" customHeight="1">
      <c r="A138" s="1" t="s">
        <v>177</v>
      </c>
      <c r="B138" s="1" t="s">
        <v>24</v>
      </c>
      <c r="C138" s="4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" t="s">
        <v>17</v>
      </c>
      <c r="M138" s="1" t="s">
        <v>18</v>
      </c>
    </row>
    <row r="139" spans="1:13" ht="15.75" customHeight="1">
      <c r="A139" s="1" t="s">
        <v>178</v>
      </c>
      <c r="B139" s="1" t="s">
        <v>24</v>
      </c>
      <c r="C139" s="4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" t="s">
        <v>39</v>
      </c>
      <c r="M139" s="1" t="s">
        <v>18</v>
      </c>
    </row>
    <row r="140" spans="1:13" ht="15.75" customHeight="1">
      <c r="A140" s="1" t="s">
        <v>179</v>
      </c>
      <c r="B140" s="1" t="s">
        <v>24</v>
      </c>
      <c r="C140" s="4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" t="s">
        <v>42</v>
      </c>
      <c r="M140" s="1" t="s">
        <v>18</v>
      </c>
    </row>
    <row r="141" spans="1:13" ht="15.75" customHeight="1">
      <c r="A141" s="1" t="s">
        <v>180</v>
      </c>
      <c r="B141" s="1" t="s">
        <v>24</v>
      </c>
      <c r="C141" s="4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" t="s">
        <v>27</v>
      </c>
      <c r="M141" s="1" t="s">
        <v>18</v>
      </c>
    </row>
    <row r="142" spans="1:13" ht="15.75" customHeight="1">
      <c r="A142" s="1" t="s">
        <v>181</v>
      </c>
      <c r="B142" s="1" t="s">
        <v>31</v>
      </c>
      <c r="C142" s="4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" t="s">
        <v>58</v>
      </c>
      <c r="M142" s="1" t="s">
        <v>59</v>
      </c>
    </row>
    <row r="143" spans="1:13" ht="15.75" customHeight="1">
      <c r="A143" s="1" t="s">
        <v>182</v>
      </c>
      <c r="B143" s="1" t="s">
        <v>14</v>
      </c>
      <c r="C143" s="4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" t="s">
        <v>42</v>
      </c>
      <c r="M143" s="1" t="s">
        <v>55</v>
      </c>
    </row>
    <row r="144" spans="1:13" ht="15.75" customHeight="1">
      <c r="A144" s="1" t="s">
        <v>183</v>
      </c>
      <c r="B144" s="1" t="s">
        <v>14</v>
      </c>
      <c r="C144" s="4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" t="s">
        <v>21</v>
      </c>
      <c r="M144" s="1" t="s">
        <v>22</v>
      </c>
    </row>
    <row r="145" spans="1:13" ht="15.75" customHeight="1">
      <c r="A145" s="1" t="s">
        <v>184</v>
      </c>
      <c r="B145" s="1" t="s">
        <v>14</v>
      </c>
      <c r="C145" s="4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" t="s">
        <v>17</v>
      </c>
      <c r="M145" s="1" t="s">
        <v>18</v>
      </c>
    </row>
    <row r="146" spans="1:13" ht="15.75" customHeight="1">
      <c r="A146" s="1" t="s">
        <v>185</v>
      </c>
      <c r="B146" s="1" t="s">
        <v>24</v>
      </c>
      <c r="C146" s="4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" t="s">
        <v>27</v>
      </c>
      <c r="M146" s="1" t="s">
        <v>18</v>
      </c>
    </row>
    <row r="147" spans="1:13" ht="15.75" customHeight="1">
      <c r="A147" s="1" t="s">
        <v>186</v>
      </c>
      <c r="B147" s="1" t="s">
        <v>14</v>
      </c>
      <c r="C147" s="4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" t="s">
        <v>21</v>
      </c>
      <c r="M147" s="1" t="s">
        <v>22</v>
      </c>
    </row>
    <row r="148" spans="1:13" ht="15.75" customHeight="1">
      <c r="A148" s="1" t="s">
        <v>187</v>
      </c>
      <c r="B148" s="1" t="s">
        <v>24</v>
      </c>
      <c r="C148" s="4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" t="s">
        <v>27</v>
      </c>
      <c r="M148" s="1" t="s">
        <v>18</v>
      </c>
    </row>
    <row r="149" spans="1:13" ht="15.75" customHeight="1">
      <c r="A149" s="1" t="s">
        <v>188</v>
      </c>
      <c r="B149" s="1" t="s">
        <v>24</v>
      </c>
      <c r="C149" s="4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" t="s">
        <v>39</v>
      </c>
      <c r="M149" s="1" t="s">
        <v>18</v>
      </c>
    </row>
    <row r="150" spans="1:13" ht="15.75" customHeight="1">
      <c r="A150" s="1" t="s">
        <v>189</v>
      </c>
      <c r="B150" s="1" t="s">
        <v>24</v>
      </c>
      <c r="C150" s="4">
        <v>45760</v>
      </c>
      <c r="D150" s="1" t="s">
        <v>15</v>
      </c>
      <c r="E150" s="1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" t="s">
        <v>45</v>
      </c>
      <c r="M150" s="1" t="s">
        <v>22</v>
      </c>
    </row>
    <row r="151" spans="1:13" ht="15.75" customHeight="1">
      <c r="A151" s="1" t="s">
        <v>190</v>
      </c>
      <c r="B151" s="1" t="s">
        <v>24</v>
      </c>
      <c r="C151" s="4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" t="s">
        <v>27</v>
      </c>
      <c r="M151" s="1" t="s">
        <v>18</v>
      </c>
    </row>
    <row r="152" spans="1:13" ht="15.75" customHeight="1">
      <c r="A152" s="1" t="s">
        <v>191</v>
      </c>
      <c r="B152" s="1" t="s">
        <v>14</v>
      </c>
      <c r="C152" s="4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" t="s">
        <v>42</v>
      </c>
      <c r="M152" s="1" t="s">
        <v>55</v>
      </c>
    </row>
    <row r="153" spans="1:13" ht="15.75" customHeight="1">
      <c r="A153" s="1" t="s">
        <v>192</v>
      </c>
      <c r="B153" s="1" t="s">
        <v>14</v>
      </c>
      <c r="C153" s="4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" t="s">
        <v>21</v>
      </c>
      <c r="M153" s="1" t="s">
        <v>22</v>
      </c>
    </row>
    <row r="154" spans="1:13" ht="15.75" customHeight="1">
      <c r="A154" s="1" t="s">
        <v>193</v>
      </c>
      <c r="B154" s="1" t="s">
        <v>24</v>
      </c>
      <c r="C154" s="4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" t="s">
        <v>39</v>
      </c>
      <c r="M154" s="1" t="s">
        <v>18</v>
      </c>
    </row>
    <row r="155" spans="1:13" ht="15.75" customHeight="1">
      <c r="A155" s="1" t="s">
        <v>194</v>
      </c>
      <c r="B155" s="1" t="s">
        <v>14</v>
      </c>
      <c r="C155" s="4">
        <v>45615</v>
      </c>
      <c r="D155" s="1" t="s">
        <v>15</v>
      </c>
      <c r="E155" s="1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" t="s">
        <v>21</v>
      </c>
      <c r="M155" s="1" t="s">
        <v>22</v>
      </c>
    </row>
    <row r="156" spans="1:13" ht="15.75" customHeight="1">
      <c r="A156" s="1" t="s">
        <v>195</v>
      </c>
      <c r="B156" s="1" t="s">
        <v>14</v>
      </c>
      <c r="C156" s="4">
        <v>45407</v>
      </c>
      <c r="D156" s="1" t="s">
        <v>15</v>
      </c>
      <c r="E156" s="1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" t="s">
        <v>17</v>
      </c>
      <c r="M156" s="1" t="s">
        <v>18</v>
      </c>
    </row>
    <row r="157" spans="1:13" ht="15.75" customHeight="1">
      <c r="A157" s="1" t="s">
        <v>196</v>
      </c>
      <c r="B157" s="1" t="s">
        <v>31</v>
      </c>
      <c r="C157" s="4">
        <v>45538</v>
      </c>
      <c r="D157" s="1" t="s">
        <v>57</v>
      </c>
      <c r="E157" s="1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" t="s">
        <v>58</v>
      </c>
      <c r="M157" s="1" t="s">
        <v>59</v>
      </c>
    </row>
    <row r="158" spans="1:13" ht="15.75" customHeight="1">
      <c r="A158" s="1" t="s">
        <v>197</v>
      </c>
      <c r="B158" s="1" t="s">
        <v>31</v>
      </c>
      <c r="C158" s="4">
        <v>45718</v>
      </c>
      <c r="D158" s="1" t="s">
        <v>15</v>
      </c>
      <c r="E158" s="1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" t="s">
        <v>33</v>
      </c>
      <c r="M158" s="1" t="s">
        <v>22</v>
      </c>
    </row>
    <row r="159" spans="1:13" ht="15.75" customHeight="1">
      <c r="A159" s="1" t="s">
        <v>198</v>
      </c>
      <c r="B159" s="1" t="s">
        <v>24</v>
      </c>
      <c r="C159" s="4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" t="s">
        <v>39</v>
      </c>
      <c r="M159" s="1" t="s">
        <v>18</v>
      </c>
    </row>
    <row r="160" spans="1:13" ht="15.75" customHeight="1">
      <c r="A160" s="1" t="s">
        <v>199</v>
      </c>
      <c r="B160" s="1" t="s">
        <v>14</v>
      </c>
      <c r="C160" s="4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" t="s">
        <v>42</v>
      </c>
      <c r="M160" s="1" t="s">
        <v>55</v>
      </c>
    </row>
    <row r="161" spans="1:13" ht="15.75" customHeight="1">
      <c r="A161" s="1" t="s">
        <v>200</v>
      </c>
      <c r="B161" s="1" t="s">
        <v>31</v>
      </c>
      <c r="C161" s="4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" t="s">
        <v>58</v>
      </c>
      <c r="M161" s="1" t="s">
        <v>59</v>
      </c>
    </row>
    <row r="162" spans="1:13" ht="15.75" customHeight="1">
      <c r="A162" s="1" t="s">
        <v>201</v>
      </c>
      <c r="B162" s="1" t="s">
        <v>14</v>
      </c>
      <c r="C162" s="4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" t="s">
        <v>21</v>
      </c>
      <c r="M162" s="1" t="s">
        <v>22</v>
      </c>
    </row>
    <row r="163" spans="1:13" ht="15.75" customHeight="1">
      <c r="A163" s="1" t="s">
        <v>202</v>
      </c>
      <c r="B163" s="1" t="s">
        <v>14</v>
      </c>
      <c r="C163" s="4">
        <v>45610</v>
      </c>
      <c r="D163" s="1" t="s">
        <v>15</v>
      </c>
      <c r="E163" s="1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" t="s">
        <v>17</v>
      </c>
      <c r="M163" s="1" t="s">
        <v>18</v>
      </c>
    </row>
    <row r="164" spans="1:13" ht="15.75" customHeight="1">
      <c r="A164" s="1" t="s">
        <v>203</v>
      </c>
      <c r="B164" s="1" t="s">
        <v>31</v>
      </c>
      <c r="C164" s="4">
        <v>45513</v>
      </c>
      <c r="D164" s="1" t="s">
        <v>57</v>
      </c>
      <c r="E164" s="1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" t="s">
        <v>58</v>
      </c>
      <c r="M164" s="1" t="s">
        <v>59</v>
      </c>
    </row>
    <row r="165" spans="1:13" ht="15.75" customHeight="1">
      <c r="A165" s="1" t="s">
        <v>204</v>
      </c>
      <c r="B165" s="1" t="s">
        <v>14</v>
      </c>
      <c r="C165" s="4">
        <v>45835</v>
      </c>
      <c r="D165" s="1" t="s">
        <v>25</v>
      </c>
      <c r="E165" s="1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" t="s">
        <v>42</v>
      </c>
      <c r="M165" s="1" t="s">
        <v>55</v>
      </c>
    </row>
    <row r="166" spans="1:13" ht="15.75" customHeight="1">
      <c r="A166" s="1" t="s">
        <v>205</v>
      </c>
      <c r="B166" s="1" t="s">
        <v>14</v>
      </c>
      <c r="C166" s="4">
        <v>45420</v>
      </c>
      <c r="D166" s="1" t="s">
        <v>25</v>
      </c>
      <c r="E166" s="1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" t="s">
        <v>42</v>
      </c>
      <c r="M166" s="1" t="s">
        <v>55</v>
      </c>
    </row>
    <row r="167" spans="1:13" ht="15.75" customHeight="1">
      <c r="A167" s="1" t="s">
        <v>206</v>
      </c>
      <c r="B167" s="1" t="s">
        <v>14</v>
      </c>
      <c r="C167" s="4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" t="s">
        <v>21</v>
      </c>
      <c r="M167" s="1" t="s">
        <v>22</v>
      </c>
    </row>
    <row r="168" spans="1:13" ht="15.75" customHeight="1">
      <c r="A168" s="1" t="s">
        <v>207</v>
      </c>
      <c r="B168" s="1" t="s">
        <v>31</v>
      </c>
      <c r="C168" s="4">
        <v>45684</v>
      </c>
      <c r="D168" s="1" t="s">
        <v>15</v>
      </c>
      <c r="E168" s="1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" t="s">
        <v>33</v>
      </c>
      <c r="M168" s="1" t="s">
        <v>22</v>
      </c>
    </row>
    <row r="169" spans="1:13" ht="15.75" customHeight="1">
      <c r="A169" s="1" t="s">
        <v>208</v>
      </c>
      <c r="B169" s="1" t="s">
        <v>14</v>
      </c>
      <c r="C169" s="4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" t="s">
        <v>17</v>
      </c>
      <c r="M169" s="1" t="s">
        <v>18</v>
      </c>
    </row>
    <row r="170" spans="1:13" ht="15.75" customHeight="1">
      <c r="A170" s="1" t="s">
        <v>209</v>
      </c>
      <c r="B170" s="1" t="s">
        <v>31</v>
      </c>
      <c r="C170" s="4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" t="s">
        <v>33</v>
      </c>
      <c r="M170" s="1" t="s">
        <v>22</v>
      </c>
    </row>
    <row r="171" spans="1:13" ht="15.75" customHeight="1">
      <c r="A171" s="1" t="s">
        <v>210</v>
      </c>
      <c r="B171" s="1" t="s">
        <v>24</v>
      </c>
      <c r="C171" s="4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" t="s">
        <v>45</v>
      </c>
      <c r="M171" s="1" t="s">
        <v>22</v>
      </c>
    </row>
    <row r="172" spans="1:13" ht="15.75" customHeight="1">
      <c r="A172" s="1" t="s">
        <v>211</v>
      </c>
      <c r="B172" s="1" t="s">
        <v>14</v>
      </c>
      <c r="C172" s="4">
        <v>45536</v>
      </c>
      <c r="D172" s="1" t="s">
        <v>25</v>
      </c>
      <c r="E172" s="1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" t="s">
        <v>42</v>
      </c>
      <c r="M172" s="1" t="s">
        <v>55</v>
      </c>
    </row>
    <row r="173" spans="1:13" ht="15.75" customHeight="1">
      <c r="A173" s="1" t="s">
        <v>212</v>
      </c>
      <c r="B173" s="1" t="s">
        <v>31</v>
      </c>
      <c r="C173" s="4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" t="s">
        <v>33</v>
      </c>
      <c r="M173" s="1" t="s">
        <v>22</v>
      </c>
    </row>
    <row r="174" spans="1:13" ht="15.75" customHeight="1">
      <c r="A174" s="1" t="s">
        <v>213</v>
      </c>
      <c r="B174" s="1" t="s">
        <v>14</v>
      </c>
      <c r="C174" s="4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" t="s">
        <v>21</v>
      </c>
      <c r="M174" s="1" t="s">
        <v>22</v>
      </c>
    </row>
    <row r="175" spans="1:13" ht="15.75" customHeight="1">
      <c r="A175" s="1" t="s">
        <v>214</v>
      </c>
      <c r="B175" s="1" t="s">
        <v>31</v>
      </c>
      <c r="C175" s="4">
        <v>45749</v>
      </c>
      <c r="D175" s="1" t="s">
        <v>15</v>
      </c>
      <c r="E175" s="1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" t="s">
        <v>33</v>
      </c>
      <c r="M175" s="1" t="s">
        <v>22</v>
      </c>
    </row>
    <row r="176" spans="1:13" ht="15.75" customHeight="1">
      <c r="A176" s="1" t="s">
        <v>215</v>
      </c>
      <c r="B176" s="1" t="s">
        <v>24</v>
      </c>
      <c r="C176" s="4">
        <v>45748</v>
      </c>
      <c r="D176" s="1" t="s">
        <v>25</v>
      </c>
      <c r="E176" s="1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" t="s">
        <v>39</v>
      </c>
      <c r="M176" s="1" t="s">
        <v>18</v>
      </c>
    </row>
    <row r="177" spans="1:13" ht="15.75" customHeight="1">
      <c r="A177" s="1" t="s">
        <v>216</v>
      </c>
      <c r="B177" s="1" t="s">
        <v>14</v>
      </c>
      <c r="C177" s="4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" t="s">
        <v>17</v>
      </c>
      <c r="M177" s="1" t="s">
        <v>18</v>
      </c>
    </row>
    <row r="178" spans="1:13" ht="15.75" customHeight="1">
      <c r="A178" s="1" t="s">
        <v>217</v>
      </c>
      <c r="B178" s="1" t="s">
        <v>24</v>
      </c>
      <c r="C178" s="4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" t="s">
        <v>45</v>
      </c>
      <c r="M178" s="1" t="s">
        <v>22</v>
      </c>
    </row>
    <row r="179" spans="1:13" ht="15.75" customHeight="1">
      <c r="A179" s="1" t="s">
        <v>218</v>
      </c>
      <c r="B179" s="1" t="s">
        <v>14</v>
      </c>
      <c r="C179" s="4">
        <v>45640</v>
      </c>
      <c r="D179" s="1" t="s">
        <v>25</v>
      </c>
      <c r="E179" s="1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" t="s">
        <v>42</v>
      </c>
      <c r="M179" s="1" t="s">
        <v>55</v>
      </c>
    </row>
    <row r="180" spans="1:13" ht="15.75" customHeight="1">
      <c r="A180" s="1" t="s">
        <v>219</v>
      </c>
      <c r="B180" s="1" t="s">
        <v>24</v>
      </c>
      <c r="C180" s="4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" t="s">
        <v>45</v>
      </c>
      <c r="M180" s="1" t="s">
        <v>22</v>
      </c>
    </row>
    <row r="181" spans="1:13" ht="15.75" customHeight="1">
      <c r="A181" s="1" t="s">
        <v>220</v>
      </c>
      <c r="B181" s="1" t="s">
        <v>24</v>
      </c>
      <c r="C181" s="4">
        <v>45777</v>
      </c>
      <c r="D181" s="1" t="s">
        <v>25</v>
      </c>
      <c r="E181" s="1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" t="s">
        <v>27</v>
      </c>
      <c r="M181" s="1" t="s">
        <v>18</v>
      </c>
    </row>
    <row r="182" spans="1:13" ht="15.75" customHeight="1">
      <c r="A182" s="1" t="s">
        <v>221</v>
      </c>
      <c r="B182" s="1" t="s">
        <v>24</v>
      </c>
      <c r="C182" s="4">
        <v>45370</v>
      </c>
      <c r="D182" s="1" t="s">
        <v>15</v>
      </c>
      <c r="E182" s="1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" t="s">
        <v>45</v>
      </c>
      <c r="M182" s="1" t="s">
        <v>22</v>
      </c>
    </row>
    <row r="183" spans="1:13" ht="15.75" customHeight="1">
      <c r="A183" s="1" t="s">
        <v>222</v>
      </c>
      <c r="B183" s="1" t="s">
        <v>14</v>
      </c>
      <c r="C183" s="4">
        <v>45370</v>
      </c>
      <c r="D183" s="1" t="s">
        <v>15</v>
      </c>
      <c r="E183" s="1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" t="s">
        <v>17</v>
      </c>
      <c r="M183" s="1" t="s">
        <v>18</v>
      </c>
    </row>
    <row r="184" spans="1:13" ht="15.75" customHeight="1">
      <c r="A184" s="1" t="s">
        <v>223</v>
      </c>
      <c r="B184" s="1" t="s">
        <v>24</v>
      </c>
      <c r="C184" s="4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" t="s">
        <v>45</v>
      </c>
      <c r="M184" s="1" t="s">
        <v>22</v>
      </c>
    </row>
    <row r="185" spans="1:13" ht="15.75" customHeight="1">
      <c r="A185" s="1" t="s">
        <v>224</v>
      </c>
      <c r="B185" s="1" t="s">
        <v>24</v>
      </c>
      <c r="C185" s="4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" t="s">
        <v>27</v>
      </c>
      <c r="M185" s="1" t="s">
        <v>18</v>
      </c>
    </row>
    <row r="186" spans="1:13" ht="15.75" customHeight="1">
      <c r="A186" s="1" t="s">
        <v>225</v>
      </c>
      <c r="B186" s="1" t="s">
        <v>31</v>
      </c>
      <c r="C186" s="4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" t="s">
        <v>58</v>
      </c>
      <c r="M186" s="1" t="s">
        <v>59</v>
      </c>
    </row>
    <row r="187" spans="1:13" ht="15.75" customHeight="1">
      <c r="A187" s="1" t="s">
        <v>226</v>
      </c>
      <c r="B187" s="1" t="s">
        <v>24</v>
      </c>
      <c r="C187" s="4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" t="s">
        <v>27</v>
      </c>
      <c r="M187" s="1" t="s">
        <v>18</v>
      </c>
    </row>
    <row r="188" spans="1:13" ht="15.75" customHeight="1">
      <c r="A188" s="1" t="s">
        <v>227</v>
      </c>
      <c r="B188" s="1" t="s">
        <v>31</v>
      </c>
      <c r="C188" s="4">
        <v>45795</v>
      </c>
      <c r="D188" s="1" t="s">
        <v>57</v>
      </c>
      <c r="E188" s="1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" t="s">
        <v>58</v>
      </c>
      <c r="M188" s="1" t="s">
        <v>59</v>
      </c>
    </row>
    <row r="189" spans="1:13" ht="15.75" customHeight="1">
      <c r="A189" s="1" t="s">
        <v>228</v>
      </c>
      <c r="B189" s="1" t="s">
        <v>14</v>
      </c>
      <c r="C189" s="4">
        <v>45814</v>
      </c>
      <c r="D189" s="1" t="s">
        <v>15</v>
      </c>
      <c r="E189" s="1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" t="s">
        <v>21</v>
      </c>
      <c r="M189" s="1" t="s">
        <v>22</v>
      </c>
    </row>
    <row r="190" spans="1:13" ht="15.75" customHeight="1">
      <c r="A190" s="1" t="s">
        <v>229</v>
      </c>
      <c r="B190" s="1" t="s">
        <v>31</v>
      </c>
      <c r="C190" s="4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" t="s">
        <v>58</v>
      </c>
      <c r="M190" s="1" t="s">
        <v>59</v>
      </c>
    </row>
    <row r="191" spans="1:13" ht="15.75" customHeight="1">
      <c r="A191" s="1" t="s">
        <v>230</v>
      </c>
      <c r="B191" s="1" t="s">
        <v>14</v>
      </c>
      <c r="C191" s="4">
        <v>45673</v>
      </c>
      <c r="D191" s="1" t="s">
        <v>15</v>
      </c>
      <c r="E191" s="1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" t="s">
        <v>17</v>
      </c>
      <c r="M191" s="1" t="s">
        <v>18</v>
      </c>
    </row>
    <row r="192" spans="1:13" ht="15.75" customHeight="1">
      <c r="A192" s="1" t="s">
        <v>231</v>
      </c>
      <c r="B192" s="1" t="s">
        <v>31</v>
      </c>
      <c r="C192" s="4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" t="s">
        <v>58</v>
      </c>
      <c r="M192" s="1" t="s">
        <v>59</v>
      </c>
    </row>
    <row r="193" spans="1:13" ht="15.75" customHeight="1">
      <c r="A193" s="1" t="s">
        <v>232</v>
      </c>
      <c r="B193" s="1" t="s">
        <v>24</v>
      </c>
      <c r="C193" s="4">
        <v>45551</v>
      </c>
      <c r="D193" s="1" t="s">
        <v>25</v>
      </c>
      <c r="E193" s="1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" t="s">
        <v>39</v>
      </c>
      <c r="M193" s="1" t="s">
        <v>18</v>
      </c>
    </row>
    <row r="194" spans="1:13" ht="15.75" customHeight="1">
      <c r="A194" s="1" t="s">
        <v>233</v>
      </c>
      <c r="B194" s="1" t="s">
        <v>31</v>
      </c>
      <c r="C194" s="4">
        <v>45447</v>
      </c>
      <c r="D194" s="1" t="s">
        <v>57</v>
      </c>
      <c r="E194" s="1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" t="s">
        <v>58</v>
      </c>
      <c r="M194" s="1" t="s">
        <v>59</v>
      </c>
    </row>
    <row r="195" spans="1:13" ht="15.75" customHeight="1">
      <c r="A195" s="1" t="s">
        <v>234</v>
      </c>
      <c r="B195" s="1" t="s">
        <v>24</v>
      </c>
      <c r="C195" s="4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" t="s">
        <v>27</v>
      </c>
      <c r="M195" s="1" t="s">
        <v>18</v>
      </c>
    </row>
    <row r="196" spans="1:13" ht="15.75" customHeight="1">
      <c r="A196" s="1" t="s">
        <v>235</v>
      </c>
      <c r="B196" s="1" t="s">
        <v>31</v>
      </c>
      <c r="C196" s="4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" t="s">
        <v>33</v>
      </c>
      <c r="M196" s="1" t="s">
        <v>22</v>
      </c>
    </row>
    <row r="197" spans="1:13" ht="15.75" customHeight="1">
      <c r="A197" s="1" t="s">
        <v>236</v>
      </c>
      <c r="B197" s="1" t="s">
        <v>14</v>
      </c>
      <c r="C197" s="4">
        <v>45669</v>
      </c>
      <c r="D197" s="1" t="s">
        <v>15</v>
      </c>
      <c r="E197" s="1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" t="s">
        <v>17</v>
      </c>
      <c r="M197" s="1" t="s">
        <v>18</v>
      </c>
    </row>
    <row r="198" spans="1:13" ht="15.75" customHeight="1">
      <c r="A198" s="1" t="s">
        <v>237</v>
      </c>
      <c r="B198" s="1" t="s">
        <v>31</v>
      </c>
      <c r="C198" s="4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" t="s">
        <v>33</v>
      </c>
      <c r="M198" s="1" t="s">
        <v>22</v>
      </c>
    </row>
    <row r="199" spans="1:13" ht="15.75" customHeight="1">
      <c r="A199" s="1" t="s">
        <v>238</v>
      </c>
      <c r="B199" s="1" t="s">
        <v>24</v>
      </c>
      <c r="C199" s="4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" t="s">
        <v>17</v>
      </c>
      <c r="M199" s="1" t="s">
        <v>18</v>
      </c>
    </row>
    <row r="200" spans="1:13" ht="15.75" customHeight="1">
      <c r="A200" s="1" t="s">
        <v>239</v>
      </c>
      <c r="B200" s="1" t="s">
        <v>24</v>
      </c>
      <c r="C200" s="4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" t="s">
        <v>17</v>
      </c>
      <c r="M200" s="1" t="s">
        <v>18</v>
      </c>
    </row>
    <row r="201" spans="1:13" ht="15.75" customHeight="1">
      <c r="A201" s="1" t="s">
        <v>240</v>
      </c>
      <c r="B201" s="1" t="s">
        <v>24</v>
      </c>
      <c r="C201" s="4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" t="s">
        <v>42</v>
      </c>
      <c r="M201" s="1" t="s">
        <v>18</v>
      </c>
    </row>
    <row r="202" spans="1:13" ht="15.75" customHeight="1">
      <c r="A202" s="1" t="s">
        <v>241</v>
      </c>
      <c r="B202" s="1" t="s">
        <v>24</v>
      </c>
      <c r="C202" s="4">
        <v>45547</v>
      </c>
      <c r="D202" s="1" t="s">
        <v>25</v>
      </c>
      <c r="E202" s="1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" t="s">
        <v>27</v>
      </c>
      <c r="M202" s="1" t="s">
        <v>18</v>
      </c>
    </row>
    <row r="203" spans="1:13" ht="15.75" customHeight="1">
      <c r="A203" s="1" t="s">
        <v>242</v>
      </c>
      <c r="B203" s="1" t="s">
        <v>24</v>
      </c>
      <c r="C203" s="4">
        <v>45302</v>
      </c>
      <c r="D203" s="1" t="s">
        <v>25</v>
      </c>
      <c r="E203" s="1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" t="s">
        <v>17</v>
      </c>
      <c r="M203" s="1" t="s">
        <v>18</v>
      </c>
    </row>
    <row r="204" spans="1:13" ht="15.75" customHeight="1">
      <c r="A204" s="1" t="s">
        <v>243</v>
      </c>
      <c r="B204" s="1" t="s">
        <v>14</v>
      </c>
      <c r="C204" s="4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" t="s">
        <v>21</v>
      </c>
      <c r="M204" s="1" t="s">
        <v>22</v>
      </c>
    </row>
    <row r="205" spans="1:13" ht="15.75" customHeight="1">
      <c r="A205" s="1" t="s">
        <v>244</v>
      </c>
      <c r="B205" s="1" t="s">
        <v>24</v>
      </c>
      <c r="C205" s="4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" t="s">
        <v>42</v>
      </c>
      <c r="M205" s="1" t="s">
        <v>18</v>
      </c>
    </row>
    <row r="206" spans="1:13" ht="15.75" customHeight="1">
      <c r="A206" s="1" t="s">
        <v>245</v>
      </c>
      <c r="B206" s="1" t="s">
        <v>24</v>
      </c>
      <c r="C206" s="4">
        <v>45763</v>
      </c>
      <c r="D206" s="1" t="s">
        <v>15</v>
      </c>
      <c r="E206" s="1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" t="s">
        <v>45</v>
      </c>
      <c r="M206" s="1" t="s">
        <v>22</v>
      </c>
    </row>
    <row r="207" spans="1:13" ht="15.75" customHeight="1">
      <c r="A207" s="1" t="s">
        <v>246</v>
      </c>
      <c r="B207" s="1" t="s">
        <v>24</v>
      </c>
      <c r="C207" s="4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" t="s">
        <v>39</v>
      </c>
      <c r="M207" s="1" t="s">
        <v>18</v>
      </c>
    </row>
    <row r="208" spans="1:13" ht="15.75" customHeight="1">
      <c r="A208" s="1" t="s">
        <v>247</v>
      </c>
      <c r="B208" s="1" t="s">
        <v>24</v>
      </c>
      <c r="C208" s="4">
        <v>45387</v>
      </c>
      <c r="D208" s="1" t="s">
        <v>25</v>
      </c>
      <c r="E208" s="1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" t="s">
        <v>17</v>
      </c>
      <c r="M208" s="1" t="s">
        <v>18</v>
      </c>
    </row>
    <row r="209" spans="1:13" ht="15.75" customHeight="1">
      <c r="A209" s="1" t="s">
        <v>248</v>
      </c>
      <c r="B209" s="1" t="s">
        <v>24</v>
      </c>
      <c r="C209" s="4">
        <v>45754</v>
      </c>
      <c r="D209" s="1" t="s">
        <v>15</v>
      </c>
      <c r="E209" s="1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" t="s">
        <v>45</v>
      </c>
      <c r="M209" s="1" t="s">
        <v>22</v>
      </c>
    </row>
    <row r="210" spans="1:13" ht="15.75" customHeight="1">
      <c r="A210" s="1" t="s">
        <v>249</v>
      </c>
      <c r="B210" s="1" t="s">
        <v>24</v>
      </c>
      <c r="C210" s="4">
        <v>45492</v>
      </c>
      <c r="D210" s="1" t="s">
        <v>25</v>
      </c>
      <c r="E210" s="1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" t="s">
        <v>39</v>
      </c>
      <c r="M210" s="1" t="s">
        <v>18</v>
      </c>
    </row>
    <row r="211" spans="1:13" ht="15.75" customHeight="1">
      <c r="A211" s="1" t="s">
        <v>250</v>
      </c>
      <c r="B211" s="1" t="s">
        <v>24</v>
      </c>
      <c r="C211" s="4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" t="s">
        <v>17</v>
      </c>
      <c r="M211" s="1" t="s">
        <v>18</v>
      </c>
    </row>
    <row r="212" spans="1:13" ht="15.75" customHeight="1">
      <c r="A212" s="1" t="s">
        <v>251</v>
      </c>
      <c r="B212" s="1" t="s">
        <v>24</v>
      </c>
      <c r="C212" s="4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" t="s">
        <v>39</v>
      </c>
      <c r="M212" s="1" t="s">
        <v>18</v>
      </c>
    </row>
    <row r="213" spans="1:13" ht="15.75" customHeight="1">
      <c r="A213" s="1" t="s">
        <v>252</v>
      </c>
      <c r="B213" s="1" t="s">
        <v>24</v>
      </c>
      <c r="C213" s="4">
        <v>45827</v>
      </c>
      <c r="D213" s="1" t="s">
        <v>25</v>
      </c>
      <c r="E213" s="1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" t="s">
        <v>39</v>
      </c>
      <c r="M213" s="1" t="s">
        <v>18</v>
      </c>
    </row>
    <row r="214" spans="1:13" ht="15.75" customHeight="1">
      <c r="A214" s="1" t="s">
        <v>253</v>
      </c>
      <c r="B214" s="1" t="s">
        <v>14</v>
      </c>
      <c r="C214" s="4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" t="s">
        <v>42</v>
      </c>
      <c r="M214" s="1" t="s">
        <v>55</v>
      </c>
    </row>
    <row r="215" spans="1:13" ht="15.75" customHeight="1">
      <c r="A215" s="1" t="s">
        <v>254</v>
      </c>
      <c r="B215" s="1" t="s">
        <v>24</v>
      </c>
      <c r="C215" s="4">
        <v>45574</v>
      </c>
      <c r="D215" s="1" t="s">
        <v>15</v>
      </c>
      <c r="E215" s="1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" t="s">
        <v>45</v>
      </c>
      <c r="M215" s="1" t="s">
        <v>22</v>
      </c>
    </row>
    <row r="216" spans="1:13" ht="15.75" customHeight="1">
      <c r="A216" s="1" t="s">
        <v>255</v>
      </c>
      <c r="B216" s="1" t="s">
        <v>31</v>
      </c>
      <c r="C216" s="4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" t="s">
        <v>33</v>
      </c>
      <c r="M216" s="1" t="s">
        <v>22</v>
      </c>
    </row>
    <row r="217" spans="1:13" ht="15.75" customHeight="1">
      <c r="A217" s="1" t="s">
        <v>256</v>
      </c>
      <c r="B217" s="1" t="s">
        <v>24</v>
      </c>
      <c r="C217" s="4">
        <v>45669</v>
      </c>
      <c r="D217" s="1" t="s">
        <v>15</v>
      </c>
      <c r="E217" s="1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" t="s">
        <v>45</v>
      </c>
      <c r="M217" s="1" t="s">
        <v>22</v>
      </c>
    </row>
    <row r="218" spans="1:13" ht="15.75" customHeight="1">
      <c r="A218" s="1" t="s">
        <v>257</v>
      </c>
      <c r="B218" s="1" t="s">
        <v>14</v>
      </c>
      <c r="C218" s="4">
        <v>45808</v>
      </c>
      <c r="D218" s="1" t="s">
        <v>15</v>
      </c>
      <c r="E218" s="1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" t="s">
        <v>17</v>
      </c>
      <c r="M218" s="1" t="s">
        <v>18</v>
      </c>
    </row>
    <row r="219" spans="1:13" ht="15.75" customHeight="1">
      <c r="A219" s="1" t="s">
        <v>258</v>
      </c>
      <c r="B219" s="1" t="s">
        <v>24</v>
      </c>
      <c r="C219" s="4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" t="s">
        <v>39</v>
      </c>
      <c r="M219" s="1" t="s">
        <v>18</v>
      </c>
    </row>
    <row r="220" spans="1:13" ht="15.75" customHeight="1">
      <c r="A220" s="1" t="s">
        <v>259</v>
      </c>
      <c r="B220" s="1" t="s">
        <v>24</v>
      </c>
      <c r="C220" s="4">
        <v>45332</v>
      </c>
      <c r="D220" s="1" t="s">
        <v>15</v>
      </c>
      <c r="E220" s="1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" t="s">
        <v>45</v>
      </c>
      <c r="M220" s="1" t="s">
        <v>22</v>
      </c>
    </row>
    <row r="221" spans="1:13" ht="15.75" customHeight="1">
      <c r="A221" s="1" t="s">
        <v>260</v>
      </c>
      <c r="B221" s="1" t="s">
        <v>31</v>
      </c>
      <c r="C221" s="4">
        <v>45636</v>
      </c>
      <c r="D221" s="1" t="s">
        <v>15</v>
      </c>
      <c r="E221" s="1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" t="s">
        <v>33</v>
      </c>
      <c r="M221" s="1" t="s">
        <v>22</v>
      </c>
    </row>
    <row r="222" spans="1:13" ht="15.75" customHeight="1">
      <c r="A222" s="1" t="s">
        <v>261</v>
      </c>
      <c r="B222" s="1" t="s">
        <v>24</v>
      </c>
      <c r="C222" s="4">
        <v>45786</v>
      </c>
      <c r="D222" s="1" t="s">
        <v>25</v>
      </c>
      <c r="E222" s="1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" t="s">
        <v>27</v>
      </c>
      <c r="M222" s="1" t="s">
        <v>18</v>
      </c>
    </row>
    <row r="223" spans="1:13" ht="15.75" customHeight="1">
      <c r="A223" s="1" t="s">
        <v>262</v>
      </c>
      <c r="B223" s="1" t="s">
        <v>24</v>
      </c>
      <c r="C223" s="4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" t="s">
        <v>42</v>
      </c>
      <c r="M223" s="1" t="s">
        <v>18</v>
      </c>
    </row>
    <row r="224" spans="1:13" ht="15.75" customHeight="1">
      <c r="A224" s="1" t="s">
        <v>263</v>
      </c>
      <c r="B224" s="1" t="s">
        <v>24</v>
      </c>
      <c r="C224" s="4">
        <v>45462</v>
      </c>
      <c r="D224" s="1" t="s">
        <v>15</v>
      </c>
      <c r="E224" s="1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" t="s">
        <v>45</v>
      </c>
      <c r="M224" s="1" t="s">
        <v>22</v>
      </c>
    </row>
    <row r="225" spans="1:13" ht="15.75" customHeight="1">
      <c r="A225" s="1" t="s">
        <v>264</v>
      </c>
      <c r="B225" s="1" t="s">
        <v>24</v>
      </c>
      <c r="C225" s="4">
        <v>45636</v>
      </c>
      <c r="D225" s="1" t="s">
        <v>15</v>
      </c>
      <c r="E225" s="1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" t="s">
        <v>42</v>
      </c>
      <c r="M225" s="1" t="s">
        <v>18</v>
      </c>
    </row>
    <row r="226" spans="1:13" ht="15.75" customHeight="1">
      <c r="A226" s="1" t="s">
        <v>265</v>
      </c>
      <c r="B226" s="1" t="s">
        <v>31</v>
      </c>
      <c r="C226" s="4">
        <v>45323</v>
      </c>
      <c r="D226" s="1" t="s">
        <v>15</v>
      </c>
      <c r="E226" s="1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" t="s">
        <v>33</v>
      </c>
      <c r="M226" s="1" t="s">
        <v>22</v>
      </c>
    </row>
    <row r="227" spans="1:13" ht="15.75" customHeight="1">
      <c r="A227" s="1" t="s">
        <v>266</v>
      </c>
      <c r="B227" s="1" t="s">
        <v>24</v>
      </c>
      <c r="C227" s="4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" t="s">
        <v>27</v>
      </c>
      <c r="M227" s="1" t="s">
        <v>18</v>
      </c>
    </row>
    <row r="228" spans="1:13" ht="15.75" customHeight="1">
      <c r="A228" s="1" t="s">
        <v>267</v>
      </c>
      <c r="B228" s="1" t="s">
        <v>31</v>
      </c>
      <c r="C228" s="4">
        <v>45738</v>
      </c>
      <c r="D228" s="1" t="s">
        <v>15</v>
      </c>
      <c r="E228" s="1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" t="s">
        <v>33</v>
      </c>
      <c r="M228" s="1" t="s">
        <v>22</v>
      </c>
    </row>
    <row r="229" spans="1:13" ht="15.75" customHeight="1">
      <c r="A229" s="1" t="s">
        <v>268</v>
      </c>
      <c r="B229" s="1" t="s">
        <v>31</v>
      </c>
      <c r="C229" s="4">
        <v>45442</v>
      </c>
      <c r="D229" s="1" t="s">
        <v>57</v>
      </c>
      <c r="E229" s="1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" t="s">
        <v>58</v>
      </c>
      <c r="M229" s="1" t="s">
        <v>59</v>
      </c>
    </row>
    <row r="230" spans="1:13" ht="15.75" customHeight="1">
      <c r="A230" s="1" t="s">
        <v>269</v>
      </c>
      <c r="B230" s="1" t="s">
        <v>31</v>
      </c>
      <c r="C230" s="4">
        <v>45346</v>
      </c>
      <c r="D230" s="1" t="s">
        <v>15</v>
      </c>
      <c r="E230" s="1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" t="s">
        <v>33</v>
      </c>
      <c r="M230" s="1" t="s">
        <v>22</v>
      </c>
    </row>
    <row r="231" spans="1:13" ht="15.75" customHeight="1">
      <c r="A231" s="1" t="s">
        <v>270</v>
      </c>
      <c r="B231" s="1" t="s">
        <v>31</v>
      </c>
      <c r="C231" s="4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" t="s">
        <v>33</v>
      </c>
      <c r="M231" s="1" t="s">
        <v>22</v>
      </c>
    </row>
    <row r="232" spans="1:13" ht="15.75" customHeight="1">
      <c r="A232" s="1" t="s">
        <v>271</v>
      </c>
      <c r="B232" s="1" t="s">
        <v>14</v>
      </c>
      <c r="C232" s="4">
        <v>45379</v>
      </c>
      <c r="D232" s="1" t="s">
        <v>15</v>
      </c>
      <c r="E232" s="1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" t="s">
        <v>17</v>
      </c>
      <c r="M232" s="1" t="s">
        <v>18</v>
      </c>
    </row>
    <row r="233" spans="1:13" ht="15.75" customHeight="1">
      <c r="A233" s="1" t="s">
        <v>272</v>
      </c>
      <c r="B233" s="1" t="s">
        <v>31</v>
      </c>
      <c r="C233" s="4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" t="s">
        <v>33</v>
      </c>
      <c r="M233" s="1" t="s">
        <v>22</v>
      </c>
    </row>
    <row r="234" spans="1:13" ht="15.75" customHeight="1">
      <c r="A234" s="1" t="s">
        <v>273</v>
      </c>
      <c r="B234" s="1" t="s">
        <v>24</v>
      </c>
      <c r="C234" s="4">
        <v>45585</v>
      </c>
      <c r="D234" s="1" t="s">
        <v>15</v>
      </c>
      <c r="E234" s="1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" t="s">
        <v>42</v>
      </c>
      <c r="M234" s="1" t="s">
        <v>18</v>
      </c>
    </row>
    <row r="235" spans="1:13" ht="15.75" customHeight="1">
      <c r="A235" s="1" t="s">
        <v>274</v>
      </c>
      <c r="B235" s="1" t="s">
        <v>24</v>
      </c>
      <c r="C235" s="4">
        <v>45324</v>
      </c>
      <c r="D235" s="1" t="s">
        <v>15</v>
      </c>
      <c r="E235" s="1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" t="s">
        <v>42</v>
      </c>
      <c r="M235" s="1" t="s">
        <v>18</v>
      </c>
    </row>
    <row r="236" spans="1:13" ht="15.75" customHeight="1">
      <c r="A236" s="1" t="s">
        <v>275</v>
      </c>
      <c r="B236" s="1" t="s">
        <v>31</v>
      </c>
      <c r="C236" s="4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" t="s">
        <v>33</v>
      </c>
      <c r="M236" s="1" t="s">
        <v>22</v>
      </c>
    </row>
    <row r="237" spans="1:13" ht="15.75" customHeight="1">
      <c r="A237" s="1" t="s">
        <v>276</v>
      </c>
      <c r="B237" s="1" t="s">
        <v>14</v>
      </c>
      <c r="C237" s="4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" t="s">
        <v>21</v>
      </c>
      <c r="M237" s="1" t="s">
        <v>22</v>
      </c>
    </row>
    <row r="238" spans="1:13" ht="15.75" customHeight="1">
      <c r="A238" s="1" t="s">
        <v>277</v>
      </c>
      <c r="B238" s="1" t="s">
        <v>31</v>
      </c>
      <c r="C238" s="4">
        <v>45305</v>
      </c>
      <c r="D238" s="1" t="s">
        <v>15</v>
      </c>
      <c r="E238" s="1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" t="s">
        <v>33</v>
      </c>
      <c r="M238" s="1" t="s">
        <v>22</v>
      </c>
    </row>
    <row r="239" spans="1:13" ht="15.75" customHeight="1">
      <c r="A239" s="1" t="s">
        <v>278</v>
      </c>
      <c r="B239" s="1" t="s">
        <v>14</v>
      </c>
      <c r="C239" s="4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" t="s">
        <v>17</v>
      </c>
      <c r="M239" s="1" t="s">
        <v>18</v>
      </c>
    </row>
    <row r="240" spans="1:13" ht="15.75" customHeight="1">
      <c r="A240" s="1" t="s">
        <v>279</v>
      </c>
      <c r="B240" s="1" t="s">
        <v>24</v>
      </c>
      <c r="C240" s="4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" t="s">
        <v>27</v>
      </c>
      <c r="M240" s="1" t="s">
        <v>18</v>
      </c>
    </row>
    <row r="241" spans="1:13" ht="15.75" customHeight="1">
      <c r="A241" s="1" t="s">
        <v>280</v>
      </c>
      <c r="B241" s="1" t="s">
        <v>31</v>
      </c>
      <c r="C241" s="4">
        <v>45533</v>
      </c>
      <c r="D241" s="1" t="s">
        <v>15</v>
      </c>
      <c r="E241" s="1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" t="s">
        <v>33</v>
      </c>
      <c r="M241" s="1" t="s">
        <v>22</v>
      </c>
    </row>
    <row r="242" spans="1:13" ht="15.75" customHeight="1">
      <c r="A242" s="1" t="s">
        <v>281</v>
      </c>
      <c r="B242" s="1" t="s">
        <v>24</v>
      </c>
      <c r="C242" s="4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" t="s">
        <v>42</v>
      </c>
      <c r="M242" s="1" t="s">
        <v>18</v>
      </c>
    </row>
    <row r="243" spans="1:13" ht="15.75" customHeight="1">
      <c r="A243" s="1" t="s">
        <v>282</v>
      </c>
      <c r="B243" s="1" t="s">
        <v>24</v>
      </c>
      <c r="C243" s="4">
        <v>45759</v>
      </c>
      <c r="D243" s="1" t="s">
        <v>25</v>
      </c>
      <c r="E243" s="1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" t="s">
        <v>39</v>
      </c>
      <c r="M243" s="1" t="s">
        <v>18</v>
      </c>
    </row>
    <row r="244" spans="1:13" ht="15.75" customHeight="1">
      <c r="A244" s="1" t="s">
        <v>283</v>
      </c>
      <c r="B244" s="1" t="s">
        <v>24</v>
      </c>
      <c r="C244" s="4">
        <v>45636</v>
      </c>
      <c r="D244" s="1" t="s">
        <v>25</v>
      </c>
      <c r="E244" s="1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" t="s">
        <v>39</v>
      </c>
      <c r="M244" s="1" t="s">
        <v>18</v>
      </c>
    </row>
    <row r="245" spans="1:13" ht="15.75" customHeight="1">
      <c r="A245" s="1" t="s">
        <v>284</v>
      </c>
      <c r="B245" s="1" t="s">
        <v>31</v>
      </c>
      <c r="C245" s="4">
        <v>45816</v>
      </c>
      <c r="D245" s="1" t="s">
        <v>15</v>
      </c>
      <c r="E245" s="1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" t="s">
        <v>33</v>
      </c>
      <c r="M245" s="1" t="s">
        <v>22</v>
      </c>
    </row>
    <row r="246" spans="1:13" ht="15.75" customHeight="1">
      <c r="A246" s="1" t="s">
        <v>285</v>
      </c>
      <c r="B246" s="1" t="s">
        <v>24</v>
      </c>
      <c r="C246" s="4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" t="s">
        <v>27</v>
      </c>
      <c r="M246" s="1" t="s">
        <v>18</v>
      </c>
    </row>
    <row r="247" spans="1:13" ht="15.75" customHeight="1">
      <c r="A247" s="1" t="s">
        <v>286</v>
      </c>
      <c r="B247" s="1" t="s">
        <v>24</v>
      </c>
      <c r="C247" s="4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" t="s">
        <v>17</v>
      </c>
      <c r="M247" s="1" t="s">
        <v>18</v>
      </c>
    </row>
    <row r="248" spans="1:13" ht="15.75" customHeight="1">
      <c r="A248" s="1" t="s">
        <v>287</v>
      </c>
      <c r="B248" s="1" t="s">
        <v>24</v>
      </c>
      <c r="C248" s="4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" t="s">
        <v>39</v>
      </c>
      <c r="M248" s="1" t="s">
        <v>18</v>
      </c>
    </row>
    <row r="249" spans="1:13" ht="15.75" customHeight="1">
      <c r="A249" s="1" t="s">
        <v>288</v>
      </c>
      <c r="B249" s="1" t="s">
        <v>31</v>
      </c>
      <c r="C249" s="4">
        <v>45457</v>
      </c>
      <c r="D249" s="1" t="s">
        <v>57</v>
      </c>
      <c r="E249" s="1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" t="s">
        <v>58</v>
      </c>
      <c r="M249" s="1" t="s">
        <v>59</v>
      </c>
    </row>
    <row r="250" spans="1:13" ht="15.75" customHeight="1">
      <c r="A250" s="1" t="s">
        <v>289</v>
      </c>
      <c r="B250" s="1" t="s">
        <v>14</v>
      </c>
      <c r="C250" s="4">
        <v>45357</v>
      </c>
      <c r="D250" s="1" t="s">
        <v>15</v>
      </c>
      <c r="E250" s="1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" t="s">
        <v>21</v>
      </c>
      <c r="M250" s="1" t="s">
        <v>22</v>
      </c>
    </row>
    <row r="251" spans="1:13" ht="15.75" customHeight="1">
      <c r="A251" s="1" t="s">
        <v>290</v>
      </c>
      <c r="B251" s="1" t="s">
        <v>24</v>
      </c>
      <c r="C251" s="4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" t="s">
        <v>42</v>
      </c>
      <c r="M251" s="1" t="s">
        <v>18</v>
      </c>
    </row>
    <row r="252" spans="1:13" ht="15.75" customHeight="1">
      <c r="A252" s="1" t="s">
        <v>291</v>
      </c>
      <c r="B252" s="1" t="s">
        <v>24</v>
      </c>
      <c r="C252" s="4">
        <v>45480</v>
      </c>
      <c r="D252" s="1" t="s">
        <v>15</v>
      </c>
      <c r="E252" s="1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" t="s">
        <v>45</v>
      </c>
      <c r="M252" s="1" t="s">
        <v>22</v>
      </c>
    </row>
    <row r="253" spans="1:13" ht="15.75" customHeight="1">
      <c r="A253" s="1" t="s">
        <v>292</v>
      </c>
      <c r="B253" s="1" t="s">
        <v>31</v>
      </c>
      <c r="C253" s="4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" t="s">
        <v>33</v>
      </c>
      <c r="M253" s="1" t="s">
        <v>22</v>
      </c>
    </row>
    <row r="254" spans="1:13" ht="15.75" customHeight="1">
      <c r="A254" s="1" t="s">
        <v>293</v>
      </c>
      <c r="B254" s="1" t="s">
        <v>31</v>
      </c>
      <c r="C254" s="4">
        <v>45512</v>
      </c>
      <c r="D254" s="1" t="s">
        <v>15</v>
      </c>
      <c r="E254" s="1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" t="s">
        <v>33</v>
      </c>
      <c r="M254" s="1" t="s">
        <v>22</v>
      </c>
    </row>
    <row r="255" spans="1:13" ht="15.75" customHeight="1">
      <c r="A255" s="1" t="s">
        <v>294</v>
      </c>
      <c r="B255" s="1" t="s">
        <v>24</v>
      </c>
      <c r="C255" s="4">
        <v>45691</v>
      </c>
      <c r="D255" s="1" t="s">
        <v>15</v>
      </c>
      <c r="E255" s="1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" t="s">
        <v>42</v>
      </c>
      <c r="M255" s="1" t="s">
        <v>18</v>
      </c>
    </row>
    <row r="256" spans="1:13" ht="15.75" customHeight="1">
      <c r="A256" s="1" t="s">
        <v>295</v>
      </c>
      <c r="B256" s="1" t="s">
        <v>24</v>
      </c>
      <c r="C256" s="4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" t="s">
        <v>39</v>
      </c>
      <c r="M256" s="1" t="s">
        <v>18</v>
      </c>
    </row>
    <row r="257" spans="1:13" ht="15.75" customHeight="1">
      <c r="A257" s="1" t="s">
        <v>296</v>
      </c>
      <c r="B257" s="1" t="s">
        <v>24</v>
      </c>
      <c r="C257" s="4">
        <v>45481</v>
      </c>
      <c r="D257" s="1" t="s">
        <v>25</v>
      </c>
      <c r="E257" s="1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" t="s">
        <v>27</v>
      </c>
      <c r="M257" s="1" t="s">
        <v>18</v>
      </c>
    </row>
    <row r="258" spans="1:13" ht="15.75" customHeight="1">
      <c r="A258" s="1" t="s">
        <v>297</v>
      </c>
      <c r="B258" s="1" t="s">
        <v>24</v>
      </c>
      <c r="C258" s="4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" t="s">
        <v>39</v>
      </c>
      <c r="M258" s="1" t="s">
        <v>18</v>
      </c>
    </row>
    <row r="259" spans="1:13" ht="15.75" customHeight="1">
      <c r="A259" s="1" t="s">
        <v>298</v>
      </c>
      <c r="B259" s="1" t="s">
        <v>31</v>
      </c>
      <c r="C259" s="4">
        <v>45736</v>
      </c>
      <c r="D259" s="1" t="s">
        <v>57</v>
      </c>
      <c r="E259" s="1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" t="s">
        <v>58</v>
      </c>
      <c r="M259" s="1" t="s">
        <v>59</v>
      </c>
    </row>
    <row r="260" spans="1:13" ht="15.75" customHeight="1">
      <c r="A260" s="1" t="s">
        <v>299</v>
      </c>
      <c r="B260" s="1" t="s">
        <v>24</v>
      </c>
      <c r="C260" s="4">
        <v>45676</v>
      </c>
      <c r="D260" s="1" t="s">
        <v>25</v>
      </c>
      <c r="E260" s="1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" t="s">
        <v>17</v>
      </c>
      <c r="M260" s="1" t="s">
        <v>18</v>
      </c>
    </row>
    <row r="261" spans="1:13" ht="15.75" customHeight="1">
      <c r="A261" s="1" t="s">
        <v>300</v>
      </c>
      <c r="B261" s="1" t="s">
        <v>24</v>
      </c>
      <c r="C261" s="4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" t="s">
        <v>27</v>
      </c>
      <c r="M261" s="1" t="s">
        <v>18</v>
      </c>
    </row>
    <row r="262" spans="1:13" ht="15.75" customHeight="1">
      <c r="A262" s="1" t="s">
        <v>301</v>
      </c>
      <c r="B262" s="1" t="s">
        <v>24</v>
      </c>
      <c r="C262" s="4">
        <v>45612</v>
      </c>
      <c r="D262" s="1" t="s">
        <v>15</v>
      </c>
      <c r="E262" s="1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" t="s">
        <v>45</v>
      </c>
      <c r="M262" s="1" t="s">
        <v>22</v>
      </c>
    </row>
    <row r="263" spans="1:13" ht="15.75" customHeight="1">
      <c r="A263" s="1" t="s">
        <v>302</v>
      </c>
      <c r="B263" s="1" t="s">
        <v>24</v>
      </c>
      <c r="C263" s="4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" t="s">
        <v>27</v>
      </c>
      <c r="M263" s="1" t="s">
        <v>18</v>
      </c>
    </row>
    <row r="264" spans="1:13" ht="15.75" customHeight="1">
      <c r="A264" s="1" t="s">
        <v>303</v>
      </c>
      <c r="B264" s="1" t="s">
        <v>31</v>
      </c>
      <c r="C264" s="4">
        <v>45378</v>
      </c>
      <c r="D264" s="1" t="s">
        <v>15</v>
      </c>
      <c r="E264" s="1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" t="s">
        <v>33</v>
      </c>
      <c r="M264" s="1" t="s">
        <v>22</v>
      </c>
    </row>
    <row r="265" spans="1:13" ht="15.75" customHeight="1">
      <c r="A265" s="1" t="s">
        <v>304</v>
      </c>
      <c r="B265" s="1" t="s">
        <v>31</v>
      </c>
      <c r="C265" s="4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" t="s">
        <v>58</v>
      </c>
      <c r="M265" s="1" t="s">
        <v>59</v>
      </c>
    </row>
    <row r="266" spans="1:13" ht="15.75" customHeight="1">
      <c r="A266" s="1" t="s">
        <v>305</v>
      </c>
      <c r="B266" s="1" t="s">
        <v>24</v>
      </c>
      <c r="C266" s="4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" t="s">
        <v>39</v>
      </c>
      <c r="M266" s="1" t="s">
        <v>18</v>
      </c>
    </row>
    <row r="267" spans="1:13" ht="15.75" customHeight="1">
      <c r="A267" s="1" t="s">
        <v>306</v>
      </c>
      <c r="B267" s="1" t="s">
        <v>14</v>
      </c>
      <c r="C267" s="4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" t="s">
        <v>42</v>
      </c>
      <c r="M267" s="1" t="s">
        <v>55</v>
      </c>
    </row>
    <row r="268" spans="1:13" ht="15.75" customHeight="1">
      <c r="A268" s="1" t="s">
        <v>307</v>
      </c>
      <c r="B268" s="1" t="s">
        <v>31</v>
      </c>
      <c r="C268" s="4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" t="s">
        <v>33</v>
      </c>
      <c r="M268" s="1" t="s">
        <v>22</v>
      </c>
    </row>
    <row r="269" spans="1:13" ht="15.75" customHeight="1">
      <c r="A269" s="1" t="s">
        <v>308</v>
      </c>
      <c r="B269" s="1" t="s">
        <v>31</v>
      </c>
      <c r="C269" s="4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" t="s">
        <v>58</v>
      </c>
      <c r="M269" s="1" t="s">
        <v>59</v>
      </c>
    </row>
    <row r="270" spans="1:13" ht="15.75" customHeight="1">
      <c r="A270" s="1" t="s">
        <v>309</v>
      </c>
      <c r="B270" s="1" t="s">
        <v>31</v>
      </c>
      <c r="C270" s="4">
        <v>45464</v>
      </c>
      <c r="D270" s="1" t="s">
        <v>57</v>
      </c>
      <c r="E270" s="1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" t="s">
        <v>58</v>
      </c>
      <c r="M270" s="1" t="s">
        <v>59</v>
      </c>
    </row>
    <row r="271" spans="1:13" ht="15.75" customHeight="1">
      <c r="A271" s="1" t="s">
        <v>310</v>
      </c>
      <c r="B271" s="1" t="s">
        <v>24</v>
      </c>
      <c r="C271" s="4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" t="s">
        <v>39</v>
      </c>
      <c r="M271" s="1" t="s">
        <v>18</v>
      </c>
    </row>
    <row r="272" spans="1:13" ht="15.75" customHeight="1">
      <c r="A272" s="1" t="s">
        <v>311</v>
      </c>
      <c r="B272" s="1" t="s">
        <v>24</v>
      </c>
      <c r="C272" s="4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" t="s">
        <v>39</v>
      </c>
      <c r="M272" s="1" t="s">
        <v>18</v>
      </c>
    </row>
    <row r="273" spans="1:13" ht="15.75" customHeight="1">
      <c r="A273" s="1" t="s">
        <v>312</v>
      </c>
      <c r="B273" s="1" t="s">
        <v>24</v>
      </c>
      <c r="C273" s="4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" t="s">
        <v>45</v>
      </c>
      <c r="M273" s="1" t="s">
        <v>22</v>
      </c>
    </row>
    <row r="274" spans="1:13" ht="15.75" customHeight="1">
      <c r="A274" s="1" t="s">
        <v>313</v>
      </c>
      <c r="B274" s="1" t="s">
        <v>24</v>
      </c>
      <c r="C274" s="4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" t="s">
        <v>42</v>
      </c>
      <c r="M274" s="1" t="s">
        <v>18</v>
      </c>
    </row>
    <row r="275" spans="1:13" ht="15.75" customHeight="1">
      <c r="A275" s="1" t="s">
        <v>314</v>
      </c>
      <c r="B275" s="1" t="s">
        <v>14</v>
      </c>
      <c r="C275" s="4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" t="s">
        <v>21</v>
      </c>
      <c r="M275" s="1" t="s">
        <v>22</v>
      </c>
    </row>
    <row r="276" spans="1:13" ht="15.75" customHeight="1">
      <c r="A276" s="1" t="s">
        <v>315</v>
      </c>
      <c r="B276" s="1" t="s">
        <v>14</v>
      </c>
      <c r="C276" s="4">
        <v>45341</v>
      </c>
      <c r="D276" s="1" t="s">
        <v>15</v>
      </c>
      <c r="E276" s="1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" t="s">
        <v>21</v>
      </c>
      <c r="M276" s="1" t="s">
        <v>22</v>
      </c>
    </row>
    <row r="277" spans="1:13" ht="15.75" customHeight="1">
      <c r="A277" s="1" t="s">
        <v>316</v>
      </c>
      <c r="B277" s="1" t="s">
        <v>24</v>
      </c>
      <c r="C277" s="4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" t="s">
        <v>42</v>
      </c>
      <c r="M277" s="1" t="s">
        <v>18</v>
      </c>
    </row>
    <row r="278" spans="1:13" ht="15.75" customHeight="1">
      <c r="A278" s="1" t="s">
        <v>317</v>
      </c>
      <c r="B278" s="1" t="s">
        <v>14</v>
      </c>
      <c r="C278" s="4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" t="s">
        <v>42</v>
      </c>
      <c r="M278" s="1" t="s">
        <v>55</v>
      </c>
    </row>
    <row r="279" spans="1:13" ht="15.75" customHeight="1">
      <c r="A279" s="1" t="s">
        <v>318</v>
      </c>
      <c r="B279" s="1" t="s">
        <v>14</v>
      </c>
      <c r="C279" s="4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" t="s">
        <v>17</v>
      </c>
      <c r="M279" s="1" t="s">
        <v>18</v>
      </c>
    </row>
    <row r="280" spans="1:13" ht="15.75" customHeight="1">
      <c r="A280" s="1" t="s">
        <v>319</v>
      </c>
      <c r="B280" s="1" t="s">
        <v>24</v>
      </c>
      <c r="C280" s="4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" t="s">
        <v>17</v>
      </c>
      <c r="M280" s="1" t="s">
        <v>18</v>
      </c>
    </row>
    <row r="281" spans="1:13" ht="15.75" customHeight="1">
      <c r="A281" s="1" t="s">
        <v>320</v>
      </c>
      <c r="B281" s="1" t="s">
        <v>24</v>
      </c>
      <c r="C281" s="4">
        <v>45563</v>
      </c>
      <c r="D281" s="1" t="s">
        <v>25</v>
      </c>
      <c r="E281" s="1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" t="s">
        <v>39</v>
      </c>
      <c r="M281" s="1" t="s">
        <v>18</v>
      </c>
    </row>
    <row r="282" spans="1:13" ht="15.75" customHeight="1">
      <c r="A282" s="1" t="s">
        <v>321</v>
      </c>
      <c r="B282" s="1" t="s">
        <v>14</v>
      </c>
      <c r="C282" s="4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" t="s">
        <v>17</v>
      </c>
      <c r="M282" s="1" t="s">
        <v>18</v>
      </c>
    </row>
    <row r="283" spans="1:13" ht="15.75" customHeight="1">
      <c r="A283" s="1" t="s">
        <v>322</v>
      </c>
      <c r="B283" s="1" t="s">
        <v>24</v>
      </c>
      <c r="C283" s="4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" t="s">
        <v>27</v>
      </c>
      <c r="M283" s="1" t="s">
        <v>18</v>
      </c>
    </row>
    <row r="284" spans="1:13" ht="15.75" customHeight="1">
      <c r="A284" s="1" t="s">
        <v>323</v>
      </c>
      <c r="B284" s="1" t="s">
        <v>14</v>
      </c>
      <c r="C284" s="4">
        <v>45531</v>
      </c>
      <c r="D284" s="1" t="s">
        <v>15</v>
      </c>
      <c r="E284" s="1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" t="s">
        <v>21</v>
      </c>
      <c r="M284" s="1" t="s">
        <v>22</v>
      </c>
    </row>
    <row r="285" spans="1:13" ht="15.75" customHeight="1">
      <c r="A285" s="1" t="s">
        <v>324</v>
      </c>
      <c r="B285" s="1" t="s">
        <v>14</v>
      </c>
      <c r="C285" s="4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" t="s">
        <v>42</v>
      </c>
      <c r="M285" s="1" t="s">
        <v>55</v>
      </c>
    </row>
    <row r="286" spans="1:13" ht="15.75" customHeight="1">
      <c r="A286" s="1" t="s">
        <v>325</v>
      </c>
      <c r="B286" s="1" t="s">
        <v>31</v>
      </c>
      <c r="C286" s="4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" t="s">
        <v>33</v>
      </c>
      <c r="M286" s="1" t="s">
        <v>22</v>
      </c>
    </row>
    <row r="287" spans="1:13" ht="15.75" customHeight="1">
      <c r="A287" s="1" t="s">
        <v>326</v>
      </c>
      <c r="B287" s="1" t="s">
        <v>14</v>
      </c>
      <c r="C287" s="4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" t="s">
        <v>21</v>
      </c>
      <c r="M287" s="1" t="s">
        <v>22</v>
      </c>
    </row>
    <row r="288" spans="1:13" ht="15.75" customHeight="1">
      <c r="A288" s="1" t="s">
        <v>327</v>
      </c>
      <c r="B288" s="1" t="s">
        <v>31</v>
      </c>
      <c r="C288" s="4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" t="s">
        <v>33</v>
      </c>
      <c r="M288" s="1" t="s">
        <v>22</v>
      </c>
    </row>
    <row r="289" spans="1:13" ht="15.75" customHeight="1">
      <c r="A289" s="1" t="s">
        <v>328</v>
      </c>
      <c r="B289" s="1" t="s">
        <v>24</v>
      </c>
      <c r="C289" s="4">
        <v>45513</v>
      </c>
      <c r="D289" s="1" t="s">
        <v>25</v>
      </c>
      <c r="E289" s="1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" t="s">
        <v>39</v>
      </c>
      <c r="M289" s="1" t="s">
        <v>18</v>
      </c>
    </row>
    <row r="290" spans="1:13" ht="15.75" customHeight="1">
      <c r="A290" s="1" t="s">
        <v>329</v>
      </c>
      <c r="B290" s="1" t="s">
        <v>14</v>
      </c>
      <c r="C290" s="4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" t="s">
        <v>42</v>
      </c>
      <c r="M290" s="1" t="s">
        <v>55</v>
      </c>
    </row>
    <row r="291" spans="1:13" ht="15.75" customHeight="1">
      <c r="A291" s="1" t="s">
        <v>330</v>
      </c>
      <c r="B291" s="1" t="s">
        <v>24</v>
      </c>
      <c r="C291" s="4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" t="s">
        <v>45</v>
      </c>
      <c r="M291" s="1" t="s">
        <v>22</v>
      </c>
    </row>
    <row r="292" spans="1:13" ht="15.75" customHeight="1">
      <c r="A292" s="1" t="s">
        <v>331</v>
      </c>
      <c r="B292" s="1" t="s">
        <v>14</v>
      </c>
      <c r="C292" s="4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" t="s">
        <v>17</v>
      </c>
      <c r="M292" s="1" t="s">
        <v>18</v>
      </c>
    </row>
    <row r="293" spans="1:13" ht="15.75" customHeight="1">
      <c r="A293" s="1" t="s">
        <v>332</v>
      </c>
      <c r="B293" s="1" t="s">
        <v>24</v>
      </c>
      <c r="C293" s="4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" t="s">
        <v>27</v>
      </c>
      <c r="M293" s="1" t="s">
        <v>18</v>
      </c>
    </row>
    <row r="294" spans="1:13" ht="15.75" customHeight="1">
      <c r="A294" s="1" t="s">
        <v>333</v>
      </c>
      <c r="B294" s="1" t="s">
        <v>31</v>
      </c>
      <c r="C294" s="4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" t="s">
        <v>58</v>
      </c>
      <c r="M294" s="1" t="s">
        <v>59</v>
      </c>
    </row>
    <row r="295" spans="1:13" ht="15.75" customHeight="1">
      <c r="A295" s="1" t="s">
        <v>334</v>
      </c>
      <c r="B295" s="1" t="s">
        <v>14</v>
      </c>
      <c r="C295" s="4">
        <v>45653</v>
      </c>
      <c r="D295" s="1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" t="s">
        <v>21</v>
      </c>
      <c r="M295" s="1" t="s">
        <v>22</v>
      </c>
    </row>
    <row r="296" spans="1:13" ht="15.75" customHeight="1">
      <c r="A296" s="1" t="s">
        <v>335</v>
      </c>
      <c r="B296" s="1" t="s">
        <v>14</v>
      </c>
      <c r="C296" s="4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" t="s">
        <v>42</v>
      </c>
      <c r="M296" s="1" t="s">
        <v>55</v>
      </c>
    </row>
    <row r="297" spans="1:13" ht="15.75" customHeight="1">
      <c r="A297" s="1" t="s">
        <v>336</v>
      </c>
      <c r="B297" s="1" t="s">
        <v>24</v>
      </c>
      <c r="C297" s="4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" t="s">
        <v>27</v>
      </c>
      <c r="M297" s="1" t="s">
        <v>18</v>
      </c>
    </row>
    <row r="298" spans="1:13" ht="15.75" customHeight="1">
      <c r="A298" s="1" t="s">
        <v>337</v>
      </c>
      <c r="B298" s="1" t="s">
        <v>24</v>
      </c>
      <c r="C298" s="4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" t="s">
        <v>45</v>
      </c>
      <c r="M298" s="1" t="s">
        <v>22</v>
      </c>
    </row>
    <row r="299" spans="1:13" ht="15.75" customHeight="1">
      <c r="A299" s="1" t="s">
        <v>338</v>
      </c>
      <c r="B299" s="1" t="s">
        <v>24</v>
      </c>
      <c r="C299" s="4">
        <v>45838</v>
      </c>
      <c r="D299" s="1" t="s">
        <v>15</v>
      </c>
      <c r="E299" s="1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" t="s">
        <v>42</v>
      </c>
      <c r="M299" s="1" t="s">
        <v>18</v>
      </c>
    </row>
    <row r="300" spans="1:13" ht="15.75" customHeight="1">
      <c r="A300" s="1" t="s">
        <v>339</v>
      </c>
      <c r="B300" s="1" t="s">
        <v>24</v>
      </c>
      <c r="C300" s="4">
        <v>45303</v>
      </c>
      <c r="D300" s="1" t="s">
        <v>25</v>
      </c>
      <c r="E300" s="1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" t="s">
        <v>39</v>
      </c>
      <c r="M300" s="1" t="s">
        <v>18</v>
      </c>
    </row>
    <row r="301" spans="1:13" ht="15.75" customHeight="1">
      <c r="A301" s="1" t="s">
        <v>340</v>
      </c>
      <c r="B301" s="1" t="s">
        <v>14</v>
      </c>
      <c r="C301" s="4">
        <v>45329</v>
      </c>
      <c r="D301" s="1" t="s">
        <v>15</v>
      </c>
      <c r="E301" s="1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" t="s">
        <v>17</v>
      </c>
      <c r="M301" s="1" t="s">
        <v>18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G1000"/>
  <sheetViews>
    <sheetView workbookViewId="0">
      <selection activeCell="F2" sqref="F2"/>
    </sheetView>
  </sheetViews>
  <sheetFormatPr defaultColWidth="14.44140625" defaultRowHeight="15" customHeight="1"/>
  <cols>
    <col min="1" max="2" width="23.88671875" customWidth="1"/>
    <col min="3" max="4" width="8.6640625" customWidth="1"/>
    <col min="5" max="5" width="10.44140625" customWidth="1"/>
    <col min="6" max="6" width="10.6640625" customWidth="1"/>
    <col min="7" max="26" width="8.6640625" customWidth="1"/>
  </cols>
  <sheetData>
    <row r="1" spans="1:7" ht="14.4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7" ht="14.4">
      <c r="A2" s="2">
        <v>45446</v>
      </c>
      <c r="B2" s="1" t="s">
        <v>14</v>
      </c>
      <c r="C2" s="3">
        <v>1402</v>
      </c>
      <c r="D2" s="3">
        <v>68</v>
      </c>
      <c r="E2" s="3">
        <v>124562</v>
      </c>
      <c r="F2" s="3">
        <v>9.92</v>
      </c>
      <c r="G2" s="3">
        <v>23125</v>
      </c>
    </row>
    <row r="3" spans="1:7" ht="14.4">
      <c r="A3" s="2">
        <v>45446</v>
      </c>
      <c r="B3" s="1" t="s">
        <v>24</v>
      </c>
      <c r="C3" s="3">
        <v>995</v>
      </c>
      <c r="D3" s="3">
        <v>86</v>
      </c>
      <c r="E3" s="3">
        <v>227958</v>
      </c>
      <c r="F3" s="3">
        <v>8.0500000000000007</v>
      </c>
      <c r="G3" s="3">
        <v>22788</v>
      </c>
    </row>
    <row r="4" spans="1:7" ht="14.4">
      <c r="A4" s="2">
        <v>45446</v>
      </c>
      <c r="B4" s="1" t="s">
        <v>31</v>
      </c>
      <c r="C4" s="3">
        <v>1472</v>
      </c>
      <c r="D4" s="3">
        <v>296</v>
      </c>
      <c r="E4" s="3">
        <v>370242</v>
      </c>
      <c r="F4" s="3">
        <v>7.72</v>
      </c>
      <c r="G4" s="3">
        <v>7810</v>
      </c>
    </row>
    <row r="5" spans="1:7" ht="14.4">
      <c r="A5" s="4">
        <v>45453</v>
      </c>
      <c r="B5" s="1" t="s">
        <v>14</v>
      </c>
      <c r="C5" s="3">
        <v>1018</v>
      </c>
      <c r="D5" s="3">
        <v>90</v>
      </c>
      <c r="E5" s="3">
        <v>92474</v>
      </c>
      <c r="F5" s="3">
        <v>9.4</v>
      </c>
      <c r="G5" s="3">
        <v>11966</v>
      </c>
    </row>
    <row r="6" spans="1:7" ht="14.4">
      <c r="A6" s="4">
        <v>45453</v>
      </c>
      <c r="B6" s="1" t="s">
        <v>24</v>
      </c>
      <c r="C6" s="3">
        <v>1461</v>
      </c>
      <c r="D6" s="3">
        <v>64</v>
      </c>
      <c r="E6" s="3">
        <v>328902</v>
      </c>
      <c r="F6" s="3">
        <v>9.02</v>
      </c>
      <c r="G6" s="3">
        <v>26298</v>
      </c>
    </row>
    <row r="7" spans="1:7" ht="14.4">
      <c r="A7" s="4">
        <v>45453</v>
      </c>
      <c r="B7" s="1" t="s">
        <v>31</v>
      </c>
      <c r="C7" s="3">
        <v>545</v>
      </c>
      <c r="D7" s="3">
        <v>93</v>
      </c>
      <c r="E7" s="3">
        <v>391621</v>
      </c>
      <c r="F7" s="3">
        <v>9.9600000000000009</v>
      </c>
      <c r="G7" s="3">
        <v>22029</v>
      </c>
    </row>
    <row r="8" spans="1:7" ht="14.4">
      <c r="A8" s="4">
        <v>45460</v>
      </c>
      <c r="B8" s="1" t="s">
        <v>14</v>
      </c>
      <c r="C8" s="3">
        <v>881</v>
      </c>
      <c r="D8" s="3">
        <v>291</v>
      </c>
      <c r="E8" s="3">
        <v>95885</v>
      </c>
      <c r="F8" s="3">
        <v>5.29</v>
      </c>
      <c r="G8" s="3">
        <v>12391</v>
      </c>
    </row>
    <row r="9" spans="1:7" ht="14.4">
      <c r="A9" s="4">
        <v>45460</v>
      </c>
      <c r="B9" s="1" t="s">
        <v>24</v>
      </c>
      <c r="C9" s="3">
        <v>1414</v>
      </c>
      <c r="D9" s="3">
        <v>131</v>
      </c>
      <c r="E9" s="3">
        <v>245947</v>
      </c>
      <c r="F9" s="3">
        <v>8.3000000000000007</v>
      </c>
      <c r="G9" s="3">
        <v>14477</v>
      </c>
    </row>
    <row r="10" spans="1:7" ht="14.4">
      <c r="A10" s="4">
        <v>45460</v>
      </c>
      <c r="B10" s="1" t="s">
        <v>31</v>
      </c>
      <c r="C10" s="3">
        <v>1472</v>
      </c>
      <c r="D10" s="3">
        <v>170</v>
      </c>
      <c r="E10" s="3">
        <v>250428</v>
      </c>
      <c r="F10" s="3">
        <v>4.66</v>
      </c>
      <c r="G10" s="3">
        <v>25040</v>
      </c>
    </row>
    <row r="11" spans="1:7" ht="14.4">
      <c r="A11" s="4">
        <v>45467</v>
      </c>
      <c r="B11" s="1" t="s">
        <v>14</v>
      </c>
      <c r="C11" s="3">
        <v>809</v>
      </c>
      <c r="D11" s="3">
        <v>197</v>
      </c>
      <c r="E11" s="3">
        <v>87186</v>
      </c>
      <c r="F11" s="3">
        <v>9.48</v>
      </c>
      <c r="G11" s="3">
        <v>22619</v>
      </c>
    </row>
    <row r="12" spans="1:7" ht="14.4">
      <c r="A12" s="4">
        <v>45467</v>
      </c>
      <c r="B12" s="1" t="s">
        <v>24</v>
      </c>
      <c r="C12" s="3">
        <v>1371</v>
      </c>
      <c r="D12" s="3">
        <v>250</v>
      </c>
      <c r="E12" s="3">
        <v>128620</v>
      </c>
      <c r="F12" s="3">
        <v>7.11</v>
      </c>
      <c r="G12" s="3">
        <v>12399</v>
      </c>
    </row>
    <row r="13" spans="1:7" ht="14.4">
      <c r="A13" s="4">
        <v>45467</v>
      </c>
      <c r="B13" s="1" t="s">
        <v>31</v>
      </c>
      <c r="C13" s="3">
        <v>844</v>
      </c>
      <c r="D13" s="3">
        <v>144</v>
      </c>
      <c r="E13" s="3">
        <v>126015</v>
      </c>
      <c r="F13" s="3">
        <v>9.65</v>
      </c>
      <c r="G13" s="3">
        <v>22456</v>
      </c>
    </row>
    <row r="14" spans="1:7" ht="14.4">
      <c r="A14" s="2">
        <v>45474</v>
      </c>
      <c r="B14" s="1" t="s">
        <v>14</v>
      </c>
      <c r="C14" s="3">
        <v>786</v>
      </c>
      <c r="D14" s="3">
        <v>72</v>
      </c>
      <c r="E14" s="3">
        <v>178615</v>
      </c>
      <c r="F14" s="3">
        <v>5.43</v>
      </c>
      <c r="G14" s="3">
        <v>19328</v>
      </c>
    </row>
    <row r="15" spans="1:7" ht="14.4">
      <c r="A15" s="2">
        <v>45474</v>
      </c>
      <c r="B15" s="1" t="s">
        <v>24</v>
      </c>
      <c r="C15" s="3">
        <v>845</v>
      </c>
      <c r="D15" s="3">
        <v>250</v>
      </c>
      <c r="E15" s="3">
        <v>218228</v>
      </c>
      <c r="F15" s="3">
        <v>4.5199999999999996</v>
      </c>
      <c r="G15" s="3">
        <v>21107</v>
      </c>
    </row>
    <row r="16" spans="1:7" ht="14.4">
      <c r="A16" s="2">
        <v>45474</v>
      </c>
      <c r="B16" s="1" t="s">
        <v>31</v>
      </c>
      <c r="C16" s="3">
        <v>1218</v>
      </c>
      <c r="D16" s="3">
        <v>101</v>
      </c>
      <c r="E16" s="3">
        <v>300397</v>
      </c>
      <c r="F16" s="3">
        <v>4.33</v>
      </c>
      <c r="G16" s="3">
        <v>12277</v>
      </c>
    </row>
    <row r="17" spans="1:7" ht="14.4">
      <c r="A17" s="2">
        <v>45481</v>
      </c>
      <c r="B17" s="1" t="s">
        <v>14</v>
      </c>
      <c r="C17" s="3">
        <v>797</v>
      </c>
      <c r="D17" s="3">
        <v>130</v>
      </c>
      <c r="E17" s="3">
        <v>340121</v>
      </c>
      <c r="F17" s="3">
        <v>8.52</v>
      </c>
      <c r="G17" s="3">
        <v>11684</v>
      </c>
    </row>
    <row r="18" spans="1:7" ht="14.4">
      <c r="A18" s="2">
        <v>45481</v>
      </c>
      <c r="B18" s="1" t="s">
        <v>24</v>
      </c>
      <c r="C18" s="3">
        <v>1471</v>
      </c>
      <c r="D18" s="3">
        <v>100</v>
      </c>
      <c r="E18" s="3">
        <v>76866</v>
      </c>
      <c r="F18" s="3">
        <v>8.5500000000000007</v>
      </c>
      <c r="G18" s="3">
        <v>14412</v>
      </c>
    </row>
    <row r="19" spans="1:7" ht="14.4">
      <c r="A19" s="2">
        <v>45481</v>
      </c>
      <c r="B19" s="1" t="s">
        <v>31</v>
      </c>
      <c r="C19" s="3">
        <v>1253</v>
      </c>
      <c r="D19" s="3">
        <v>136</v>
      </c>
      <c r="E19" s="3">
        <v>193131</v>
      </c>
      <c r="F19" s="3">
        <v>7.99</v>
      </c>
      <c r="G19" s="3">
        <v>15924</v>
      </c>
    </row>
    <row r="20" spans="1:7" ht="14.4">
      <c r="A20" s="4">
        <v>45488</v>
      </c>
      <c r="B20" s="1" t="s">
        <v>14</v>
      </c>
      <c r="C20" s="3">
        <v>616</v>
      </c>
      <c r="D20" s="3">
        <v>257</v>
      </c>
      <c r="E20" s="3">
        <v>169665</v>
      </c>
      <c r="F20" s="3">
        <v>6.31</v>
      </c>
      <c r="G20" s="3">
        <v>12390</v>
      </c>
    </row>
    <row r="21" spans="1:7" ht="15.75" customHeight="1">
      <c r="A21" s="4">
        <v>45488</v>
      </c>
      <c r="B21" s="1" t="s">
        <v>24</v>
      </c>
      <c r="C21" s="3">
        <v>1308</v>
      </c>
      <c r="D21" s="3">
        <v>210</v>
      </c>
      <c r="E21" s="3">
        <v>263729</v>
      </c>
      <c r="F21" s="3">
        <v>8.5299999999999994</v>
      </c>
      <c r="G21" s="3">
        <v>25742</v>
      </c>
    </row>
    <row r="22" spans="1:7" ht="15.75" customHeight="1">
      <c r="A22" s="4">
        <v>45488</v>
      </c>
      <c r="B22" s="1" t="s">
        <v>31</v>
      </c>
      <c r="C22" s="3">
        <v>981</v>
      </c>
      <c r="D22" s="3">
        <v>69</v>
      </c>
      <c r="E22" s="3">
        <v>206921</v>
      </c>
      <c r="F22" s="3">
        <v>8.42</v>
      </c>
      <c r="G22" s="3">
        <v>10495</v>
      </c>
    </row>
    <row r="23" spans="1:7" ht="15.75" customHeight="1">
      <c r="A23" s="4">
        <v>45495</v>
      </c>
      <c r="B23" s="1" t="s">
        <v>14</v>
      </c>
      <c r="C23" s="3">
        <v>866</v>
      </c>
      <c r="D23" s="3">
        <v>74</v>
      </c>
      <c r="E23" s="3">
        <v>204121</v>
      </c>
      <c r="F23" s="3">
        <v>9.34</v>
      </c>
      <c r="G23" s="3">
        <v>7797</v>
      </c>
    </row>
    <row r="24" spans="1:7" ht="15.75" customHeight="1">
      <c r="A24" s="4">
        <v>45495</v>
      </c>
      <c r="B24" s="1" t="s">
        <v>24</v>
      </c>
      <c r="C24" s="3">
        <v>547</v>
      </c>
      <c r="D24" s="3">
        <v>183</v>
      </c>
      <c r="E24" s="3">
        <v>266350</v>
      </c>
      <c r="F24" s="3">
        <v>5.65</v>
      </c>
      <c r="G24" s="3">
        <v>15595</v>
      </c>
    </row>
    <row r="25" spans="1:7" ht="15.75" customHeight="1">
      <c r="A25" s="4">
        <v>45495</v>
      </c>
      <c r="B25" s="1" t="s">
        <v>31</v>
      </c>
      <c r="C25" s="3">
        <v>1241</v>
      </c>
      <c r="D25" s="3">
        <v>116</v>
      </c>
      <c r="E25" s="3">
        <v>380606</v>
      </c>
      <c r="F25" s="3">
        <v>4.2</v>
      </c>
      <c r="G25" s="3">
        <v>24617</v>
      </c>
    </row>
    <row r="26" spans="1:7" ht="15.75" customHeight="1">
      <c r="A26" s="4">
        <v>45502</v>
      </c>
      <c r="B26" s="1" t="s">
        <v>14</v>
      </c>
      <c r="C26" s="3">
        <v>973</v>
      </c>
      <c r="D26" s="3">
        <v>104</v>
      </c>
      <c r="E26" s="3">
        <v>376358</v>
      </c>
      <c r="F26" s="3">
        <v>3.87</v>
      </c>
      <c r="G26" s="3">
        <v>9847</v>
      </c>
    </row>
    <row r="27" spans="1:7" ht="15.75" customHeight="1">
      <c r="A27" s="4">
        <v>45502</v>
      </c>
      <c r="B27" s="1" t="s">
        <v>24</v>
      </c>
      <c r="C27" s="3">
        <v>611</v>
      </c>
      <c r="D27" s="3">
        <v>197</v>
      </c>
      <c r="E27" s="3">
        <v>79423</v>
      </c>
      <c r="F27" s="3">
        <v>5.82</v>
      </c>
      <c r="G27" s="3">
        <v>13644</v>
      </c>
    </row>
    <row r="28" spans="1:7" ht="15.75" customHeight="1">
      <c r="A28" s="4">
        <v>45502</v>
      </c>
      <c r="B28" s="1" t="s">
        <v>31</v>
      </c>
      <c r="C28" s="3">
        <v>983</v>
      </c>
      <c r="D28" s="3">
        <v>134</v>
      </c>
      <c r="E28" s="3">
        <v>352178</v>
      </c>
      <c r="F28" s="3">
        <v>3.55</v>
      </c>
      <c r="G28" s="3">
        <v>11421</v>
      </c>
    </row>
    <row r="29" spans="1:7" ht="15.75" customHeight="1">
      <c r="A29" s="4">
        <v>45509</v>
      </c>
      <c r="B29" s="1" t="s">
        <v>14</v>
      </c>
      <c r="C29" s="3">
        <v>1449</v>
      </c>
      <c r="D29" s="3">
        <v>96</v>
      </c>
      <c r="E29" s="3">
        <v>200636</v>
      </c>
      <c r="F29" s="3">
        <v>9.92</v>
      </c>
      <c r="G29" s="3">
        <v>15613</v>
      </c>
    </row>
    <row r="30" spans="1:7" ht="15.75" customHeight="1">
      <c r="A30" s="4">
        <v>45509</v>
      </c>
      <c r="B30" s="1" t="s">
        <v>24</v>
      </c>
      <c r="C30" s="3">
        <v>752</v>
      </c>
      <c r="D30" s="3">
        <v>170</v>
      </c>
      <c r="E30" s="3">
        <v>132756</v>
      </c>
      <c r="F30" s="3">
        <v>8.17</v>
      </c>
      <c r="G30" s="3">
        <v>23900</v>
      </c>
    </row>
    <row r="31" spans="1:7" ht="15.75" customHeight="1">
      <c r="A31" s="4">
        <v>45509</v>
      </c>
      <c r="B31" s="1" t="s">
        <v>31</v>
      </c>
      <c r="C31" s="3">
        <v>937</v>
      </c>
      <c r="D31" s="3">
        <v>179</v>
      </c>
      <c r="E31" s="3">
        <v>318098</v>
      </c>
      <c r="F31" s="3">
        <v>5.3</v>
      </c>
      <c r="G31" s="3">
        <v>5836</v>
      </c>
    </row>
    <row r="32" spans="1:7" ht="15.75" customHeight="1">
      <c r="A32" s="4">
        <v>45516</v>
      </c>
      <c r="B32" s="1" t="s">
        <v>14</v>
      </c>
      <c r="C32" s="3">
        <v>1060</v>
      </c>
      <c r="D32" s="3">
        <v>83</v>
      </c>
      <c r="E32" s="3">
        <v>68724</v>
      </c>
      <c r="F32" s="3">
        <v>5.98</v>
      </c>
      <c r="G32" s="3">
        <v>5624</v>
      </c>
    </row>
    <row r="33" spans="1:7" ht="15.75" customHeight="1">
      <c r="A33" s="4">
        <v>45516</v>
      </c>
      <c r="B33" s="1" t="s">
        <v>24</v>
      </c>
      <c r="C33" s="3">
        <v>1456</v>
      </c>
      <c r="D33" s="3">
        <v>265</v>
      </c>
      <c r="E33" s="3">
        <v>115505</v>
      </c>
      <c r="F33" s="3">
        <v>7.49</v>
      </c>
      <c r="G33" s="3">
        <v>10311</v>
      </c>
    </row>
    <row r="34" spans="1:7" ht="15.75" customHeight="1">
      <c r="A34" s="4">
        <v>45516</v>
      </c>
      <c r="B34" s="1" t="s">
        <v>31</v>
      </c>
      <c r="C34" s="3">
        <v>1109</v>
      </c>
      <c r="D34" s="3">
        <v>205</v>
      </c>
      <c r="E34" s="3">
        <v>276722</v>
      </c>
      <c r="F34" s="3">
        <v>9.3800000000000008</v>
      </c>
      <c r="G34" s="3">
        <v>8274</v>
      </c>
    </row>
    <row r="35" spans="1:7" ht="15.75" customHeight="1">
      <c r="A35" s="4">
        <v>45523</v>
      </c>
      <c r="B35" s="1" t="s">
        <v>14</v>
      </c>
      <c r="C35" s="3">
        <v>1002</v>
      </c>
      <c r="D35" s="3">
        <v>93</v>
      </c>
      <c r="E35" s="3">
        <v>353538</v>
      </c>
      <c r="F35" s="3">
        <v>5.84</v>
      </c>
      <c r="G35" s="3">
        <v>6031</v>
      </c>
    </row>
    <row r="36" spans="1:7" ht="15.75" customHeight="1">
      <c r="A36" s="4">
        <v>45523</v>
      </c>
      <c r="B36" s="1" t="s">
        <v>24</v>
      </c>
      <c r="C36" s="3">
        <v>571</v>
      </c>
      <c r="D36" s="3">
        <v>189</v>
      </c>
      <c r="E36" s="3">
        <v>61445</v>
      </c>
      <c r="F36" s="3">
        <v>5.41</v>
      </c>
      <c r="G36" s="3">
        <v>27829</v>
      </c>
    </row>
    <row r="37" spans="1:7" ht="15.75" customHeight="1">
      <c r="A37" s="4">
        <v>45523</v>
      </c>
      <c r="B37" s="1" t="s">
        <v>31</v>
      </c>
      <c r="C37" s="3">
        <v>1240</v>
      </c>
      <c r="D37" s="3">
        <v>231</v>
      </c>
      <c r="E37" s="3">
        <v>165035</v>
      </c>
      <c r="F37" s="3">
        <v>6.05</v>
      </c>
      <c r="G37" s="3">
        <v>18267</v>
      </c>
    </row>
    <row r="38" spans="1:7" ht="15.75" customHeight="1">
      <c r="A38" s="4">
        <v>45530</v>
      </c>
      <c r="B38" s="1" t="s">
        <v>14</v>
      </c>
      <c r="C38" s="3">
        <v>1154</v>
      </c>
      <c r="D38" s="3">
        <v>132</v>
      </c>
      <c r="E38" s="3">
        <v>194595</v>
      </c>
      <c r="F38" s="3">
        <v>7.54</v>
      </c>
      <c r="G38" s="3">
        <v>26624</v>
      </c>
    </row>
    <row r="39" spans="1:7" ht="15.75" customHeight="1">
      <c r="A39" s="4">
        <v>45530</v>
      </c>
      <c r="B39" s="1" t="s">
        <v>24</v>
      </c>
      <c r="C39" s="3">
        <v>537</v>
      </c>
      <c r="D39" s="3">
        <v>275</v>
      </c>
      <c r="E39" s="3">
        <v>236238</v>
      </c>
      <c r="F39" s="3">
        <v>5.87</v>
      </c>
      <c r="G39" s="3">
        <v>26644</v>
      </c>
    </row>
    <row r="40" spans="1:7" ht="15.75" customHeight="1">
      <c r="A40" s="4">
        <v>45530</v>
      </c>
      <c r="B40" s="1" t="s">
        <v>31</v>
      </c>
      <c r="C40" s="3">
        <v>1456</v>
      </c>
      <c r="D40" s="3">
        <v>290</v>
      </c>
      <c r="E40" s="3">
        <v>271044</v>
      </c>
      <c r="F40" s="3">
        <v>7.17</v>
      </c>
      <c r="G40" s="3">
        <v>13051</v>
      </c>
    </row>
    <row r="41" spans="1:7" ht="15.75" customHeight="1">
      <c r="A41" s="4">
        <v>45537</v>
      </c>
      <c r="B41" s="1" t="s">
        <v>14</v>
      </c>
      <c r="C41" s="3">
        <v>721</v>
      </c>
      <c r="D41" s="3">
        <v>206</v>
      </c>
      <c r="E41" s="3">
        <v>334887</v>
      </c>
      <c r="F41" s="3">
        <v>6.05</v>
      </c>
      <c r="G41" s="3">
        <v>14217</v>
      </c>
    </row>
    <row r="42" spans="1:7" ht="15.75" customHeight="1">
      <c r="A42" s="4">
        <v>45537</v>
      </c>
      <c r="B42" s="1" t="s">
        <v>24</v>
      </c>
      <c r="C42" s="3">
        <v>1098</v>
      </c>
      <c r="D42" s="3">
        <v>142</v>
      </c>
      <c r="E42" s="3">
        <v>359150</v>
      </c>
      <c r="F42" s="3">
        <v>7.51</v>
      </c>
      <c r="G42" s="3">
        <v>16385</v>
      </c>
    </row>
    <row r="43" spans="1:7" ht="15.75" customHeight="1">
      <c r="A43" s="4">
        <v>45537</v>
      </c>
      <c r="B43" s="1" t="s">
        <v>31</v>
      </c>
      <c r="C43" s="3">
        <v>1096</v>
      </c>
      <c r="D43" s="3">
        <v>65</v>
      </c>
      <c r="E43" s="3">
        <v>358295</v>
      </c>
      <c r="F43" s="3">
        <v>7.66</v>
      </c>
      <c r="G43" s="3">
        <v>24548</v>
      </c>
    </row>
    <row r="44" spans="1:7" ht="15.75" customHeight="1">
      <c r="A44" s="4">
        <v>45544</v>
      </c>
      <c r="B44" s="1" t="s">
        <v>14</v>
      </c>
      <c r="C44" s="3">
        <v>912</v>
      </c>
      <c r="D44" s="3">
        <v>275</v>
      </c>
      <c r="E44" s="3">
        <v>368454</v>
      </c>
      <c r="F44" s="3">
        <v>6.03</v>
      </c>
      <c r="G44" s="3">
        <v>9195</v>
      </c>
    </row>
    <row r="45" spans="1:7" ht="15.75" customHeight="1">
      <c r="A45" s="4">
        <v>45544</v>
      </c>
      <c r="B45" s="1" t="s">
        <v>24</v>
      </c>
      <c r="C45" s="3">
        <v>1430</v>
      </c>
      <c r="D45" s="3">
        <v>162</v>
      </c>
      <c r="E45" s="3">
        <v>269082</v>
      </c>
      <c r="F45" s="3">
        <v>3.4</v>
      </c>
      <c r="G45" s="3">
        <v>18071</v>
      </c>
    </row>
    <row r="46" spans="1:7" ht="15.75" customHeight="1">
      <c r="A46" s="4">
        <v>45544</v>
      </c>
      <c r="B46" s="1" t="s">
        <v>31</v>
      </c>
      <c r="C46" s="3">
        <v>854</v>
      </c>
      <c r="D46" s="3">
        <v>129</v>
      </c>
      <c r="E46" s="3">
        <v>310903</v>
      </c>
      <c r="F46" s="3">
        <v>7.83</v>
      </c>
      <c r="G46" s="3">
        <v>16875</v>
      </c>
    </row>
    <row r="47" spans="1:7" ht="15.75" customHeight="1">
      <c r="A47" s="4">
        <v>45551</v>
      </c>
      <c r="B47" s="1" t="s">
        <v>14</v>
      </c>
      <c r="C47" s="3">
        <v>681</v>
      </c>
      <c r="D47" s="3">
        <v>210</v>
      </c>
      <c r="E47" s="3">
        <v>248581</v>
      </c>
      <c r="F47" s="3">
        <v>8.76</v>
      </c>
      <c r="G47" s="3">
        <v>9567</v>
      </c>
    </row>
    <row r="48" spans="1:7" ht="15.75" customHeight="1">
      <c r="A48" s="4">
        <v>45551</v>
      </c>
      <c r="B48" s="1" t="s">
        <v>24</v>
      </c>
      <c r="C48" s="3">
        <v>1373</v>
      </c>
      <c r="D48" s="3">
        <v>82</v>
      </c>
      <c r="E48" s="3">
        <v>371015</v>
      </c>
      <c r="F48" s="3">
        <v>9.52</v>
      </c>
      <c r="G48" s="3">
        <v>20306</v>
      </c>
    </row>
    <row r="49" spans="1:7" ht="15.75" customHeight="1">
      <c r="A49" s="4">
        <v>45551</v>
      </c>
      <c r="B49" s="1" t="s">
        <v>31</v>
      </c>
      <c r="C49" s="3">
        <v>685</v>
      </c>
      <c r="D49" s="3">
        <v>285</v>
      </c>
      <c r="E49" s="3">
        <v>177452</v>
      </c>
      <c r="F49" s="3">
        <v>3.36</v>
      </c>
      <c r="G49" s="3">
        <v>21134</v>
      </c>
    </row>
    <row r="50" spans="1:7" ht="15.75" customHeight="1">
      <c r="A50" s="4">
        <v>45558</v>
      </c>
      <c r="B50" s="1" t="s">
        <v>14</v>
      </c>
      <c r="C50" s="3">
        <v>1290</v>
      </c>
      <c r="D50" s="3">
        <v>177</v>
      </c>
      <c r="E50" s="3">
        <v>80745</v>
      </c>
      <c r="F50" s="3">
        <v>9.2200000000000006</v>
      </c>
      <c r="G50" s="3">
        <v>26872</v>
      </c>
    </row>
    <row r="51" spans="1:7" ht="15.75" customHeight="1">
      <c r="A51" s="4">
        <v>45558</v>
      </c>
      <c r="B51" s="1" t="s">
        <v>24</v>
      </c>
      <c r="C51" s="3">
        <v>1437</v>
      </c>
      <c r="D51" s="3">
        <v>239</v>
      </c>
      <c r="E51" s="3">
        <v>362441</v>
      </c>
      <c r="F51" s="3">
        <v>5.57</v>
      </c>
      <c r="G51" s="3">
        <v>10253</v>
      </c>
    </row>
    <row r="52" spans="1:7" ht="15.75" customHeight="1">
      <c r="A52" s="4">
        <v>45558</v>
      </c>
      <c r="B52" s="1" t="s">
        <v>31</v>
      </c>
      <c r="C52" s="3">
        <v>769</v>
      </c>
      <c r="D52" s="3">
        <v>295</v>
      </c>
      <c r="E52" s="3">
        <v>344771</v>
      </c>
      <c r="F52" s="3">
        <v>8.06</v>
      </c>
      <c r="G52" s="3">
        <v>23963</v>
      </c>
    </row>
    <row r="53" spans="1:7" ht="15.75" customHeight="1">
      <c r="A53" s="4">
        <v>45565</v>
      </c>
      <c r="B53" s="1" t="s">
        <v>14</v>
      </c>
      <c r="C53" s="3">
        <v>1416</v>
      </c>
      <c r="D53" s="3">
        <v>284</v>
      </c>
      <c r="E53" s="3">
        <v>374952</v>
      </c>
      <c r="F53" s="3">
        <v>3.45</v>
      </c>
      <c r="G53" s="3">
        <v>11335</v>
      </c>
    </row>
    <row r="54" spans="1:7" ht="15.75" customHeight="1">
      <c r="A54" s="4">
        <v>45565</v>
      </c>
      <c r="B54" s="1" t="s">
        <v>24</v>
      </c>
      <c r="C54" s="3">
        <v>998</v>
      </c>
      <c r="D54" s="3">
        <v>154</v>
      </c>
      <c r="E54" s="3">
        <v>179781</v>
      </c>
      <c r="F54" s="3">
        <v>9.58</v>
      </c>
      <c r="G54" s="3">
        <v>12115</v>
      </c>
    </row>
    <row r="55" spans="1:7" ht="15.75" customHeight="1">
      <c r="A55" s="4">
        <v>45565</v>
      </c>
      <c r="B55" s="1" t="s">
        <v>31</v>
      </c>
      <c r="C55" s="3">
        <v>1421</v>
      </c>
      <c r="D55" s="3">
        <v>246</v>
      </c>
      <c r="E55" s="3">
        <v>358581</v>
      </c>
      <c r="F55" s="3">
        <v>8.8800000000000008</v>
      </c>
      <c r="G55" s="3">
        <v>24358</v>
      </c>
    </row>
    <row r="56" spans="1:7" ht="15.75" customHeight="1">
      <c r="A56" s="4">
        <v>45572</v>
      </c>
      <c r="B56" s="1" t="s">
        <v>14</v>
      </c>
      <c r="C56" s="3">
        <v>764</v>
      </c>
      <c r="D56" s="3">
        <v>205</v>
      </c>
      <c r="E56" s="3">
        <v>319294</v>
      </c>
      <c r="F56" s="3">
        <v>6.23</v>
      </c>
      <c r="G56" s="3">
        <v>12181</v>
      </c>
    </row>
    <row r="57" spans="1:7" ht="15.75" customHeight="1">
      <c r="A57" s="4">
        <v>45572</v>
      </c>
      <c r="B57" s="1" t="s">
        <v>24</v>
      </c>
      <c r="C57" s="3">
        <v>678</v>
      </c>
      <c r="D57" s="3">
        <v>124</v>
      </c>
      <c r="E57" s="3">
        <v>192022</v>
      </c>
      <c r="F57" s="3">
        <v>8.4499999999999993</v>
      </c>
      <c r="G57" s="3">
        <v>17729</v>
      </c>
    </row>
    <row r="58" spans="1:7" ht="15.75" customHeight="1">
      <c r="A58" s="4">
        <v>45572</v>
      </c>
      <c r="B58" s="1" t="s">
        <v>31</v>
      </c>
      <c r="C58" s="3">
        <v>1328</v>
      </c>
      <c r="D58" s="3">
        <v>103</v>
      </c>
      <c r="E58" s="3">
        <v>151462</v>
      </c>
      <c r="F58" s="3">
        <v>8.4</v>
      </c>
      <c r="G58" s="3">
        <v>10881</v>
      </c>
    </row>
    <row r="59" spans="1:7" ht="15.75" customHeight="1">
      <c r="A59" s="4">
        <v>45579</v>
      </c>
      <c r="B59" s="1" t="s">
        <v>14</v>
      </c>
      <c r="C59" s="3">
        <v>1161</v>
      </c>
      <c r="D59" s="3">
        <v>269</v>
      </c>
      <c r="E59" s="3">
        <v>188193</v>
      </c>
      <c r="F59" s="3">
        <v>7.34</v>
      </c>
      <c r="G59" s="3">
        <v>18576</v>
      </c>
    </row>
    <row r="60" spans="1:7" ht="15.75" customHeight="1">
      <c r="A60" s="4">
        <v>45579</v>
      </c>
      <c r="B60" s="1" t="s">
        <v>24</v>
      </c>
      <c r="C60" s="3">
        <v>588</v>
      </c>
      <c r="D60" s="3">
        <v>52</v>
      </c>
      <c r="E60" s="3">
        <v>292040</v>
      </c>
      <c r="F60" s="3">
        <v>8.14</v>
      </c>
      <c r="G60" s="3">
        <v>9383</v>
      </c>
    </row>
    <row r="61" spans="1:7" ht="15.75" customHeight="1">
      <c r="A61" s="4">
        <v>45579</v>
      </c>
      <c r="B61" s="1" t="s">
        <v>31</v>
      </c>
      <c r="C61" s="3">
        <v>1457</v>
      </c>
      <c r="D61" s="3">
        <v>215</v>
      </c>
      <c r="E61" s="3">
        <v>325325</v>
      </c>
      <c r="F61" s="3">
        <v>9.58</v>
      </c>
      <c r="G61" s="3">
        <v>14178</v>
      </c>
    </row>
    <row r="62" spans="1:7" ht="15.75" customHeight="1">
      <c r="A62" s="4">
        <v>45586</v>
      </c>
      <c r="B62" s="1" t="s">
        <v>14</v>
      </c>
      <c r="C62" s="3">
        <v>1190</v>
      </c>
      <c r="D62" s="3">
        <v>242</v>
      </c>
      <c r="E62" s="3">
        <v>86849</v>
      </c>
      <c r="F62" s="3">
        <v>8.06</v>
      </c>
      <c r="G62" s="3">
        <v>21254</v>
      </c>
    </row>
    <row r="63" spans="1:7" ht="15.75" customHeight="1">
      <c r="A63" s="4">
        <v>45586</v>
      </c>
      <c r="B63" s="1" t="s">
        <v>24</v>
      </c>
      <c r="C63" s="3">
        <v>886</v>
      </c>
      <c r="D63" s="3">
        <v>124</v>
      </c>
      <c r="E63" s="3">
        <v>141161</v>
      </c>
      <c r="F63" s="3">
        <v>8.19</v>
      </c>
      <c r="G63" s="3">
        <v>14215</v>
      </c>
    </row>
    <row r="64" spans="1:7" ht="15.75" customHeight="1">
      <c r="A64" s="4">
        <v>45586</v>
      </c>
      <c r="B64" s="1" t="s">
        <v>31</v>
      </c>
      <c r="C64" s="3">
        <v>1237</v>
      </c>
      <c r="D64" s="3">
        <v>155</v>
      </c>
      <c r="E64" s="3">
        <v>149916</v>
      </c>
      <c r="F64" s="3">
        <v>4.4800000000000004</v>
      </c>
      <c r="G64" s="3">
        <v>16921</v>
      </c>
    </row>
    <row r="65" spans="1:7" ht="15.75" customHeight="1">
      <c r="A65" s="4">
        <v>45593</v>
      </c>
      <c r="B65" s="1" t="s">
        <v>14</v>
      </c>
      <c r="C65" s="3">
        <v>1435</v>
      </c>
      <c r="D65" s="3">
        <v>261</v>
      </c>
      <c r="E65" s="3">
        <v>308533</v>
      </c>
      <c r="F65" s="3">
        <v>4.5199999999999996</v>
      </c>
      <c r="G65" s="3">
        <v>25130</v>
      </c>
    </row>
    <row r="66" spans="1:7" ht="15.75" customHeight="1">
      <c r="A66" s="4">
        <v>45593</v>
      </c>
      <c r="B66" s="1" t="s">
        <v>24</v>
      </c>
      <c r="C66" s="3">
        <v>746</v>
      </c>
      <c r="D66" s="3">
        <v>282</v>
      </c>
      <c r="E66" s="3">
        <v>293894</v>
      </c>
      <c r="F66" s="3">
        <v>5.42</v>
      </c>
      <c r="G66" s="3">
        <v>25537</v>
      </c>
    </row>
    <row r="67" spans="1:7" ht="15.75" customHeight="1">
      <c r="A67" s="4">
        <v>45593</v>
      </c>
      <c r="B67" s="1" t="s">
        <v>31</v>
      </c>
      <c r="C67" s="3">
        <v>759</v>
      </c>
      <c r="D67" s="3">
        <v>216</v>
      </c>
      <c r="E67" s="3">
        <v>147656</v>
      </c>
      <c r="F67" s="3">
        <v>4.08</v>
      </c>
      <c r="G67" s="3">
        <v>24943</v>
      </c>
    </row>
    <row r="68" spans="1:7" ht="15.75" customHeight="1">
      <c r="A68" s="4">
        <v>45600</v>
      </c>
      <c r="B68" s="1" t="s">
        <v>14</v>
      </c>
      <c r="C68" s="3">
        <v>1437</v>
      </c>
      <c r="D68" s="3">
        <v>235</v>
      </c>
      <c r="E68" s="3">
        <v>326791</v>
      </c>
      <c r="F68" s="3">
        <v>4.0599999999999996</v>
      </c>
      <c r="G68" s="3">
        <v>14563</v>
      </c>
    </row>
    <row r="69" spans="1:7" ht="15.75" customHeight="1">
      <c r="A69" s="4">
        <v>45600</v>
      </c>
      <c r="B69" s="1" t="s">
        <v>24</v>
      </c>
      <c r="C69" s="3">
        <v>1463</v>
      </c>
      <c r="D69" s="3">
        <v>73</v>
      </c>
      <c r="E69" s="3">
        <v>348877</v>
      </c>
      <c r="F69" s="3">
        <v>9.91</v>
      </c>
      <c r="G69" s="3">
        <v>26273</v>
      </c>
    </row>
    <row r="70" spans="1:7" ht="15.75" customHeight="1">
      <c r="A70" s="4">
        <v>45600</v>
      </c>
      <c r="B70" s="1" t="s">
        <v>31</v>
      </c>
      <c r="C70" s="3">
        <v>1208</v>
      </c>
      <c r="D70" s="3">
        <v>224</v>
      </c>
      <c r="E70" s="3">
        <v>122730</v>
      </c>
      <c r="F70" s="3">
        <v>8.7200000000000006</v>
      </c>
      <c r="G70" s="3">
        <v>10858</v>
      </c>
    </row>
    <row r="71" spans="1:7" ht="15.75" customHeight="1">
      <c r="A71" s="4">
        <v>45607</v>
      </c>
      <c r="B71" s="1" t="s">
        <v>14</v>
      </c>
      <c r="C71" s="3">
        <v>1391</v>
      </c>
      <c r="D71" s="3">
        <v>187</v>
      </c>
      <c r="E71" s="3">
        <v>306508</v>
      </c>
      <c r="F71" s="3">
        <v>8.3800000000000008</v>
      </c>
      <c r="G71" s="3">
        <v>25038</v>
      </c>
    </row>
    <row r="72" spans="1:7" ht="15.75" customHeight="1">
      <c r="A72" s="4">
        <v>45607</v>
      </c>
      <c r="B72" s="1" t="s">
        <v>24</v>
      </c>
      <c r="C72" s="3">
        <v>655</v>
      </c>
      <c r="D72" s="3">
        <v>123</v>
      </c>
      <c r="E72" s="3">
        <v>202472</v>
      </c>
      <c r="F72" s="3">
        <v>7.56</v>
      </c>
      <c r="G72" s="3">
        <v>9092</v>
      </c>
    </row>
    <row r="73" spans="1:7" ht="15.75" customHeight="1">
      <c r="A73" s="4">
        <v>45607</v>
      </c>
      <c r="B73" s="1" t="s">
        <v>31</v>
      </c>
      <c r="C73" s="3">
        <v>1148</v>
      </c>
      <c r="D73" s="3">
        <v>90</v>
      </c>
      <c r="E73" s="3">
        <v>227249</v>
      </c>
      <c r="F73" s="3">
        <v>7.24</v>
      </c>
      <c r="G73" s="3">
        <v>17662</v>
      </c>
    </row>
    <row r="74" spans="1:7" ht="15.75" customHeight="1">
      <c r="A74" s="4">
        <v>45614</v>
      </c>
      <c r="B74" s="1" t="s">
        <v>14</v>
      </c>
      <c r="C74" s="3">
        <v>946</v>
      </c>
      <c r="D74" s="3">
        <v>270</v>
      </c>
      <c r="E74" s="3">
        <v>246567</v>
      </c>
      <c r="F74" s="3">
        <v>4.53</v>
      </c>
      <c r="G74" s="3">
        <v>5924</v>
      </c>
    </row>
    <row r="75" spans="1:7" ht="15.75" customHeight="1">
      <c r="A75" s="4">
        <v>45614</v>
      </c>
      <c r="B75" s="1" t="s">
        <v>24</v>
      </c>
      <c r="C75" s="3">
        <v>791</v>
      </c>
      <c r="D75" s="3">
        <v>214</v>
      </c>
      <c r="E75" s="3">
        <v>114738</v>
      </c>
      <c r="F75" s="3">
        <v>6.62</v>
      </c>
      <c r="G75" s="3">
        <v>25347</v>
      </c>
    </row>
    <row r="76" spans="1:7" ht="15.75" customHeight="1">
      <c r="A76" s="4">
        <v>45614</v>
      </c>
      <c r="B76" s="1" t="s">
        <v>31</v>
      </c>
      <c r="C76" s="3">
        <v>793</v>
      </c>
      <c r="D76" s="3">
        <v>111</v>
      </c>
      <c r="E76" s="3">
        <v>333500</v>
      </c>
      <c r="F76" s="3">
        <v>6.36</v>
      </c>
      <c r="G76" s="3">
        <v>8910</v>
      </c>
    </row>
    <row r="77" spans="1:7" ht="15.75" customHeight="1">
      <c r="A77" s="4">
        <v>45621</v>
      </c>
      <c r="B77" s="1" t="s">
        <v>14</v>
      </c>
      <c r="C77" s="3">
        <v>663</v>
      </c>
      <c r="D77" s="3">
        <v>213</v>
      </c>
      <c r="E77" s="3">
        <v>352677</v>
      </c>
      <c r="F77" s="3">
        <v>9</v>
      </c>
      <c r="G77" s="3">
        <v>20438</v>
      </c>
    </row>
    <row r="78" spans="1:7" ht="15.75" customHeight="1">
      <c r="A78" s="4">
        <v>45621</v>
      </c>
      <c r="B78" s="1" t="s">
        <v>24</v>
      </c>
      <c r="C78" s="3">
        <v>954</v>
      </c>
      <c r="D78" s="3">
        <v>271</v>
      </c>
      <c r="E78" s="3">
        <v>160936</v>
      </c>
      <c r="F78" s="3">
        <v>8.83</v>
      </c>
      <c r="G78" s="3">
        <v>8760</v>
      </c>
    </row>
    <row r="79" spans="1:7" ht="15.75" customHeight="1">
      <c r="A79" s="4">
        <v>45621</v>
      </c>
      <c r="B79" s="1" t="s">
        <v>31</v>
      </c>
      <c r="C79" s="3">
        <v>1313</v>
      </c>
      <c r="D79" s="3">
        <v>159</v>
      </c>
      <c r="E79" s="3">
        <v>197183</v>
      </c>
      <c r="F79" s="3">
        <v>9.7100000000000009</v>
      </c>
      <c r="G79" s="3">
        <v>6625</v>
      </c>
    </row>
    <row r="80" spans="1:7" ht="15.75" customHeight="1">
      <c r="A80" s="4">
        <v>45628</v>
      </c>
      <c r="B80" s="1" t="s">
        <v>14</v>
      </c>
      <c r="C80" s="3">
        <v>895</v>
      </c>
      <c r="D80" s="3">
        <v>87</v>
      </c>
      <c r="E80" s="3">
        <v>171271</v>
      </c>
      <c r="F80" s="3">
        <v>6.68</v>
      </c>
      <c r="G80" s="3">
        <v>23329</v>
      </c>
    </row>
    <row r="81" spans="1:7" ht="15.75" customHeight="1">
      <c r="A81" s="4">
        <v>45628</v>
      </c>
      <c r="B81" s="1" t="s">
        <v>24</v>
      </c>
      <c r="C81" s="3">
        <v>1027</v>
      </c>
      <c r="D81" s="3">
        <v>156</v>
      </c>
      <c r="E81" s="3">
        <v>111293</v>
      </c>
      <c r="F81" s="3">
        <v>5.51</v>
      </c>
      <c r="G81" s="3">
        <v>7299</v>
      </c>
    </row>
    <row r="82" spans="1:7" ht="15.75" customHeight="1">
      <c r="A82" s="4">
        <v>45628</v>
      </c>
      <c r="B82" s="1" t="s">
        <v>31</v>
      </c>
      <c r="C82" s="3">
        <v>990</v>
      </c>
      <c r="D82" s="3">
        <v>286</v>
      </c>
      <c r="E82" s="3">
        <v>351493</v>
      </c>
      <c r="F82" s="3">
        <v>7.97</v>
      </c>
      <c r="G82" s="3">
        <v>14496</v>
      </c>
    </row>
    <row r="83" spans="1:7" ht="15.75" customHeight="1">
      <c r="A83" s="4">
        <v>45635</v>
      </c>
      <c r="B83" s="1" t="s">
        <v>14</v>
      </c>
      <c r="C83" s="3">
        <v>875</v>
      </c>
      <c r="D83" s="3">
        <v>264</v>
      </c>
      <c r="E83" s="3">
        <v>345631</v>
      </c>
      <c r="F83" s="3">
        <v>9.18</v>
      </c>
      <c r="G83" s="3">
        <v>25703</v>
      </c>
    </row>
    <row r="84" spans="1:7" ht="15.75" customHeight="1">
      <c r="A84" s="4">
        <v>45635</v>
      </c>
      <c r="B84" s="1" t="s">
        <v>24</v>
      </c>
      <c r="C84" s="3">
        <v>599</v>
      </c>
      <c r="D84" s="3">
        <v>194</v>
      </c>
      <c r="E84" s="3">
        <v>105622</v>
      </c>
      <c r="F84" s="3">
        <v>6.44</v>
      </c>
      <c r="G84" s="3">
        <v>15108</v>
      </c>
    </row>
    <row r="85" spans="1:7" ht="15.75" customHeight="1">
      <c r="A85" s="4">
        <v>45635</v>
      </c>
      <c r="B85" s="1" t="s">
        <v>31</v>
      </c>
      <c r="C85" s="3">
        <v>630</v>
      </c>
      <c r="D85" s="3">
        <v>248</v>
      </c>
      <c r="E85" s="3">
        <v>119054</v>
      </c>
      <c r="F85" s="3">
        <v>5.0199999999999996</v>
      </c>
      <c r="G85" s="3">
        <v>18867</v>
      </c>
    </row>
    <row r="86" spans="1:7" ht="15.75" customHeight="1">
      <c r="A86" s="4">
        <v>45642</v>
      </c>
      <c r="B86" s="1" t="s">
        <v>14</v>
      </c>
      <c r="C86" s="3">
        <v>1350</v>
      </c>
      <c r="D86" s="3">
        <v>233</v>
      </c>
      <c r="E86" s="3">
        <v>171670</v>
      </c>
      <c r="F86" s="3">
        <v>4.53</v>
      </c>
      <c r="G86" s="3">
        <v>17574</v>
      </c>
    </row>
    <row r="87" spans="1:7" ht="15.75" customHeight="1">
      <c r="A87" s="4">
        <v>45642</v>
      </c>
      <c r="B87" s="1" t="s">
        <v>24</v>
      </c>
      <c r="C87" s="3">
        <v>632</v>
      </c>
      <c r="D87" s="3">
        <v>155</v>
      </c>
      <c r="E87" s="3">
        <v>170432</v>
      </c>
      <c r="F87" s="3">
        <v>9.17</v>
      </c>
      <c r="G87" s="3">
        <v>12840</v>
      </c>
    </row>
    <row r="88" spans="1:7" ht="15.75" customHeight="1">
      <c r="A88" s="4">
        <v>45642</v>
      </c>
      <c r="B88" s="1" t="s">
        <v>31</v>
      </c>
      <c r="C88" s="3">
        <v>1182</v>
      </c>
      <c r="D88" s="3">
        <v>83</v>
      </c>
      <c r="E88" s="3">
        <v>140300</v>
      </c>
      <c r="F88" s="3">
        <v>3.27</v>
      </c>
      <c r="G88" s="3">
        <v>21079</v>
      </c>
    </row>
    <row r="89" spans="1:7" ht="15.75" customHeight="1">
      <c r="A89" s="4">
        <v>45649</v>
      </c>
      <c r="B89" s="1" t="s">
        <v>14</v>
      </c>
      <c r="C89" s="3">
        <v>661</v>
      </c>
      <c r="D89" s="3">
        <v>94</v>
      </c>
      <c r="E89" s="3">
        <v>116538</v>
      </c>
      <c r="F89" s="3">
        <v>5.31</v>
      </c>
      <c r="G89" s="3">
        <v>23486</v>
      </c>
    </row>
    <row r="90" spans="1:7" ht="15.75" customHeight="1">
      <c r="A90" s="4">
        <v>45649</v>
      </c>
      <c r="B90" s="1" t="s">
        <v>24</v>
      </c>
      <c r="C90" s="3">
        <v>1360</v>
      </c>
      <c r="D90" s="3">
        <v>227</v>
      </c>
      <c r="E90" s="3">
        <v>176902</v>
      </c>
      <c r="F90" s="3">
        <v>6.03</v>
      </c>
      <c r="G90" s="3">
        <v>5960</v>
      </c>
    </row>
    <row r="91" spans="1:7" ht="15.75" customHeight="1">
      <c r="A91" s="4">
        <v>45649</v>
      </c>
      <c r="B91" s="1" t="s">
        <v>31</v>
      </c>
      <c r="C91" s="3">
        <v>935</v>
      </c>
      <c r="D91" s="3">
        <v>85</v>
      </c>
      <c r="E91" s="3">
        <v>326821</v>
      </c>
      <c r="F91" s="3">
        <v>8.89</v>
      </c>
      <c r="G91" s="3">
        <v>13301</v>
      </c>
    </row>
    <row r="92" spans="1:7" ht="15.75" customHeight="1">
      <c r="A92" s="4">
        <v>45656</v>
      </c>
      <c r="B92" s="1" t="s">
        <v>14</v>
      </c>
      <c r="C92" s="3">
        <v>664</v>
      </c>
      <c r="D92" s="3">
        <v>251</v>
      </c>
      <c r="E92" s="3">
        <v>240598</v>
      </c>
      <c r="F92" s="3">
        <v>4.79</v>
      </c>
      <c r="G92" s="3">
        <v>10563</v>
      </c>
    </row>
    <row r="93" spans="1:7" ht="15.75" customHeight="1">
      <c r="A93" s="4">
        <v>45656</v>
      </c>
      <c r="B93" s="1" t="s">
        <v>24</v>
      </c>
      <c r="C93" s="3">
        <v>1490</v>
      </c>
      <c r="D93" s="3">
        <v>103</v>
      </c>
      <c r="E93" s="3">
        <v>373274</v>
      </c>
      <c r="F93" s="3">
        <v>4.8</v>
      </c>
      <c r="G93" s="3">
        <v>19949</v>
      </c>
    </row>
    <row r="94" spans="1:7" ht="15.75" customHeight="1">
      <c r="A94" s="4">
        <v>45656</v>
      </c>
      <c r="B94" s="1" t="s">
        <v>31</v>
      </c>
      <c r="C94" s="3">
        <v>601</v>
      </c>
      <c r="D94" s="3">
        <v>64</v>
      </c>
      <c r="E94" s="3">
        <v>123272</v>
      </c>
      <c r="F94" s="3">
        <v>4.07</v>
      </c>
      <c r="G94" s="3">
        <v>14273</v>
      </c>
    </row>
    <row r="95" spans="1:7" ht="15.75" customHeight="1">
      <c r="A95" s="4">
        <v>45663</v>
      </c>
      <c r="B95" s="1" t="s">
        <v>14</v>
      </c>
      <c r="C95" s="3">
        <v>613</v>
      </c>
      <c r="D95" s="3">
        <v>170</v>
      </c>
      <c r="E95" s="3">
        <v>139266</v>
      </c>
      <c r="F95" s="3">
        <v>6.06</v>
      </c>
      <c r="G95" s="3">
        <v>9247</v>
      </c>
    </row>
    <row r="96" spans="1:7" ht="15.75" customHeight="1">
      <c r="A96" s="4">
        <v>45663</v>
      </c>
      <c r="B96" s="1" t="s">
        <v>24</v>
      </c>
      <c r="C96" s="3">
        <v>1340</v>
      </c>
      <c r="D96" s="3">
        <v>57</v>
      </c>
      <c r="E96" s="3">
        <v>155927</v>
      </c>
      <c r="F96" s="3">
        <v>7.79</v>
      </c>
      <c r="G96" s="3">
        <v>11972</v>
      </c>
    </row>
    <row r="97" spans="1:7" ht="15.75" customHeight="1">
      <c r="A97" s="4">
        <v>45663</v>
      </c>
      <c r="B97" s="1" t="s">
        <v>31</v>
      </c>
      <c r="C97" s="3">
        <v>953</v>
      </c>
      <c r="D97" s="3">
        <v>228</v>
      </c>
      <c r="E97" s="3">
        <v>258398</v>
      </c>
      <c r="F97" s="3">
        <v>9.0500000000000007</v>
      </c>
      <c r="G97" s="3">
        <v>13314</v>
      </c>
    </row>
    <row r="98" spans="1:7" ht="15.75" customHeight="1">
      <c r="A98" s="4">
        <v>45670</v>
      </c>
      <c r="B98" s="1" t="s">
        <v>14</v>
      </c>
      <c r="C98" s="3">
        <v>532</v>
      </c>
      <c r="D98" s="3">
        <v>65</v>
      </c>
      <c r="E98" s="3">
        <v>338561</v>
      </c>
      <c r="F98" s="3">
        <v>3.5</v>
      </c>
      <c r="G98" s="3">
        <v>14749</v>
      </c>
    </row>
    <row r="99" spans="1:7" ht="15.75" customHeight="1">
      <c r="A99" s="4">
        <v>45670</v>
      </c>
      <c r="B99" s="1" t="s">
        <v>24</v>
      </c>
      <c r="C99" s="3">
        <v>1414</v>
      </c>
      <c r="D99" s="3">
        <v>60</v>
      </c>
      <c r="E99" s="3">
        <v>341856</v>
      </c>
      <c r="F99" s="3">
        <v>8.76</v>
      </c>
      <c r="G99" s="3">
        <v>6868</v>
      </c>
    </row>
    <row r="100" spans="1:7" ht="15.75" customHeight="1">
      <c r="A100" s="4">
        <v>45670</v>
      </c>
      <c r="B100" s="1" t="s">
        <v>31</v>
      </c>
      <c r="C100" s="3">
        <v>685</v>
      </c>
      <c r="D100" s="3">
        <v>165</v>
      </c>
      <c r="E100" s="3">
        <v>175860</v>
      </c>
      <c r="F100" s="3">
        <v>6.26</v>
      </c>
      <c r="G100" s="3">
        <v>6027</v>
      </c>
    </row>
    <row r="101" spans="1:7" ht="15.75" customHeight="1">
      <c r="A101" s="4">
        <v>45677</v>
      </c>
      <c r="B101" s="1" t="s">
        <v>14</v>
      </c>
      <c r="C101" s="3">
        <v>601</v>
      </c>
      <c r="D101" s="3">
        <v>159</v>
      </c>
      <c r="E101" s="3">
        <v>327722</v>
      </c>
      <c r="F101" s="3">
        <v>3.33</v>
      </c>
      <c r="G101" s="3">
        <v>25267</v>
      </c>
    </row>
    <row r="102" spans="1:7" ht="15.75" customHeight="1">
      <c r="A102" s="4">
        <v>45677</v>
      </c>
      <c r="B102" s="1" t="s">
        <v>24</v>
      </c>
      <c r="C102" s="3">
        <v>841</v>
      </c>
      <c r="D102" s="3">
        <v>295</v>
      </c>
      <c r="E102" s="3">
        <v>271638</v>
      </c>
      <c r="F102" s="3">
        <v>9.15</v>
      </c>
      <c r="G102" s="3">
        <v>5900</v>
      </c>
    </row>
    <row r="103" spans="1:7" ht="15.75" customHeight="1">
      <c r="A103" s="4">
        <v>45677</v>
      </c>
      <c r="B103" s="1" t="s">
        <v>31</v>
      </c>
      <c r="C103" s="3">
        <v>1105</v>
      </c>
      <c r="D103" s="3">
        <v>261</v>
      </c>
      <c r="E103" s="3">
        <v>333851</v>
      </c>
      <c r="F103" s="3">
        <v>6.03</v>
      </c>
      <c r="G103" s="3">
        <v>11181</v>
      </c>
    </row>
    <row r="104" spans="1:7" ht="15.75" customHeight="1">
      <c r="A104" s="4">
        <v>45684</v>
      </c>
      <c r="B104" s="1" t="s">
        <v>14</v>
      </c>
      <c r="C104" s="3">
        <v>566</v>
      </c>
      <c r="D104" s="3">
        <v>225</v>
      </c>
      <c r="E104" s="3">
        <v>368984</v>
      </c>
      <c r="F104" s="3">
        <v>9.82</v>
      </c>
      <c r="G104" s="3">
        <v>9592</v>
      </c>
    </row>
    <row r="105" spans="1:7" ht="15.75" customHeight="1">
      <c r="A105" s="4">
        <v>45684</v>
      </c>
      <c r="B105" s="1" t="s">
        <v>24</v>
      </c>
      <c r="C105" s="3">
        <v>1149</v>
      </c>
      <c r="D105" s="3">
        <v>280</v>
      </c>
      <c r="E105" s="3">
        <v>167310</v>
      </c>
      <c r="F105" s="3">
        <v>3.7</v>
      </c>
      <c r="G105" s="3">
        <v>5291</v>
      </c>
    </row>
    <row r="106" spans="1:7" ht="15.75" customHeight="1">
      <c r="A106" s="4">
        <v>45684</v>
      </c>
      <c r="B106" s="1" t="s">
        <v>31</v>
      </c>
      <c r="C106" s="3">
        <v>819</v>
      </c>
      <c r="D106" s="3">
        <v>101</v>
      </c>
      <c r="E106" s="3">
        <v>194811</v>
      </c>
      <c r="F106" s="3">
        <v>3.35</v>
      </c>
      <c r="G106" s="3">
        <v>22244</v>
      </c>
    </row>
    <row r="107" spans="1:7" ht="15.75" customHeight="1">
      <c r="A107" s="4">
        <v>45691</v>
      </c>
      <c r="B107" s="1" t="s">
        <v>14</v>
      </c>
      <c r="C107" s="3">
        <v>795</v>
      </c>
      <c r="D107" s="3">
        <v>60</v>
      </c>
      <c r="E107" s="3">
        <v>314982</v>
      </c>
      <c r="F107" s="3">
        <v>7.31</v>
      </c>
      <c r="G107" s="3">
        <v>6824</v>
      </c>
    </row>
    <row r="108" spans="1:7" ht="15.75" customHeight="1">
      <c r="A108" s="4">
        <v>45691</v>
      </c>
      <c r="B108" s="1" t="s">
        <v>24</v>
      </c>
      <c r="C108" s="3">
        <v>681</v>
      </c>
      <c r="D108" s="3">
        <v>158</v>
      </c>
      <c r="E108" s="3">
        <v>75960</v>
      </c>
      <c r="F108" s="3">
        <v>3.13</v>
      </c>
      <c r="G108" s="3">
        <v>24112</v>
      </c>
    </row>
    <row r="109" spans="1:7" ht="15.75" customHeight="1">
      <c r="A109" s="4">
        <v>45691</v>
      </c>
      <c r="B109" s="1" t="s">
        <v>31</v>
      </c>
      <c r="C109" s="3">
        <v>534</v>
      </c>
      <c r="D109" s="3">
        <v>112</v>
      </c>
      <c r="E109" s="3">
        <v>360759</v>
      </c>
      <c r="F109" s="3">
        <v>4.8899999999999997</v>
      </c>
      <c r="G109" s="3">
        <v>25478</v>
      </c>
    </row>
    <row r="110" spans="1:7" ht="15.75" customHeight="1">
      <c r="A110" s="4">
        <v>45698</v>
      </c>
      <c r="B110" s="1" t="s">
        <v>14</v>
      </c>
      <c r="C110" s="3">
        <v>1066</v>
      </c>
      <c r="D110" s="3">
        <v>151</v>
      </c>
      <c r="E110" s="3">
        <v>297090</v>
      </c>
      <c r="F110" s="3">
        <v>8.6300000000000008</v>
      </c>
      <c r="G110" s="3">
        <v>11235</v>
      </c>
    </row>
    <row r="111" spans="1:7" ht="15.75" customHeight="1">
      <c r="A111" s="4">
        <v>45698</v>
      </c>
      <c r="B111" s="1" t="s">
        <v>24</v>
      </c>
      <c r="C111" s="3">
        <v>1270</v>
      </c>
      <c r="D111" s="3">
        <v>162</v>
      </c>
      <c r="E111" s="3">
        <v>92040</v>
      </c>
      <c r="F111" s="3">
        <v>8.0299999999999994</v>
      </c>
      <c r="G111" s="3">
        <v>6120</v>
      </c>
    </row>
    <row r="112" spans="1:7" ht="15.75" customHeight="1">
      <c r="A112" s="4">
        <v>45698</v>
      </c>
      <c r="B112" s="1" t="s">
        <v>31</v>
      </c>
      <c r="C112" s="3">
        <v>536</v>
      </c>
      <c r="D112" s="3">
        <v>198</v>
      </c>
      <c r="E112" s="3">
        <v>174610</v>
      </c>
      <c r="F112" s="3">
        <v>7.85</v>
      </c>
      <c r="G112" s="3">
        <v>20572</v>
      </c>
    </row>
    <row r="113" spans="1:7" ht="15.75" customHeight="1">
      <c r="A113" s="4">
        <v>45705</v>
      </c>
      <c r="B113" s="1" t="s">
        <v>14</v>
      </c>
      <c r="C113" s="3">
        <v>819</v>
      </c>
      <c r="D113" s="3">
        <v>95</v>
      </c>
      <c r="E113" s="3">
        <v>177376</v>
      </c>
      <c r="F113" s="3">
        <v>6.12</v>
      </c>
      <c r="G113" s="3">
        <v>14975</v>
      </c>
    </row>
    <row r="114" spans="1:7" ht="15.75" customHeight="1">
      <c r="A114" s="4">
        <v>45705</v>
      </c>
      <c r="B114" s="1" t="s">
        <v>24</v>
      </c>
      <c r="C114" s="3">
        <v>681</v>
      </c>
      <c r="D114" s="3">
        <v>218</v>
      </c>
      <c r="E114" s="3">
        <v>198882</v>
      </c>
      <c r="F114" s="3">
        <v>7.16</v>
      </c>
      <c r="G114" s="3">
        <v>22234</v>
      </c>
    </row>
    <row r="115" spans="1:7" ht="15.75" customHeight="1">
      <c r="A115" s="4">
        <v>45705</v>
      </c>
      <c r="B115" s="1" t="s">
        <v>31</v>
      </c>
      <c r="C115" s="3">
        <v>646</v>
      </c>
      <c r="D115" s="3">
        <v>290</v>
      </c>
      <c r="E115" s="3">
        <v>336383</v>
      </c>
      <c r="F115" s="3">
        <v>7.04</v>
      </c>
      <c r="G115" s="3">
        <v>6532</v>
      </c>
    </row>
    <row r="116" spans="1:7" ht="15.75" customHeight="1">
      <c r="A116" s="4">
        <v>45712</v>
      </c>
      <c r="B116" s="1" t="s">
        <v>14</v>
      </c>
      <c r="C116" s="3">
        <v>645</v>
      </c>
      <c r="D116" s="3">
        <v>267</v>
      </c>
      <c r="E116" s="3">
        <v>346890</v>
      </c>
      <c r="F116" s="3">
        <v>3.71</v>
      </c>
      <c r="G116" s="3">
        <v>24858</v>
      </c>
    </row>
    <row r="117" spans="1:7" ht="15.75" customHeight="1">
      <c r="A117" s="4">
        <v>45712</v>
      </c>
      <c r="B117" s="1" t="s">
        <v>24</v>
      </c>
      <c r="C117" s="3">
        <v>886</v>
      </c>
      <c r="D117" s="3">
        <v>250</v>
      </c>
      <c r="E117" s="3">
        <v>168170</v>
      </c>
      <c r="F117" s="3">
        <v>4.12</v>
      </c>
      <c r="G117" s="3">
        <v>13883</v>
      </c>
    </row>
    <row r="118" spans="1:7" ht="15.75" customHeight="1">
      <c r="A118" s="4">
        <v>45712</v>
      </c>
      <c r="B118" s="1" t="s">
        <v>31</v>
      </c>
      <c r="C118" s="3">
        <v>978</v>
      </c>
      <c r="D118" s="3">
        <v>279</v>
      </c>
      <c r="E118" s="3">
        <v>368872</v>
      </c>
      <c r="F118" s="3">
        <v>6.82</v>
      </c>
      <c r="G118" s="3">
        <v>18654</v>
      </c>
    </row>
    <row r="119" spans="1:7" ht="15.75" customHeight="1">
      <c r="A119" s="4">
        <v>45719</v>
      </c>
      <c r="B119" s="1" t="s">
        <v>14</v>
      </c>
      <c r="C119" s="3">
        <v>1444</v>
      </c>
      <c r="D119" s="3">
        <v>165</v>
      </c>
      <c r="E119" s="3">
        <v>116436</v>
      </c>
      <c r="F119" s="3">
        <v>8.2200000000000006</v>
      </c>
      <c r="G119" s="3">
        <v>25234</v>
      </c>
    </row>
    <row r="120" spans="1:7" ht="15.75" customHeight="1">
      <c r="A120" s="4">
        <v>45719</v>
      </c>
      <c r="B120" s="1" t="s">
        <v>24</v>
      </c>
      <c r="C120" s="3">
        <v>1234</v>
      </c>
      <c r="D120" s="3">
        <v>228</v>
      </c>
      <c r="E120" s="3">
        <v>127502</v>
      </c>
      <c r="F120" s="3">
        <v>7.71</v>
      </c>
      <c r="G120" s="3">
        <v>6772</v>
      </c>
    </row>
    <row r="121" spans="1:7" ht="15.75" customHeight="1">
      <c r="A121" s="4">
        <v>45719</v>
      </c>
      <c r="B121" s="1" t="s">
        <v>31</v>
      </c>
      <c r="C121" s="3">
        <v>665</v>
      </c>
      <c r="D121" s="3">
        <v>187</v>
      </c>
      <c r="E121" s="3">
        <v>274567</v>
      </c>
      <c r="F121" s="3">
        <v>7.39</v>
      </c>
      <c r="G121" s="3">
        <v>22428</v>
      </c>
    </row>
    <row r="122" spans="1:7" ht="15.75" customHeight="1">
      <c r="A122" s="4">
        <v>45726</v>
      </c>
      <c r="B122" s="1" t="s">
        <v>14</v>
      </c>
      <c r="C122" s="3">
        <v>631</v>
      </c>
      <c r="D122" s="3">
        <v>86</v>
      </c>
      <c r="E122" s="3">
        <v>295090</v>
      </c>
      <c r="F122" s="3">
        <v>7.89</v>
      </c>
      <c r="G122" s="3">
        <v>11911</v>
      </c>
    </row>
    <row r="123" spans="1:7" ht="15.75" customHeight="1">
      <c r="A123" s="4">
        <v>45726</v>
      </c>
      <c r="B123" s="1" t="s">
        <v>24</v>
      </c>
      <c r="C123" s="3">
        <v>1159</v>
      </c>
      <c r="D123" s="3">
        <v>154</v>
      </c>
      <c r="E123" s="3">
        <v>194994</v>
      </c>
      <c r="F123" s="3">
        <v>6.39</v>
      </c>
      <c r="G123" s="3">
        <v>21900</v>
      </c>
    </row>
    <row r="124" spans="1:7" ht="15.75" customHeight="1">
      <c r="A124" s="4">
        <v>45726</v>
      </c>
      <c r="B124" s="1" t="s">
        <v>31</v>
      </c>
      <c r="C124" s="3">
        <v>950</v>
      </c>
      <c r="D124" s="3">
        <v>185</v>
      </c>
      <c r="E124" s="3">
        <v>340750</v>
      </c>
      <c r="F124" s="3">
        <v>6.77</v>
      </c>
      <c r="G124" s="3">
        <v>25542</v>
      </c>
    </row>
    <row r="125" spans="1:7" ht="15.75" customHeight="1">
      <c r="A125" s="4">
        <v>45733</v>
      </c>
      <c r="B125" s="1" t="s">
        <v>14</v>
      </c>
      <c r="C125" s="3">
        <v>693</v>
      </c>
      <c r="D125" s="3">
        <v>129</v>
      </c>
      <c r="E125" s="3">
        <v>296031</v>
      </c>
      <c r="F125" s="3">
        <v>3.41</v>
      </c>
      <c r="G125" s="3">
        <v>7140</v>
      </c>
    </row>
    <row r="126" spans="1:7" ht="15.75" customHeight="1">
      <c r="A126" s="4">
        <v>45733</v>
      </c>
      <c r="B126" s="1" t="s">
        <v>24</v>
      </c>
      <c r="C126" s="3">
        <v>576</v>
      </c>
      <c r="D126" s="3">
        <v>80</v>
      </c>
      <c r="E126" s="3">
        <v>345688</v>
      </c>
      <c r="F126" s="3">
        <v>4.1100000000000003</v>
      </c>
      <c r="G126" s="3">
        <v>20474</v>
      </c>
    </row>
    <row r="127" spans="1:7" ht="15.75" customHeight="1">
      <c r="A127" s="4">
        <v>45733</v>
      </c>
      <c r="B127" s="1" t="s">
        <v>31</v>
      </c>
      <c r="C127" s="3">
        <v>1274</v>
      </c>
      <c r="D127" s="3">
        <v>146</v>
      </c>
      <c r="E127" s="3">
        <v>263488</v>
      </c>
      <c r="F127" s="3">
        <v>9.58</v>
      </c>
      <c r="G127" s="3">
        <v>8698</v>
      </c>
    </row>
    <row r="128" spans="1:7" ht="15.75" customHeight="1">
      <c r="A128" s="4">
        <v>45740</v>
      </c>
      <c r="B128" s="1" t="s">
        <v>14</v>
      </c>
      <c r="C128" s="3">
        <v>818</v>
      </c>
      <c r="D128" s="3">
        <v>253</v>
      </c>
      <c r="E128" s="3">
        <v>184911</v>
      </c>
      <c r="F128" s="3">
        <v>3.39</v>
      </c>
      <c r="G128" s="3">
        <v>10402</v>
      </c>
    </row>
    <row r="129" spans="1:7" ht="15.75" customHeight="1">
      <c r="A129" s="4">
        <v>45740</v>
      </c>
      <c r="B129" s="1" t="s">
        <v>24</v>
      </c>
      <c r="C129" s="3">
        <v>975</v>
      </c>
      <c r="D129" s="3">
        <v>162</v>
      </c>
      <c r="E129" s="3">
        <v>124497</v>
      </c>
      <c r="F129" s="3">
        <v>9.58</v>
      </c>
      <c r="G129" s="3">
        <v>26618</v>
      </c>
    </row>
    <row r="130" spans="1:7" ht="15.75" customHeight="1">
      <c r="A130" s="4">
        <v>45740</v>
      </c>
      <c r="B130" s="1" t="s">
        <v>31</v>
      </c>
      <c r="C130" s="3">
        <v>1398</v>
      </c>
      <c r="D130" s="3">
        <v>97</v>
      </c>
      <c r="E130" s="3">
        <v>397607</v>
      </c>
      <c r="F130" s="3">
        <v>5.09</v>
      </c>
      <c r="G130" s="3">
        <v>7975</v>
      </c>
    </row>
    <row r="131" spans="1:7" ht="15.75" customHeight="1">
      <c r="A131" s="4">
        <v>45747</v>
      </c>
      <c r="B131" s="1" t="s">
        <v>14</v>
      </c>
      <c r="C131" s="3">
        <v>591</v>
      </c>
      <c r="D131" s="3">
        <v>155</v>
      </c>
      <c r="E131" s="3">
        <v>138521</v>
      </c>
      <c r="F131" s="3">
        <v>7.85</v>
      </c>
      <c r="G131" s="3">
        <v>19054</v>
      </c>
    </row>
    <row r="132" spans="1:7" ht="15.75" customHeight="1">
      <c r="A132" s="4">
        <v>45747</v>
      </c>
      <c r="B132" s="1" t="s">
        <v>24</v>
      </c>
      <c r="C132" s="3">
        <v>1232</v>
      </c>
      <c r="D132" s="3">
        <v>254</v>
      </c>
      <c r="E132" s="3">
        <v>107718</v>
      </c>
      <c r="F132" s="3">
        <v>9.7100000000000009</v>
      </c>
      <c r="G132" s="3">
        <v>13740</v>
      </c>
    </row>
    <row r="133" spans="1:7" ht="15.75" customHeight="1">
      <c r="A133" s="4">
        <v>45747</v>
      </c>
      <c r="B133" s="1" t="s">
        <v>31</v>
      </c>
      <c r="C133" s="3">
        <v>1425</v>
      </c>
      <c r="D133" s="3">
        <v>58</v>
      </c>
      <c r="E133" s="3">
        <v>202234</v>
      </c>
      <c r="F133" s="3">
        <v>6.67</v>
      </c>
      <c r="G133" s="3">
        <v>18442</v>
      </c>
    </row>
    <row r="134" spans="1:7" ht="15.75" customHeight="1">
      <c r="A134" s="4">
        <v>45754</v>
      </c>
      <c r="B134" s="1" t="s">
        <v>14</v>
      </c>
      <c r="C134" s="3">
        <v>1417</v>
      </c>
      <c r="D134" s="3">
        <v>80</v>
      </c>
      <c r="E134" s="3">
        <v>340987</v>
      </c>
      <c r="F134" s="3">
        <v>6.13</v>
      </c>
      <c r="G134" s="3">
        <v>10104</v>
      </c>
    </row>
    <row r="135" spans="1:7" ht="15.75" customHeight="1">
      <c r="A135" s="4">
        <v>45754</v>
      </c>
      <c r="B135" s="1" t="s">
        <v>24</v>
      </c>
      <c r="C135" s="3">
        <v>1222</v>
      </c>
      <c r="D135" s="3">
        <v>208</v>
      </c>
      <c r="E135" s="3">
        <v>340098</v>
      </c>
      <c r="F135" s="3">
        <v>7.34</v>
      </c>
      <c r="G135" s="3">
        <v>21771</v>
      </c>
    </row>
    <row r="136" spans="1:7" ht="15.75" customHeight="1">
      <c r="A136" s="4">
        <v>45754</v>
      </c>
      <c r="B136" s="1" t="s">
        <v>31</v>
      </c>
      <c r="C136" s="3">
        <v>1071</v>
      </c>
      <c r="D136" s="3">
        <v>131</v>
      </c>
      <c r="E136" s="3">
        <v>254727</v>
      </c>
      <c r="F136" s="3">
        <v>6.87</v>
      </c>
      <c r="G136" s="3">
        <v>22191</v>
      </c>
    </row>
    <row r="137" spans="1:7" ht="15.75" customHeight="1">
      <c r="A137" s="4">
        <v>45761</v>
      </c>
      <c r="B137" s="1" t="s">
        <v>14</v>
      </c>
      <c r="C137" s="3">
        <v>772</v>
      </c>
      <c r="D137" s="3">
        <v>82</v>
      </c>
      <c r="E137" s="3">
        <v>345659</v>
      </c>
      <c r="F137" s="3">
        <v>3.52</v>
      </c>
      <c r="G137" s="3">
        <v>27753</v>
      </c>
    </row>
    <row r="138" spans="1:7" ht="15.75" customHeight="1">
      <c r="A138" s="4">
        <v>45761</v>
      </c>
      <c r="B138" s="1" t="s">
        <v>24</v>
      </c>
      <c r="C138" s="3">
        <v>1472</v>
      </c>
      <c r="D138" s="3">
        <v>137</v>
      </c>
      <c r="E138" s="3">
        <v>213950</v>
      </c>
      <c r="F138" s="3">
        <v>6.96</v>
      </c>
      <c r="G138" s="3">
        <v>23736</v>
      </c>
    </row>
    <row r="139" spans="1:7" ht="15.75" customHeight="1">
      <c r="A139" s="4">
        <v>45761</v>
      </c>
      <c r="B139" s="1" t="s">
        <v>31</v>
      </c>
      <c r="C139" s="3">
        <v>1472</v>
      </c>
      <c r="D139" s="3">
        <v>281</v>
      </c>
      <c r="E139" s="3">
        <v>258115</v>
      </c>
      <c r="F139" s="3">
        <v>7.23</v>
      </c>
      <c r="G139" s="3">
        <v>27393</v>
      </c>
    </row>
    <row r="140" spans="1:7" ht="15.75" customHeight="1">
      <c r="A140" s="4">
        <v>45768</v>
      </c>
      <c r="B140" s="1" t="s">
        <v>14</v>
      </c>
      <c r="C140" s="3">
        <v>585</v>
      </c>
      <c r="D140" s="3">
        <v>232</v>
      </c>
      <c r="E140" s="3">
        <v>321258</v>
      </c>
      <c r="F140" s="3">
        <v>7.42</v>
      </c>
      <c r="G140" s="3">
        <v>10343</v>
      </c>
    </row>
    <row r="141" spans="1:7" ht="15.75" customHeight="1">
      <c r="A141" s="4">
        <v>45768</v>
      </c>
      <c r="B141" s="1" t="s">
        <v>24</v>
      </c>
      <c r="C141" s="3">
        <v>747</v>
      </c>
      <c r="D141" s="3">
        <v>261</v>
      </c>
      <c r="E141" s="3">
        <v>338650</v>
      </c>
      <c r="F141" s="3">
        <v>7.73</v>
      </c>
      <c r="G141" s="3">
        <v>25259</v>
      </c>
    </row>
    <row r="142" spans="1:7" ht="15.75" customHeight="1">
      <c r="A142" s="4">
        <v>45768</v>
      </c>
      <c r="B142" s="1" t="s">
        <v>31</v>
      </c>
      <c r="C142" s="3">
        <v>1113</v>
      </c>
      <c r="D142" s="3">
        <v>224</v>
      </c>
      <c r="E142" s="3">
        <v>272989</v>
      </c>
      <c r="F142" s="3">
        <v>5.13</v>
      </c>
      <c r="G142" s="3">
        <v>24827</v>
      </c>
    </row>
    <row r="143" spans="1:7" ht="15.75" customHeight="1">
      <c r="A143" s="4">
        <v>45775</v>
      </c>
      <c r="B143" s="1" t="s">
        <v>14</v>
      </c>
      <c r="C143" s="3">
        <v>1100</v>
      </c>
      <c r="D143" s="3">
        <v>117</v>
      </c>
      <c r="E143" s="3">
        <v>260204</v>
      </c>
      <c r="F143" s="3">
        <v>4.4000000000000004</v>
      </c>
      <c r="G143" s="3">
        <v>11908</v>
      </c>
    </row>
    <row r="144" spans="1:7" ht="15.75" customHeight="1">
      <c r="A144" s="4">
        <v>45775</v>
      </c>
      <c r="B144" s="1" t="s">
        <v>24</v>
      </c>
      <c r="C144" s="3">
        <v>751</v>
      </c>
      <c r="D144" s="3">
        <v>170</v>
      </c>
      <c r="E144" s="3">
        <v>283278</v>
      </c>
      <c r="F144" s="3">
        <v>3.49</v>
      </c>
      <c r="G144" s="3">
        <v>11005</v>
      </c>
    </row>
    <row r="145" spans="1:7" ht="15.75" customHeight="1">
      <c r="A145" s="4">
        <v>45775</v>
      </c>
      <c r="B145" s="1" t="s">
        <v>31</v>
      </c>
      <c r="C145" s="3">
        <v>864</v>
      </c>
      <c r="D145" s="3">
        <v>50</v>
      </c>
      <c r="E145" s="3">
        <v>277445</v>
      </c>
      <c r="F145" s="3">
        <v>3.57</v>
      </c>
      <c r="G145" s="3">
        <v>26333</v>
      </c>
    </row>
    <row r="146" spans="1:7" ht="15.75" customHeight="1">
      <c r="A146" s="4">
        <v>45782</v>
      </c>
      <c r="B146" s="1" t="s">
        <v>14</v>
      </c>
      <c r="C146" s="3">
        <v>1146</v>
      </c>
      <c r="D146" s="3">
        <v>227</v>
      </c>
      <c r="E146" s="3">
        <v>353781</v>
      </c>
      <c r="F146" s="3">
        <v>6.41</v>
      </c>
      <c r="G146" s="3">
        <v>5495</v>
      </c>
    </row>
    <row r="147" spans="1:7" ht="15.75" customHeight="1">
      <c r="A147" s="4">
        <v>45782</v>
      </c>
      <c r="B147" s="1" t="s">
        <v>24</v>
      </c>
      <c r="C147" s="3">
        <v>883</v>
      </c>
      <c r="D147" s="3">
        <v>207</v>
      </c>
      <c r="E147" s="3">
        <v>265019</v>
      </c>
      <c r="F147" s="3">
        <v>6.04</v>
      </c>
      <c r="G147" s="3">
        <v>15655</v>
      </c>
    </row>
    <row r="148" spans="1:7" ht="15.75" customHeight="1">
      <c r="A148" s="4">
        <v>45782</v>
      </c>
      <c r="B148" s="1" t="s">
        <v>31</v>
      </c>
      <c r="C148" s="3">
        <v>622</v>
      </c>
      <c r="D148" s="3">
        <v>163</v>
      </c>
      <c r="E148" s="3">
        <v>231925</v>
      </c>
      <c r="F148" s="3">
        <v>9.18</v>
      </c>
      <c r="G148" s="3">
        <v>13763</v>
      </c>
    </row>
    <row r="149" spans="1:7" ht="15.75" customHeight="1">
      <c r="A149" s="4">
        <v>45789</v>
      </c>
      <c r="B149" s="1" t="s">
        <v>14</v>
      </c>
      <c r="C149" s="3">
        <v>837</v>
      </c>
      <c r="D149" s="3">
        <v>261</v>
      </c>
      <c r="E149" s="3">
        <v>366149</v>
      </c>
      <c r="F149" s="3">
        <v>6.54</v>
      </c>
      <c r="G149" s="3">
        <v>26073</v>
      </c>
    </row>
    <row r="150" spans="1:7" ht="15.75" customHeight="1">
      <c r="A150" s="4">
        <v>45789</v>
      </c>
      <c r="B150" s="1" t="s">
        <v>24</v>
      </c>
      <c r="C150" s="3">
        <v>544</v>
      </c>
      <c r="D150" s="3">
        <v>97</v>
      </c>
      <c r="E150" s="3">
        <v>168375</v>
      </c>
      <c r="F150" s="3">
        <v>8.66</v>
      </c>
      <c r="G150" s="3">
        <v>12774</v>
      </c>
    </row>
    <row r="151" spans="1:7" ht="15.75" customHeight="1">
      <c r="A151" s="4">
        <v>45789</v>
      </c>
      <c r="B151" s="1" t="s">
        <v>31</v>
      </c>
      <c r="C151" s="3">
        <v>624</v>
      </c>
      <c r="D151" s="3">
        <v>247</v>
      </c>
      <c r="E151" s="3">
        <v>252763</v>
      </c>
      <c r="F151" s="3">
        <v>3.89</v>
      </c>
      <c r="G151" s="3">
        <v>19000</v>
      </c>
    </row>
    <row r="152" spans="1:7" ht="15.75" customHeight="1">
      <c r="A152" s="4">
        <v>45796</v>
      </c>
      <c r="B152" s="1" t="s">
        <v>14</v>
      </c>
      <c r="C152" s="3">
        <v>1073</v>
      </c>
      <c r="D152" s="3">
        <v>141</v>
      </c>
      <c r="E152" s="3">
        <v>118393</v>
      </c>
      <c r="F152" s="3">
        <v>7.95</v>
      </c>
      <c r="G152" s="3">
        <v>14051</v>
      </c>
    </row>
    <row r="153" spans="1:7" ht="15.75" customHeight="1">
      <c r="A153" s="4">
        <v>45796</v>
      </c>
      <c r="B153" s="1" t="s">
        <v>24</v>
      </c>
      <c r="C153" s="3">
        <v>1430</v>
      </c>
      <c r="D153" s="3">
        <v>74</v>
      </c>
      <c r="E153" s="3">
        <v>327012</v>
      </c>
      <c r="F153" s="3">
        <v>6.66</v>
      </c>
      <c r="G153" s="3">
        <v>27782</v>
      </c>
    </row>
    <row r="154" spans="1:7" ht="15.75" customHeight="1">
      <c r="A154" s="4">
        <v>45796</v>
      </c>
      <c r="B154" s="1" t="s">
        <v>31</v>
      </c>
      <c r="C154" s="3">
        <v>1358</v>
      </c>
      <c r="D154" s="3">
        <v>77</v>
      </c>
      <c r="E154" s="3">
        <v>169688</v>
      </c>
      <c r="F154" s="3">
        <v>5.25</v>
      </c>
      <c r="G154" s="3">
        <v>7859</v>
      </c>
    </row>
    <row r="155" spans="1:7" ht="15.75" customHeight="1">
      <c r="A155" s="4">
        <v>45803</v>
      </c>
      <c r="B155" s="1" t="s">
        <v>14</v>
      </c>
      <c r="C155" s="3">
        <v>1242</v>
      </c>
      <c r="D155" s="3">
        <v>201</v>
      </c>
      <c r="E155" s="3">
        <v>271935</v>
      </c>
      <c r="F155" s="3">
        <v>5.07</v>
      </c>
      <c r="G155" s="3">
        <v>15773</v>
      </c>
    </row>
    <row r="156" spans="1:7" ht="15.75" customHeight="1">
      <c r="A156" s="4">
        <v>45803</v>
      </c>
      <c r="B156" s="1" t="s">
        <v>24</v>
      </c>
      <c r="C156" s="3">
        <v>1389</v>
      </c>
      <c r="D156" s="3">
        <v>205</v>
      </c>
      <c r="E156" s="3">
        <v>315981</v>
      </c>
      <c r="F156" s="3">
        <v>7.62</v>
      </c>
      <c r="G156" s="3">
        <v>20595</v>
      </c>
    </row>
    <row r="157" spans="1:7" ht="15.75" customHeight="1">
      <c r="A157" s="4">
        <v>45803</v>
      </c>
      <c r="B157" s="1" t="s">
        <v>31</v>
      </c>
      <c r="C157" s="3">
        <v>826</v>
      </c>
      <c r="D157" s="3">
        <v>142</v>
      </c>
      <c r="E157" s="3">
        <v>341016</v>
      </c>
      <c r="F157" s="3">
        <v>7.44</v>
      </c>
      <c r="G157" s="3">
        <v>12031</v>
      </c>
    </row>
    <row r="158" spans="1:7" ht="15.75" customHeight="1">
      <c r="A158" s="4">
        <v>45810</v>
      </c>
      <c r="B158" s="1" t="s">
        <v>14</v>
      </c>
      <c r="C158" s="3">
        <v>618</v>
      </c>
      <c r="D158" s="3">
        <v>264</v>
      </c>
      <c r="E158" s="3">
        <v>285164</v>
      </c>
      <c r="F158" s="3">
        <v>4.8600000000000003</v>
      </c>
      <c r="G158" s="3">
        <v>15128</v>
      </c>
    </row>
    <row r="159" spans="1:7" ht="15.75" customHeight="1">
      <c r="A159" s="4">
        <v>45810</v>
      </c>
      <c r="B159" s="1" t="s">
        <v>24</v>
      </c>
      <c r="C159" s="3">
        <v>1419</v>
      </c>
      <c r="D159" s="3">
        <v>293</v>
      </c>
      <c r="E159" s="3">
        <v>116632</v>
      </c>
      <c r="F159" s="3">
        <v>6.93</v>
      </c>
      <c r="G159" s="3">
        <v>11826</v>
      </c>
    </row>
    <row r="160" spans="1:7" ht="15.75" customHeight="1">
      <c r="A160" s="4">
        <v>45810</v>
      </c>
      <c r="B160" s="1" t="s">
        <v>31</v>
      </c>
      <c r="C160" s="3">
        <v>637</v>
      </c>
      <c r="D160" s="3">
        <v>68</v>
      </c>
      <c r="E160" s="3">
        <v>115694</v>
      </c>
      <c r="F160" s="3">
        <v>9.99</v>
      </c>
      <c r="G160" s="3">
        <v>12562</v>
      </c>
    </row>
    <row r="161" spans="1:7" ht="15.75" customHeight="1">
      <c r="A161" s="4">
        <v>45817</v>
      </c>
      <c r="B161" s="1" t="s">
        <v>14</v>
      </c>
      <c r="C161" s="3">
        <v>917</v>
      </c>
      <c r="D161" s="3">
        <v>187</v>
      </c>
      <c r="E161" s="3">
        <v>64444</v>
      </c>
      <c r="F161" s="3">
        <v>5.22</v>
      </c>
      <c r="G161" s="3">
        <v>13013</v>
      </c>
    </row>
    <row r="162" spans="1:7" ht="15.75" customHeight="1">
      <c r="A162" s="4">
        <v>45817</v>
      </c>
      <c r="B162" s="1" t="s">
        <v>24</v>
      </c>
      <c r="C162" s="3">
        <v>810</v>
      </c>
      <c r="D162" s="3">
        <v>232</v>
      </c>
      <c r="E162" s="3">
        <v>362559</v>
      </c>
      <c r="F162" s="3">
        <v>5.17</v>
      </c>
      <c r="G162" s="3">
        <v>12937</v>
      </c>
    </row>
    <row r="163" spans="1:7" ht="15.75" customHeight="1">
      <c r="A163" s="4">
        <v>45817</v>
      </c>
      <c r="B163" s="1" t="s">
        <v>31</v>
      </c>
      <c r="C163" s="3">
        <v>1183</v>
      </c>
      <c r="D163" s="3">
        <v>248</v>
      </c>
      <c r="E163" s="3">
        <v>226881</v>
      </c>
      <c r="F163" s="3">
        <v>5.17</v>
      </c>
      <c r="G163" s="3">
        <v>14534</v>
      </c>
    </row>
    <row r="164" spans="1:7" ht="15.75" customHeight="1">
      <c r="A164" s="4">
        <v>45824</v>
      </c>
      <c r="B164" s="1" t="s">
        <v>14</v>
      </c>
      <c r="C164" s="3">
        <v>765</v>
      </c>
      <c r="D164" s="3">
        <v>67</v>
      </c>
      <c r="E164" s="3">
        <v>283537</v>
      </c>
      <c r="F164" s="3">
        <v>6.18</v>
      </c>
      <c r="G164" s="3">
        <v>8182</v>
      </c>
    </row>
    <row r="165" spans="1:7" ht="15.75" customHeight="1">
      <c r="A165" s="4">
        <v>45824</v>
      </c>
      <c r="B165" s="1" t="s">
        <v>24</v>
      </c>
      <c r="C165" s="3">
        <v>540</v>
      </c>
      <c r="D165" s="3">
        <v>215</v>
      </c>
      <c r="E165" s="3">
        <v>62837</v>
      </c>
      <c r="F165" s="3">
        <v>5.3</v>
      </c>
      <c r="G165" s="3">
        <v>10615</v>
      </c>
    </row>
    <row r="166" spans="1:7" ht="15.75" customHeight="1">
      <c r="A166" s="4">
        <v>45824</v>
      </c>
      <c r="B166" s="1" t="s">
        <v>31</v>
      </c>
      <c r="C166" s="3">
        <v>1145</v>
      </c>
      <c r="D166" s="3">
        <v>151</v>
      </c>
      <c r="E166" s="3">
        <v>182759</v>
      </c>
      <c r="F166" s="3">
        <v>5.99</v>
      </c>
      <c r="G166" s="3">
        <v>20109</v>
      </c>
    </row>
    <row r="167" spans="1:7" ht="15.75" customHeight="1">
      <c r="A167" s="4">
        <v>45831</v>
      </c>
      <c r="B167" s="1" t="s">
        <v>14</v>
      </c>
      <c r="C167" s="3">
        <v>564</v>
      </c>
      <c r="D167" s="3">
        <v>244</v>
      </c>
      <c r="E167" s="3">
        <v>279405</v>
      </c>
      <c r="F167" s="3">
        <v>8.43</v>
      </c>
      <c r="G167" s="3">
        <v>26024</v>
      </c>
    </row>
    <row r="168" spans="1:7" ht="15.75" customHeight="1">
      <c r="A168" s="4">
        <v>45831</v>
      </c>
      <c r="B168" s="1" t="s">
        <v>24</v>
      </c>
      <c r="C168" s="3">
        <v>668</v>
      </c>
      <c r="D168" s="3">
        <v>124</v>
      </c>
      <c r="E168" s="3">
        <v>257485</v>
      </c>
      <c r="F168" s="3">
        <v>7.55</v>
      </c>
      <c r="G168" s="3">
        <v>26730</v>
      </c>
    </row>
    <row r="169" spans="1:7" ht="15.75" customHeight="1">
      <c r="A169" s="4">
        <v>45831</v>
      </c>
      <c r="B169" s="1" t="s">
        <v>31</v>
      </c>
      <c r="C169" s="3">
        <v>761</v>
      </c>
      <c r="D169" s="3">
        <v>241</v>
      </c>
      <c r="E169" s="3">
        <v>154977</v>
      </c>
      <c r="F169" s="3">
        <v>5.63</v>
      </c>
      <c r="G169" s="3">
        <v>10563</v>
      </c>
    </row>
    <row r="170" spans="1:7" ht="15.75" customHeight="1">
      <c r="A170" s="4">
        <v>45838</v>
      </c>
      <c r="B170" s="1" t="s">
        <v>14</v>
      </c>
      <c r="C170" s="3">
        <v>593</v>
      </c>
      <c r="D170" s="3">
        <v>108</v>
      </c>
      <c r="E170" s="3">
        <v>216500</v>
      </c>
      <c r="F170" s="3">
        <v>4.71</v>
      </c>
      <c r="G170" s="3">
        <v>27575</v>
      </c>
    </row>
    <row r="171" spans="1:7" ht="15.75" customHeight="1">
      <c r="A171" s="4">
        <v>45838</v>
      </c>
      <c r="B171" s="1" t="s">
        <v>24</v>
      </c>
      <c r="C171" s="3">
        <v>1349</v>
      </c>
      <c r="D171" s="3">
        <v>115</v>
      </c>
      <c r="E171" s="3">
        <v>102102</v>
      </c>
      <c r="F171" s="3">
        <v>5.28</v>
      </c>
      <c r="G171" s="3">
        <v>14479</v>
      </c>
    </row>
    <row r="172" spans="1:7" ht="15.75" customHeight="1">
      <c r="A172" s="4">
        <v>45838</v>
      </c>
      <c r="B172" s="1" t="s">
        <v>31</v>
      </c>
      <c r="C172" s="3">
        <v>693</v>
      </c>
      <c r="D172" s="3">
        <v>97</v>
      </c>
      <c r="E172" s="3">
        <v>92025</v>
      </c>
      <c r="F172" s="3">
        <v>5.95</v>
      </c>
      <c r="G172" s="3">
        <v>15915</v>
      </c>
    </row>
    <row r="173" spans="1:7" ht="15.75" customHeight="1">
      <c r="A173" s="4">
        <v>45845</v>
      </c>
      <c r="B173" s="1" t="s">
        <v>14</v>
      </c>
      <c r="C173" s="3">
        <v>974</v>
      </c>
      <c r="D173" s="3">
        <v>143</v>
      </c>
      <c r="E173" s="3">
        <v>247965</v>
      </c>
      <c r="F173" s="3">
        <v>9.98</v>
      </c>
      <c r="G173" s="3">
        <v>12767</v>
      </c>
    </row>
    <row r="174" spans="1:7" ht="15.75" customHeight="1">
      <c r="A174" s="4">
        <v>45845</v>
      </c>
      <c r="B174" s="1" t="s">
        <v>24</v>
      </c>
      <c r="C174" s="3">
        <v>1155</v>
      </c>
      <c r="D174" s="3">
        <v>122</v>
      </c>
      <c r="E174" s="3">
        <v>387352</v>
      </c>
      <c r="F174" s="3">
        <v>9.93</v>
      </c>
      <c r="G174" s="3">
        <v>12170</v>
      </c>
    </row>
    <row r="175" spans="1:7" ht="15.75" customHeight="1">
      <c r="A175" s="4">
        <v>45845</v>
      </c>
      <c r="B175" s="1" t="s">
        <v>31</v>
      </c>
      <c r="C175" s="3">
        <v>1051</v>
      </c>
      <c r="D175" s="3">
        <v>246</v>
      </c>
      <c r="E175" s="3">
        <v>253985</v>
      </c>
      <c r="F175" s="3">
        <v>9.08</v>
      </c>
      <c r="G175" s="3">
        <v>7245</v>
      </c>
    </row>
    <row r="176" spans="1:7" ht="15.75" customHeight="1">
      <c r="A176" s="4">
        <v>45852</v>
      </c>
      <c r="B176" s="1" t="s">
        <v>14</v>
      </c>
      <c r="C176" s="3">
        <v>1457</v>
      </c>
      <c r="D176" s="3">
        <v>183</v>
      </c>
      <c r="E176" s="3">
        <v>129640</v>
      </c>
      <c r="F176" s="3">
        <v>7.98</v>
      </c>
      <c r="G176" s="3">
        <v>12985</v>
      </c>
    </row>
    <row r="177" spans="1:7" ht="15.75" customHeight="1">
      <c r="A177" s="4">
        <v>45852</v>
      </c>
      <c r="B177" s="1" t="s">
        <v>24</v>
      </c>
      <c r="C177" s="3">
        <v>670</v>
      </c>
      <c r="D177" s="3">
        <v>242</v>
      </c>
      <c r="E177" s="3">
        <v>281913</v>
      </c>
      <c r="F177" s="3">
        <v>9.6199999999999992</v>
      </c>
      <c r="G177" s="3">
        <v>16377</v>
      </c>
    </row>
    <row r="178" spans="1:7" ht="15.75" customHeight="1">
      <c r="A178" s="4">
        <v>45852</v>
      </c>
      <c r="B178" s="1" t="s">
        <v>31</v>
      </c>
      <c r="C178" s="3">
        <v>1111</v>
      </c>
      <c r="D178" s="3">
        <v>159</v>
      </c>
      <c r="E178" s="3">
        <v>360770</v>
      </c>
      <c r="F178" s="3">
        <v>8.7100000000000009</v>
      </c>
      <c r="G178" s="3">
        <v>11453</v>
      </c>
    </row>
    <row r="179" spans="1:7" ht="15.75" customHeight="1">
      <c r="A179" s="4">
        <v>45859</v>
      </c>
      <c r="B179" s="1" t="s">
        <v>14</v>
      </c>
      <c r="C179" s="3">
        <v>1197</v>
      </c>
      <c r="D179" s="3">
        <v>246</v>
      </c>
      <c r="E179" s="3">
        <v>127273</v>
      </c>
      <c r="F179" s="3">
        <v>6.69</v>
      </c>
      <c r="G179" s="3">
        <v>12323</v>
      </c>
    </row>
    <row r="180" spans="1:7" ht="15.75" customHeight="1">
      <c r="A180" s="4">
        <v>45859</v>
      </c>
      <c r="B180" s="1" t="s">
        <v>24</v>
      </c>
      <c r="C180" s="3">
        <v>754</v>
      </c>
      <c r="D180" s="3">
        <v>150</v>
      </c>
      <c r="E180" s="3">
        <v>189622</v>
      </c>
      <c r="F180" s="3">
        <v>4.25</v>
      </c>
      <c r="G180" s="3">
        <v>11911</v>
      </c>
    </row>
    <row r="181" spans="1:7" ht="15.75" customHeight="1">
      <c r="A181" s="4">
        <v>45859</v>
      </c>
      <c r="B181" s="1" t="s">
        <v>31</v>
      </c>
      <c r="C181" s="3">
        <v>1246</v>
      </c>
      <c r="D181" s="3">
        <v>107</v>
      </c>
      <c r="E181" s="3">
        <v>350949</v>
      </c>
      <c r="F181" s="3">
        <v>4.9800000000000004</v>
      </c>
      <c r="G181" s="3">
        <v>27809</v>
      </c>
    </row>
    <row r="182" spans="1:7" ht="15.75" customHeight="1">
      <c r="A182" s="4">
        <v>45866</v>
      </c>
      <c r="B182" s="1" t="s">
        <v>14</v>
      </c>
      <c r="C182" s="3">
        <v>780</v>
      </c>
      <c r="D182" s="3">
        <v>213</v>
      </c>
      <c r="E182" s="3">
        <v>121431</v>
      </c>
      <c r="F182" s="3">
        <v>4.97</v>
      </c>
      <c r="G182" s="3">
        <v>21464</v>
      </c>
    </row>
    <row r="183" spans="1:7" ht="15.75" customHeight="1">
      <c r="A183" s="4">
        <v>45866</v>
      </c>
      <c r="B183" s="1" t="s">
        <v>24</v>
      </c>
      <c r="C183" s="3">
        <v>1425</v>
      </c>
      <c r="D183" s="3">
        <v>143</v>
      </c>
      <c r="E183" s="3">
        <v>116742</v>
      </c>
      <c r="F183" s="3">
        <v>3.71</v>
      </c>
      <c r="G183" s="3">
        <v>27126</v>
      </c>
    </row>
    <row r="184" spans="1:7" ht="15.75" customHeight="1">
      <c r="A184" s="4">
        <v>45866</v>
      </c>
      <c r="B184" s="1" t="s">
        <v>31</v>
      </c>
      <c r="C184" s="3">
        <v>1490</v>
      </c>
      <c r="D184" s="3">
        <v>103</v>
      </c>
      <c r="E184" s="3">
        <v>81184</v>
      </c>
      <c r="F184" s="3">
        <v>7.79</v>
      </c>
      <c r="G184" s="3">
        <v>10681</v>
      </c>
    </row>
    <row r="185" spans="1:7" ht="15.75" customHeight="1">
      <c r="A185" s="4">
        <v>45873</v>
      </c>
      <c r="B185" s="1" t="s">
        <v>14</v>
      </c>
      <c r="C185" s="3">
        <v>949</v>
      </c>
      <c r="D185" s="3">
        <v>282</v>
      </c>
      <c r="E185" s="3">
        <v>87126</v>
      </c>
      <c r="F185" s="3">
        <v>4.96</v>
      </c>
      <c r="G185" s="3">
        <v>5413</v>
      </c>
    </row>
    <row r="186" spans="1:7" ht="15.75" customHeight="1">
      <c r="A186" s="4">
        <v>45873</v>
      </c>
      <c r="B186" s="1" t="s">
        <v>24</v>
      </c>
      <c r="C186" s="3">
        <v>640</v>
      </c>
      <c r="D186" s="3">
        <v>141</v>
      </c>
      <c r="E186" s="3">
        <v>267546</v>
      </c>
      <c r="F186" s="3">
        <v>8.58</v>
      </c>
      <c r="G186" s="3">
        <v>25058</v>
      </c>
    </row>
    <row r="187" spans="1:7" ht="15.75" customHeight="1">
      <c r="A187" s="4">
        <v>45873</v>
      </c>
      <c r="B187" s="1" t="s">
        <v>31</v>
      </c>
      <c r="C187" s="3">
        <v>616</v>
      </c>
      <c r="D187" s="3">
        <v>93</v>
      </c>
      <c r="E187" s="3">
        <v>133082</v>
      </c>
      <c r="F187" s="3">
        <v>8.51</v>
      </c>
      <c r="G187" s="3">
        <v>18303</v>
      </c>
    </row>
    <row r="188" spans="1:7" ht="15.75" customHeight="1">
      <c r="A188" s="4">
        <v>45880</v>
      </c>
      <c r="B188" s="1" t="s">
        <v>14</v>
      </c>
      <c r="C188" s="3">
        <v>1080</v>
      </c>
      <c r="D188" s="3">
        <v>184</v>
      </c>
      <c r="E188" s="3">
        <v>340557</v>
      </c>
      <c r="F188" s="3">
        <v>5.41</v>
      </c>
      <c r="G188" s="3">
        <v>5526</v>
      </c>
    </row>
    <row r="189" spans="1:7" ht="15.75" customHeight="1">
      <c r="A189" s="4">
        <v>45880</v>
      </c>
      <c r="B189" s="1" t="s">
        <v>24</v>
      </c>
      <c r="C189" s="3">
        <v>938</v>
      </c>
      <c r="D189" s="3">
        <v>236</v>
      </c>
      <c r="E189" s="3">
        <v>116472</v>
      </c>
      <c r="F189" s="3">
        <v>8.7200000000000006</v>
      </c>
      <c r="G189" s="3">
        <v>17460</v>
      </c>
    </row>
    <row r="190" spans="1:7" ht="15.75" customHeight="1">
      <c r="A190" s="4">
        <v>45880</v>
      </c>
      <c r="B190" s="1" t="s">
        <v>31</v>
      </c>
      <c r="C190" s="3">
        <v>1007</v>
      </c>
      <c r="D190" s="3">
        <v>258</v>
      </c>
      <c r="E190" s="3">
        <v>113412</v>
      </c>
      <c r="F190" s="3">
        <v>7.71</v>
      </c>
      <c r="G190" s="3">
        <v>14475</v>
      </c>
    </row>
    <row r="191" spans="1:7" ht="15.75" customHeight="1">
      <c r="A191" s="4">
        <v>45887</v>
      </c>
      <c r="B191" s="1" t="s">
        <v>14</v>
      </c>
      <c r="C191" s="3">
        <v>541</v>
      </c>
      <c r="D191" s="3">
        <v>208</v>
      </c>
      <c r="E191" s="3">
        <v>157547</v>
      </c>
      <c r="F191" s="3">
        <v>8.35</v>
      </c>
      <c r="G191" s="3">
        <v>20162</v>
      </c>
    </row>
    <row r="192" spans="1:7" ht="15.75" customHeight="1">
      <c r="A192" s="4">
        <v>45887</v>
      </c>
      <c r="B192" s="1" t="s">
        <v>24</v>
      </c>
      <c r="C192" s="3">
        <v>745</v>
      </c>
      <c r="D192" s="3">
        <v>98</v>
      </c>
      <c r="E192" s="3">
        <v>354816</v>
      </c>
      <c r="F192" s="3">
        <v>4.03</v>
      </c>
      <c r="G192" s="3">
        <v>17103</v>
      </c>
    </row>
    <row r="193" spans="1:7" ht="15.75" customHeight="1">
      <c r="A193" s="4">
        <v>45887</v>
      </c>
      <c r="B193" s="1" t="s">
        <v>31</v>
      </c>
      <c r="C193" s="3">
        <v>936</v>
      </c>
      <c r="D193" s="3">
        <v>97</v>
      </c>
      <c r="E193" s="3">
        <v>151799</v>
      </c>
      <c r="F193" s="3">
        <v>9.3699999999999992</v>
      </c>
      <c r="G193" s="3">
        <v>15461</v>
      </c>
    </row>
    <row r="194" spans="1:7" ht="15.75" customHeight="1">
      <c r="A194" s="4">
        <v>45894</v>
      </c>
      <c r="B194" s="1" t="s">
        <v>14</v>
      </c>
      <c r="C194" s="3">
        <v>1183</v>
      </c>
      <c r="D194" s="3">
        <v>223</v>
      </c>
      <c r="E194" s="3">
        <v>143811</v>
      </c>
      <c r="F194" s="3">
        <v>6.07</v>
      </c>
      <c r="G194" s="3">
        <v>22103</v>
      </c>
    </row>
    <row r="195" spans="1:7" ht="15.75" customHeight="1">
      <c r="A195" s="4">
        <v>45894</v>
      </c>
      <c r="B195" s="1" t="s">
        <v>24</v>
      </c>
      <c r="C195" s="3">
        <v>1413</v>
      </c>
      <c r="D195" s="3">
        <v>245</v>
      </c>
      <c r="E195" s="3">
        <v>296450</v>
      </c>
      <c r="F195" s="3">
        <v>6.52</v>
      </c>
      <c r="G195" s="3">
        <v>11625</v>
      </c>
    </row>
    <row r="196" spans="1:7" ht="15.75" customHeight="1">
      <c r="A196" s="4">
        <v>45894</v>
      </c>
      <c r="B196" s="1" t="s">
        <v>31</v>
      </c>
      <c r="C196" s="3">
        <v>791</v>
      </c>
      <c r="D196" s="3">
        <v>273</v>
      </c>
      <c r="E196" s="3">
        <v>144049</v>
      </c>
      <c r="F196" s="3">
        <v>3.08</v>
      </c>
      <c r="G196" s="3">
        <v>5281</v>
      </c>
    </row>
    <row r="197" spans="1:7" ht="15.75" customHeight="1">
      <c r="A197" s="4">
        <v>45901</v>
      </c>
      <c r="B197" s="1" t="s">
        <v>14</v>
      </c>
      <c r="C197" s="3">
        <v>1052</v>
      </c>
      <c r="D197" s="3">
        <v>180</v>
      </c>
      <c r="E197" s="3">
        <v>272534</v>
      </c>
      <c r="F197" s="3">
        <v>5.34</v>
      </c>
      <c r="G197" s="3">
        <v>13424</v>
      </c>
    </row>
    <row r="198" spans="1:7" ht="15.75" customHeight="1">
      <c r="A198" s="4">
        <v>45901</v>
      </c>
      <c r="B198" s="1" t="s">
        <v>24</v>
      </c>
      <c r="C198" s="3">
        <v>572</v>
      </c>
      <c r="D198" s="3">
        <v>270</v>
      </c>
      <c r="E198" s="3">
        <v>82265</v>
      </c>
      <c r="F198" s="3">
        <v>3.65</v>
      </c>
      <c r="G198" s="3">
        <v>13140</v>
      </c>
    </row>
    <row r="199" spans="1:7" ht="15.75" customHeight="1">
      <c r="A199" s="4">
        <v>45901</v>
      </c>
      <c r="B199" s="1" t="s">
        <v>31</v>
      </c>
      <c r="C199" s="3">
        <v>503</v>
      </c>
      <c r="D199" s="3">
        <v>253</v>
      </c>
      <c r="E199" s="3">
        <v>313562</v>
      </c>
      <c r="F199" s="3">
        <v>4.18</v>
      </c>
      <c r="G199" s="3">
        <v>19538</v>
      </c>
    </row>
    <row r="200" spans="1:7" ht="15.75" customHeight="1">
      <c r="A200" s="4">
        <v>45908</v>
      </c>
      <c r="B200" s="1" t="s">
        <v>14</v>
      </c>
      <c r="C200" s="3">
        <v>1017</v>
      </c>
      <c r="D200" s="3">
        <v>197</v>
      </c>
      <c r="E200" s="3">
        <v>89918</v>
      </c>
      <c r="F200" s="3">
        <v>3.91</v>
      </c>
      <c r="G200" s="3">
        <v>7881</v>
      </c>
    </row>
    <row r="201" spans="1:7" ht="15.75" customHeight="1">
      <c r="A201" s="4">
        <v>45908</v>
      </c>
      <c r="B201" s="1" t="s">
        <v>24</v>
      </c>
      <c r="C201" s="3">
        <v>860</v>
      </c>
      <c r="D201" s="3">
        <v>244</v>
      </c>
      <c r="E201" s="3">
        <v>348686</v>
      </c>
      <c r="F201" s="3">
        <v>5.12</v>
      </c>
      <c r="G201" s="3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G1000"/>
  <sheetViews>
    <sheetView workbookViewId="0"/>
  </sheetViews>
  <sheetFormatPr defaultColWidth="14.44140625" defaultRowHeight="15" customHeight="1"/>
  <cols>
    <col min="1" max="26" width="8.6640625" customWidth="1"/>
  </cols>
  <sheetData>
    <row r="1" spans="1:7" ht="14.4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 spans="1:7" ht="14.4">
      <c r="A2" s="6" t="s">
        <v>59</v>
      </c>
      <c r="B2" s="6" t="s">
        <v>353</v>
      </c>
      <c r="C2" s="6" t="s">
        <v>354</v>
      </c>
      <c r="D2" s="6" t="s">
        <v>355</v>
      </c>
      <c r="E2" s="6">
        <v>175000</v>
      </c>
      <c r="F2" s="6" t="s">
        <v>356</v>
      </c>
      <c r="G2" s="6" t="s">
        <v>357</v>
      </c>
    </row>
    <row r="3" spans="1:7" ht="14.4">
      <c r="A3" s="6" t="s">
        <v>55</v>
      </c>
      <c r="B3" s="6" t="s">
        <v>358</v>
      </c>
      <c r="C3" s="6" t="s">
        <v>359</v>
      </c>
      <c r="D3" s="6" t="s">
        <v>360</v>
      </c>
      <c r="E3" s="6">
        <v>225000</v>
      </c>
      <c r="F3" s="6" t="s">
        <v>361</v>
      </c>
      <c r="G3" s="6" t="s">
        <v>362</v>
      </c>
    </row>
    <row r="4" spans="1:7" ht="14.4">
      <c r="A4" s="6" t="s">
        <v>18</v>
      </c>
      <c r="B4" s="6" t="s">
        <v>363</v>
      </c>
      <c r="C4" s="6" t="s">
        <v>364</v>
      </c>
      <c r="D4" s="6" t="s">
        <v>365</v>
      </c>
      <c r="E4" s="6">
        <v>200000</v>
      </c>
      <c r="F4" s="6" t="s">
        <v>366</v>
      </c>
      <c r="G4" s="6" t="s">
        <v>367</v>
      </c>
    </row>
    <row r="5" spans="1:7" ht="14.4">
      <c r="A5" s="6" t="s">
        <v>22</v>
      </c>
      <c r="B5" s="6" t="s">
        <v>368</v>
      </c>
      <c r="C5" s="6" t="s">
        <v>369</v>
      </c>
      <c r="D5" s="6" t="s">
        <v>370</v>
      </c>
      <c r="E5" s="6">
        <v>160000</v>
      </c>
      <c r="F5" s="6" t="s">
        <v>371</v>
      </c>
      <c r="G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8E43343-A38C-49A3-B7F3-96FB78979B27}">
  <ds:schemaRefs/>
</ds:datastoreItem>
</file>

<file path=customXml/itemProps2.xml><?xml version="1.0" encoding="utf-8"?>
<ds:datastoreItem xmlns:ds="http://schemas.openxmlformats.org/officeDocument/2006/customXml" ds:itemID="{053FC949-690B-4DD2-938A-FFF0335C5B91}">
  <ds:schemaRefs/>
</ds:datastoreItem>
</file>

<file path=customXml/itemProps3.xml><?xml version="1.0" encoding="utf-8"?>
<ds:datastoreItem xmlns:ds="http://schemas.openxmlformats.org/officeDocument/2006/customXml" ds:itemID="{41073452-7108-48EC-B71A-2CE9D6802720}">
  <ds:schemaRefs/>
</ds:datastoreItem>
</file>

<file path=customXml/itemProps4.xml><?xml version="1.0" encoding="utf-8"?>
<ds:datastoreItem xmlns:ds="http://schemas.openxmlformats.org/officeDocument/2006/customXml" ds:itemID="{0D0F4A89-E074-48CF-99C8-DA0B68F0EB75}">
  <ds:schemaRefs/>
</ds:datastoreItem>
</file>

<file path=customXml/itemProps5.xml><?xml version="1.0" encoding="utf-8"?>
<ds:datastoreItem xmlns:ds="http://schemas.openxmlformats.org/officeDocument/2006/customXml" ds:itemID="{0A2E8FB8-053E-4CDD-98D0-7ECAB7E6B98D}">
  <ds:schemaRefs/>
</ds:datastoreItem>
</file>

<file path=customXml/itemProps6.xml><?xml version="1.0" encoding="utf-8"?>
<ds:datastoreItem xmlns:ds="http://schemas.openxmlformats.org/officeDocument/2006/customXml" ds:itemID="{11F9F9D0-51CD-437C-9599-D7DEE70C6329}">
  <ds:schemaRefs/>
</ds:datastoreItem>
</file>

<file path=customXml/itemProps7.xml><?xml version="1.0" encoding="utf-8"?>
<ds:datastoreItem xmlns:ds="http://schemas.openxmlformats.org/officeDocument/2006/customXml" ds:itemID="{A9BE9A68-6F81-462E-BCDD-A6C1B365148A}">
  <ds:schemaRefs/>
</ds:datastoreItem>
</file>

<file path=customXml/itemProps8.xml><?xml version="1.0" encoding="utf-8"?>
<ds:datastoreItem xmlns:ds="http://schemas.openxmlformats.org/officeDocument/2006/customXml" ds:itemID="{224CF762-D9F9-425C-8166-20695C3F3D72}">
  <ds:schemaRefs/>
</ds:datastoreItem>
</file>

<file path=customXml/itemProps9.xml><?xml version="1.0" encoding="utf-8"?>
<ds:datastoreItem xmlns:ds="http://schemas.openxmlformats.org/officeDocument/2006/customXml" ds:itemID="{04F51870-CD38-4CFD-BFC4-E5F498CE787F}">
  <ds:schemaRefs/>
</ds:datastoreItem>
</file>

<file path=customXml/itemProps10.xml><?xml version="1.0" encoding="utf-8"?>
<ds:datastoreItem xmlns:ds="http://schemas.openxmlformats.org/officeDocument/2006/customXml" ds:itemID="{467B681E-8777-4DD7-9522-46E7DDB3D296}">
  <ds:schemaRefs/>
</ds:datastoreItem>
</file>

<file path=customXml/itemProps11.xml><?xml version="1.0" encoding="utf-8"?>
<ds:datastoreItem xmlns:ds="http://schemas.openxmlformats.org/officeDocument/2006/customXml" ds:itemID="{0391D906-FC6F-4A46-8FAA-F72BB158BE29}">
  <ds:schemaRefs/>
</ds:datastoreItem>
</file>

<file path=customXml/itemProps12.xml><?xml version="1.0" encoding="utf-8"?>
<ds:datastoreItem xmlns:ds="http://schemas.openxmlformats.org/officeDocument/2006/customXml" ds:itemID="{7A8EE824-0707-4AAC-A2E4-811021B29767}">
  <ds:schemaRefs/>
</ds:datastoreItem>
</file>

<file path=customXml/itemProps13.xml><?xml version="1.0" encoding="utf-8"?>
<ds:datastoreItem xmlns:ds="http://schemas.openxmlformats.org/officeDocument/2006/customXml" ds:itemID="{A930C666-ACC7-48EC-9884-598BE583BFEB}">
  <ds:schemaRefs/>
</ds:datastoreItem>
</file>

<file path=customXml/itemProps14.xml><?xml version="1.0" encoding="utf-8"?>
<ds:datastoreItem xmlns:ds="http://schemas.openxmlformats.org/officeDocument/2006/customXml" ds:itemID="{B3E6D069-17EB-4A5A-A1A5-1CFCCE3F3634}">
  <ds:schemaRefs/>
</ds:datastoreItem>
</file>

<file path=customXml/itemProps15.xml><?xml version="1.0" encoding="utf-8"?>
<ds:datastoreItem xmlns:ds="http://schemas.openxmlformats.org/officeDocument/2006/customXml" ds:itemID="{8E5BB62C-442D-40EF-A5A7-C7FB8140D35D}">
  <ds:schemaRefs/>
</ds:datastoreItem>
</file>

<file path=customXml/itemProps16.xml><?xml version="1.0" encoding="utf-8"?>
<ds:datastoreItem xmlns:ds="http://schemas.openxmlformats.org/officeDocument/2006/customXml" ds:itemID="{B5C1025A-CA55-4BC3-A474-EDB91EFF7BC8}">
  <ds:schemaRefs/>
</ds:datastoreItem>
</file>

<file path=customXml/itemProps17.xml><?xml version="1.0" encoding="utf-8"?>
<ds:datastoreItem xmlns:ds="http://schemas.openxmlformats.org/officeDocument/2006/customXml" ds:itemID="{0BB2B1BC-87EF-43B1-90B4-59090C01E13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Cleaned_post_Data</vt:lpstr>
      <vt:lpstr>Cleaned_Engagement_Data </vt:lpstr>
      <vt:lpstr> Highest Engagement </vt:lpstr>
      <vt:lpstr>Compare Weekly Follower</vt:lpstr>
      <vt:lpstr>Ad Spend vs Engagement</vt:lpstr>
      <vt:lpstr> Recommend Platform</vt:lpstr>
      <vt:lpstr>Raw_Posts</vt:lpstr>
      <vt:lpstr>Raw_Engagement </vt:lpstr>
      <vt:lpstr>Raw-Campaign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turka</dc:creator>
  <cp:lastModifiedBy>turkarnaveen8@gmail.com</cp:lastModifiedBy>
  <dcterms:created xsi:type="dcterms:W3CDTF">2026-02-01T13:18:53Z</dcterms:created>
  <dcterms:modified xsi:type="dcterms:W3CDTF">2026-02-25T18:08:01Z</dcterms:modified>
</cp:coreProperties>
</file>