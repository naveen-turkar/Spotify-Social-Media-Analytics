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Social Media Analytics for Strategic Branding\"/>
    </mc:Choice>
  </mc:AlternateContent>
  <xr:revisionPtr revIDLastSave="0" documentId="13_ncr:1_{C4494DFC-05FF-44D6-B6A2-5EB73FC118E3}" xr6:coauthVersionLast="47" xr6:coauthVersionMax="47" xr10:uidLastSave="{00000000-0000-0000-0000-000000000000}"/>
  <bookViews>
    <workbookView xWindow="-108" yWindow="-108" windowWidth="23256" windowHeight="12456" tabRatio="906" xr2:uid="{00000000-000D-0000-FFFF-FFFF00000000}"/>
  </bookViews>
  <sheets>
    <sheet name="Cleaned_Engagement_Data " sheetId="10" r:id="rId1"/>
    <sheet name="Cleaned_Campaign_Data" sheetId="8" r:id="rId2"/>
    <sheet name="Highest Net Follower Gain" sheetId="12" r:id="rId3"/>
    <sheet name="Moving average Chart" sheetId="13" r:id="rId4"/>
    <sheet name="Ad Spend vs Follower Growth" sheetId="18" r:id="rId5"/>
  </sheets>
  <definedNames>
    <definedName name="_xlnm._FilterDatabase" localSheetId="0" hidden="1">'Cleaned_Engagement_Data '!$A$1:$I$201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3" l="1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" i="10"/>
</calcChain>
</file>

<file path=xl/sharedStrings.xml><?xml version="1.0" encoding="utf-8"?>
<sst xmlns="http://schemas.openxmlformats.org/spreadsheetml/2006/main" count="258" uniqueCount="53">
  <si>
    <t>Platform</t>
  </si>
  <si>
    <t>Campaign_Name</t>
  </si>
  <si>
    <t>Instagram</t>
  </si>
  <si>
    <t>ChillVibes</t>
  </si>
  <si>
    <t>IndieWave</t>
  </si>
  <si>
    <t>Twitter</t>
  </si>
  <si>
    <t>YouTube</t>
  </si>
  <si>
    <t>Wrapped2024</t>
  </si>
  <si>
    <t>SummerBeats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</si>
  <si>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</si>
  <si>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</si>
  <si>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</si>
  <si>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</si>
  <si>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</si>
  <si>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</si>
  <si>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</si>
  <si>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</si>
  <si>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</si>
  <si>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</si>
  <si>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</si>
  <si>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</si>
  <si>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</si>
  <si>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</si>
  <si>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</si>
  <si>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</si>
  <si>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</si>
  <si>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</si>
  <si>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</si>
  <si>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</si>
  <si>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</si>
  <si>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</si>
  <si>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</si>
  <si>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</si>
  <si>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Grand Total</t>
  </si>
  <si>
    <t>Net follwer Gain</t>
  </si>
  <si>
    <t>Sum of Net follwer Gain</t>
  </si>
  <si>
    <t>Identify Week with Highest Net follower gain</t>
  </si>
  <si>
    <t>Task 6.1</t>
  </si>
  <si>
    <t>Week_start_Date</t>
  </si>
  <si>
    <t>Moving average 3week</t>
  </si>
  <si>
    <t>Moving average chart to analyze follower trends</t>
  </si>
  <si>
    <t>Task 6.2</t>
  </si>
  <si>
    <t>Correlation between Ad Spend vs. Follower Growth</t>
  </si>
  <si>
    <t>2. Moving average chart to analyze follower trends</t>
  </si>
  <si>
    <t xml:space="preserve"> 1. Identify Week with Highest Net follower gain</t>
  </si>
  <si>
    <t xml:space="preserve"> 3. Correlation between Ad Spend vs. Follower Growth</t>
  </si>
  <si>
    <r>
      <t xml:space="preserve">The Week starting </t>
    </r>
    <r>
      <rPr>
        <b/>
        <sz val="12"/>
        <rFont val="Calibri"/>
        <family val="2"/>
        <scheme val="minor"/>
      </rPr>
      <t>2024-11-04</t>
    </r>
    <r>
      <rPr>
        <sz val="12"/>
        <rFont val="Calibri"/>
        <family val="2"/>
        <scheme val="minor"/>
      </rPr>
      <t xml:space="preserve"> had the highest net follower gain</t>
    </r>
    <r>
      <rPr>
        <b/>
        <sz val="12"/>
        <rFont val="Calibri"/>
        <family val="2"/>
        <scheme val="minor"/>
      </rPr>
      <t>(3,576)</t>
    </r>
    <r>
      <rPr>
        <sz val="12"/>
        <rFont val="Calibri"/>
        <family val="2"/>
        <scheme val="minor"/>
      </rPr>
      <t xml:space="preserve"> ,Showing peak audience Growth during this period</t>
    </r>
  </si>
  <si>
    <t>The blue line shows the weekly net follower gain.It goes up and down every week.This means the number of new followers changes each week.</t>
  </si>
  <si>
    <t xml:space="preserve"> Blue Line</t>
  </si>
  <si>
    <t xml:space="preserve"> Red Line</t>
  </si>
  <si>
    <t>The red line shows the 3-week moving average.It makes the data smoother.It helps us see the overall trend clearly without too much fluctuation.</t>
  </si>
  <si>
    <t>The moving average chart shows weekly changes in followers and the overall trend. The net follower gain goes up and down each week. The 3-week moving average makes the data smooth and helps us see a stable growth trend over time.</t>
  </si>
  <si>
    <r>
      <t xml:space="preserve">The correlation between </t>
    </r>
    <r>
      <rPr>
        <b/>
        <sz val="12"/>
        <color theme="1"/>
        <rFont val="Calibri"/>
        <family val="2"/>
        <scheme val="minor"/>
      </rPr>
      <t>Ad spend</t>
    </r>
    <r>
      <rPr>
        <sz val="12"/>
        <color theme="1"/>
        <rFont val="Calibri"/>
        <family val="2"/>
        <scheme val="minor"/>
      </rPr>
      <t xml:space="preserve"> and </t>
    </r>
    <r>
      <rPr>
        <b/>
        <sz val="12"/>
        <color theme="1"/>
        <rFont val="Calibri"/>
        <family val="2"/>
        <scheme val="minor"/>
      </rPr>
      <t>follower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growth</t>
    </r>
    <r>
      <rPr>
        <sz val="12"/>
        <color theme="1"/>
        <rFont val="Calibri"/>
        <family val="2"/>
        <scheme val="minor"/>
      </rPr>
      <t xml:space="preserve"> is (</t>
    </r>
    <r>
      <rPr>
        <b/>
        <sz val="12"/>
        <color theme="1"/>
        <rFont val="Calibri"/>
        <family val="2"/>
        <scheme val="minor"/>
      </rPr>
      <t>-0.0169)</t>
    </r>
    <r>
      <rPr>
        <sz val="12"/>
        <color theme="1"/>
        <rFont val="Calibri"/>
        <family val="2"/>
        <scheme val="minor"/>
      </rPr>
      <t>.This value is very close to zero.It shows that there is almost no relationship between ad spend and follower growth. Increasing</t>
    </r>
    <r>
      <rPr>
        <b/>
        <sz val="12"/>
        <color theme="1"/>
        <rFont val="Calibri"/>
        <family val="2"/>
        <scheme val="minor"/>
      </rPr>
      <t xml:space="preserve"> Ad spend</t>
    </r>
    <r>
      <rPr>
        <sz val="12"/>
        <color theme="1"/>
        <rFont val="Calibri"/>
        <family val="2"/>
        <scheme val="minor"/>
      </rPr>
      <t xml:space="preserve"> does not strongly increase or decrease</t>
    </r>
    <r>
      <rPr>
        <b/>
        <sz val="12"/>
        <color theme="1"/>
        <rFont val="Calibri"/>
        <family val="2"/>
        <scheme val="minor"/>
      </rPr>
      <t xml:space="preserve"> follower growth.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</si>
</sst>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&quot;₹&quot;\ #,##0"/>
    <numFmt numFmtId="166" formatCode="0.00000"/>
    <numFmt numFmtId="167" formatCode="[$-14009]yyyy/mm/dd;@"/>
  </numFmts>
  <fonts count="2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&quot;Aptos Narrow&quot;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&quot;Aptos Narrow&quot;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87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1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5" fillId="2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" fontId="0" fillId="0" borderId="0" xfId="0" applyNumberFormat="1"/>
    <xf numFmtId="0" fontId="7" fillId="0" borderId="0" xfId="0" applyFont="1" applyAlignment="1">
      <alignment vertical="center"/>
    </xf>
    <xf numFmtId="164" fontId="0" fillId="0" borderId="3" xfId="0" applyNumberForma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0" fontId="8" fillId="4" borderId="0" xfId="0" applyFont="1" applyFill="1" applyAlignment="1">
      <alignment horizontal="center" vertical="center"/>
    </xf>
    <xf numFmtId="167" fontId="5" fillId="2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49" fontId="3" fillId="3" borderId="1" xfId="0" applyNumberFormat="1" applyFont="1" applyFill="1" applyBorder="1" applyAlignment="1">
      <alignment horizontal="center" vertical="top"/>
    </xf>
    <xf numFmtId="49" fontId="4" fillId="0" borderId="1" xfId="0" applyNumberFormat="1" applyFont="1" applyBorder="1" applyAlignment="1">
      <alignment horizontal="center"/>
    </xf>
    <xf numFmtId="49" fontId="0" fillId="0" borderId="0" xfId="0" applyNumberFormat="1"/>
    <xf numFmtId="167" fontId="3" fillId="3" borderId="1" xfId="0" applyNumberFormat="1" applyFont="1" applyFill="1" applyBorder="1" applyAlignment="1">
      <alignment horizontal="center" vertical="top"/>
    </xf>
    <xf numFmtId="167" fontId="4" fillId="0" borderId="1" xfId="0" applyNumberFormat="1" applyFont="1" applyBorder="1" applyAlignment="1">
      <alignment horizontal="center"/>
    </xf>
    <xf numFmtId="167" fontId="0" fillId="0" borderId="0" xfId="0" applyNumberFormat="1"/>
    <xf numFmtId="1" fontId="3" fillId="3" borderId="1" xfId="0" applyNumberFormat="1" applyFont="1" applyFill="1" applyBorder="1" applyAlignment="1">
      <alignment horizontal="center" vertical="top"/>
    </xf>
    <xf numFmtId="1" fontId="17" fillId="4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/>
    <xf numFmtId="0" fontId="16" fillId="6" borderId="1" xfId="0" applyFont="1" applyFill="1" applyBorder="1" applyAlignment="1">
      <alignment horizontal="center"/>
    </xf>
    <xf numFmtId="164" fontId="0" fillId="5" borderId="3" xfId="0" applyNumberFormat="1" applyFill="1" applyBorder="1" applyAlignment="1">
      <alignment horizontal="center"/>
    </xf>
    <xf numFmtId="1" fontId="0" fillId="7" borderId="5" xfId="0" applyNumberFormat="1" applyFill="1" applyBorder="1" applyAlignment="1">
      <alignment horizont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Continuous" vertical="center"/>
    </xf>
    <xf numFmtId="0" fontId="12" fillId="0" borderId="0" xfId="0" applyFont="1" applyAlignment="1">
      <alignment horizontal="right" vertical="center"/>
    </xf>
    <xf numFmtId="0" fontId="1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5" fillId="0" borderId="0" xfId="0" applyFont="1" applyAlignment="1">
      <alignment horizontal="left" vertical="center" indent="12"/>
    </xf>
    <xf numFmtId="0" fontId="10" fillId="0" borderId="0" xfId="0" applyFont="1" applyAlignment="1">
      <alignment horizontal="centerContinuous" vertical="center"/>
    </xf>
    <xf numFmtId="0" fontId="23" fillId="0" borderId="0" xfId="0" applyFont="1" applyAlignment="1">
      <alignment vertical="center"/>
    </xf>
    <xf numFmtId="0" fontId="11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8" fillId="8" borderId="7" xfId="0" applyFont="1" applyFill="1" applyBorder="1" applyAlignment="1">
      <alignment horizontal="center" vertical="center" wrapText="1"/>
    </xf>
    <xf numFmtId="0" fontId="18" fillId="8" borderId="8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8" borderId="0" xfId="0" applyFont="1" applyFill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18" fillId="8" borderId="11" xfId="0" applyFont="1" applyFill="1" applyBorder="1" applyAlignment="1">
      <alignment horizontal="center" vertical="center" wrapText="1"/>
    </xf>
    <xf numFmtId="0" fontId="18" fillId="8" borderId="6" xfId="0" applyFont="1" applyFill="1" applyBorder="1" applyAlignment="1">
      <alignment horizontal="center" vertical="center" wrapText="1"/>
    </xf>
    <xf numFmtId="0" fontId="18" fillId="8" borderId="1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/>
    </xf>
    <xf numFmtId="0" fontId="12" fillId="8" borderId="7" xfId="0" applyFont="1" applyFill="1" applyBorder="1" applyAlignment="1">
      <alignment horizontal="center" vertical="center" wrapText="1"/>
    </xf>
    <xf numFmtId="0" fontId="12" fillId="8" borderId="8" xfId="0" applyFont="1" applyFill="1" applyBorder="1" applyAlignment="1">
      <alignment horizontal="center" vertical="center" wrapText="1"/>
    </xf>
    <xf numFmtId="0" fontId="12" fillId="8" borderId="9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2" fillId="8" borderId="10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 vertical="center" wrapText="1"/>
    </xf>
    <xf numFmtId="0" fontId="12" fillId="8" borderId="1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wrapText="1"/>
    </xf>
    <xf numFmtId="0" fontId="1" fillId="6" borderId="8" xfId="0" applyFont="1" applyFill="1" applyBorder="1" applyAlignment="1">
      <alignment horizontal="center" wrapText="1"/>
    </xf>
    <xf numFmtId="0" fontId="1" fillId="6" borderId="9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0" xfId="0" applyFont="1" applyFill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1" fillId="6" borderId="11" xfId="0" applyFont="1" applyFill="1" applyBorder="1" applyAlignment="1">
      <alignment horizontal="center" wrapText="1"/>
    </xf>
    <xf numFmtId="0" fontId="1" fillId="6" borderId="6" xfId="0" applyFont="1" applyFill="1" applyBorder="1" applyAlignment="1">
      <alignment horizontal="center" wrapText="1"/>
    </xf>
    <xf numFmtId="0" fontId="1" fillId="6" borderId="12" xfId="0" applyFont="1" applyFill="1" applyBorder="1" applyAlignment="1">
      <alignment horizontal="center" wrapText="1"/>
    </xf>
    <xf numFmtId="0" fontId="1" fillId="9" borderId="7" xfId="0" applyFont="1" applyFill="1" applyBorder="1" applyAlignment="1">
      <alignment horizontal="center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1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2" fillId="8" borderId="7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9" xfId="0" applyFont="1" applyFill="1" applyBorder="1" applyAlignment="1">
      <alignment horizontal="center" vertical="center" wrapText="1"/>
    </xf>
    <xf numFmtId="0" fontId="22" fillId="8" borderId="3" xfId="0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center" vertical="center" wrapText="1"/>
    </xf>
    <xf numFmtId="0" fontId="22" fillId="8" borderId="10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ill>
        <patternFill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b/>
        <family val="2"/>
      </font>
    </dxf>
    <dxf>
      <font>
        <b/>
        <family val="2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</border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7878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t" anchorCtr="0"/>
          <a:lstStyle/>
          <a:p>
            <a:pPr>
              <a:defRPr sz="1800" b="0" i="0" u="none" strike="noStrike" kern="1200" spc="0" baseline="0">
                <a:ln cmpd="sng">
                  <a:solidFill>
                    <a:schemeClr val="tx1"/>
                  </a:solidFill>
                  <a:prstDash val="solid"/>
                  <a:round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>
                <a:ln cmpd="sng">
                  <a:solidFill>
                    <a:schemeClr val="tx1"/>
                  </a:solidFill>
                  <a:prstDash val="solid"/>
                  <a:round/>
                </a:ln>
              </a:rPr>
              <a:t>3</a:t>
            </a:r>
            <a:r>
              <a:rPr lang="en-IN" sz="1800" baseline="0">
                <a:ln cmpd="sng">
                  <a:solidFill>
                    <a:schemeClr val="tx1"/>
                  </a:solidFill>
                  <a:prstDash val="solid"/>
                  <a:round/>
                </a:ln>
              </a:rPr>
              <a:t> Week Moving Average Trend </a:t>
            </a:r>
            <a:endParaRPr lang="en-IN" sz="1800">
              <a:ln cmpd="sng">
                <a:solidFill>
                  <a:schemeClr val="tx1"/>
                </a:solidFill>
                <a:prstDash val="solid"/>
                <a:round/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800" b="0" i="0" u="none" strike="noStrike" kern="1200" spc="0" baseline="0">
              <a:ln cmpd="sng">
                <a:solidFill>
                  <a:schemeClr val="tx1"/>
                </a:solidFill>
                <a:prstDash val="solid"/>
                <a:round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'Moving average Chart'!$C$7</c:f>
              <c:strCache>
                <c:ptCount val="1"/>
                <c:pt idx="0">
                  <c:v>Sum of Net follwer Gain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'Moving average Chart'!$B$8:$B$74</c:f>
              <c:numCache>
                <c:formatCode>yyyy/mm/dd</c:formatCode>
                <c:ptCount val="67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</c:numCache>
            </c:numRef>
          </c:cat>
          <c:val>
            <c:numRef>
              <c:f>'Moving average Chart'!$C$8:$C$74</c:f>
              <c:numCache>
                <c:formatCode>0</c:formatCode>
                <c:ptCount val="67"/>
                <c:pt idx="0">
                  <c:v>3419</c:v>
                </c:pt>
                <c:pt idx="1">
                  <c:v>2777</c:v>
                </c:pt>
                <c:pt idx="2">
                  <c:v>3175</c:v>
                </c:pt>
                <c:pt idx="3">
                  <c:v>2433</c:v>
                </c:pt>
                <c:pt idx="4">
                  <c:v>2426</c:v>
                </c:pt>
                <c:pt idx="5">
                  <c:v>3155</c:v>
                </c:pt>
                <c:pt idx="6">
                  <c:v>2369</c:v>
                </c:pt>
                <c:pt idx="7">
                  <c:v>2281</c:v>
                </c:pt>
                <c:pt idx="8">
                  <c:v>2132</c:v>
                </c:pt>
                <c:pt idx="9">
                  <c:v>2693</c:v>
                </c:pt>
                <c:pt idx="10">
                  <c:v>3072</c:v>
                </c:pt>
                <c:pt idx="11">
                  <c:v>2300</c:v>
                </c:pt>
                <c:pt idx="12">
                  <c:v>2450</c:v>
                </c:pt>
                <c:pt idx="13">
                  <c:v>2502</c:v>
                </c:pt>
                <c:pt idx="14">
                  <c:v>2630</c:v>
                </c:pt>
                <c:pt idx="15">
                  <c:v>2162</c:v>
                </c:pt>
                <c:pt idx="16">
                  <c:v>2785</c:v>
                </c:pt>
                <c:pt idx="17">
                  <c:v>3151</c:v>
                </c:pt>
                <c:pt idx="18">
                  <c:v>2338</c:v>
                </c:pt>
                <c:pt idx="19">
                  <c:v>2670</c:v>
                </c:pt>
                <c:pt idx="20">
                  <c:v>2792</c:v>
                </c:pt>
                <c:pt idx="21">
                  <c:v>2181</c:v>
                </c:pt>
                <c:pt idx="22">
                  <c:v>3576</c:v>
                </c:pt>
                <c:pt idx="23">
                  <c:v>2794</c:v>
                </c:pt>
                <c:pt idx="24">
                  <c:v>1935</c:v>
                </c:pt>
                <c:pt idx="25">
                  <c:v>2287</c:v>
                </c:pt>
                <c:pt idx="26">
                  <c:v>2383</c:v>
                </c:pt>
                <c:pt idx="27">
                  <c:v>1398</c:v>
                </c:pt>
                <c:pt idx="28">
                  <c:v>2693</c:v>
                </c:pt>
                <c:pt idx="29">
                  <c:v>2550</c:v>
                </c:pt>
                <c:pt idx="30">
                  <c:v>2337</c:v>
                </c:pt>
                <c:pt idx="31">
                  <c:v>2451</c:v>
                </c:pt>
                <c:pt idx="32">
                  <c:v>2341</c:v>
                </c:pt>
                <c:pt idx="33">
                  <c:v>1832</c:v>
                </c:pt>
                <c:pt idx="34">
                  <c:v>1928</c:v>
                </c:pt>
                <c:pt idx="35">
                  <c:v>1680</c:v>
                </c:pt>
                <c:pt idx="36">
                  <c:v>2361</c:v>
                </c:pt>
                <c:pt idx="37">
                  <c:v>1543</c:v>
                </c:pt>
                <c:pt idx="38">
                  <c:v>1713</c:v>
                </c:pt>
                <c:pt idx="39">
                  <c:v>2763</c:v>
                </c:pt>
                <c:pt idx="40">
                  <c:v>2315</c:v>
                </c:pt>
                <c:pt idx="41">
                  <c:v>2188</c:v>
                </c:pt>
                <c:pt idx="42">
                  <c:v>2679</c:v>
                </c:pt>
                <c:pt idx="43">
                  <c:v>2781</c:v>
                </c:pt>
                <c:pt idx="44">
                  <c:v>3291</c:v>
                </c:pt>
                <c:pt idx="45">
                  <c:v>3216</c:v>
                </c:pt>
                <c:pt idx="46">
                  <c:v>1728</c:v>
                </c:pt>
                <c:pt idx="47">
                  <c:v>2378</c:v>
                </c:pt>
                <c:pt idx="48">
                  <c:v>2054</c:v>
                </c:pt>
                <c:pt idx="49">
                  <c:v>1400</c:v>
                </c:pt>
                <c:pt idx="50">
                  <c:v>3569</c:v>
                </c:pt>
                <c:pt idx="51">
                  <c:v>2909</c:v>
                </c:pt>
                <c:pt idx="52">
                  <c:v>2049</c:v>
                </c:pt>
                <c:pt idx="53">
                  <c:v>2243</c:v>
                </c:pt>
                <c:pt idx="54">
                  <c:v>2017</c:v>
                </c:pt>
                <c:pt idx="55">
                  <c:v>1384</c:v>
                </c:pt>
                <c:pt idx="56">
                  <c:v>2315</c:v>
                </c:pt>
                <c:pt idx="57">
                  <c:v>2669</c:v>
                </c:pt>
                <c:pt idx="58">
                  <c:v>2654</c:v>
                </c:pt>
                <c:pt idx="59">
                  <c:v>2694</c:v>
                </c:pt>
                <c:pt idx="60">
                  <c:v>3236</c:v>
                </c:pt>
                <c:pt idx="61">
                  <c:v>1689</c:v>
                </c:pt>
                <c:pt idx="62">
                  <c:v>2347</c:v>
                </c:pt>
                <c:pt idx="63">
                  <c:v>1819</c:v>
                </c:pt>
                <c:pt idx="64">
                  <c:v>2646</c:v>
                </c:pt>
                <c:pt idx="65">
                  <c:v>1424</c:v>
                </c:pt>
                <c:pt idx="66">
                  <c:v>1436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28-4019-BAD4-6156430F29F9}"/>
            </c:ext>
          </c:extLst>
        </c:ser>
        <c:ser>
          <c:idx val="1"/>
          <c:order val="1"/>
          <c:tx>
            <c:strRef>
              <c:f>'Moving average Chart'!$D$7</c:f>
              <c:strCache>
                <c:ptCount val="1"/>
                <c:pt idx="0">
                  <c:v>Moving average 3week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'Moving average Chart'!$B$8:$B$74</c:f>
              <c:numCache>
                <c:formatCode>yyyy/mm/dd</c:formatCode>
                <c:ptCount val="67"/>
                <c:pt idx="0">
                  <c:v>45446</c:v>
                </c:pt>
                <c:pt idx="1">
                  <c:v>45453</c:v>
                </c:pt>
                <c:pt idx="2">
                  <c:v>45460</c:v>
                </c:pt>
                <c:pt idx="3">
                  <c:v>45467</c:v>
                </c:pt>
                <c:pt idx="4">
                  <c:v>45474</c:v>
                </c:pt>
                <c:pt idx="5">
                  <c:v>45481</c:v>
                </c:pt>
                <c:pt idx="6">
                  <c:v>45488</c:v>
                </c:pt>
                <c:pt idx="7">
                  <c:v>45495</c:v>
                </c:pt>
                <c:pt idx="8">
                  <c:v>45502</c:v>
                </c:pt>
                <c:pt idx="9">
                  <c:v>45509</c:v>
                </c:pt>
                <c:pt idx="10">
                  <c:v>45516</c:v>
                </c:pt>
                <c:pt idx="11">
                  <c:v>45523</c:v>
                </c:pt>
                <c:pt idx="12">
                  <c:v>45530</c:v>
                </c:pt>
                <c:pt idx="13">
                  <c:v>45537</c:v>
                </c:pt>
                <c:pt idx="14">
                  <c:v>45544</c:v>
                </c:pt>
                <c:pt idx="15">
                  <c:v>45551</c:v>
                </c:pt>
                <c:pt idx="16">
                  <c:v>45558</c:v>
                </c:pt>
                <c:pt idx="17">
                  <c:v>45565</c:v>
                </c:pt>
                <c:pt idx="18">
                  <c:v>45572</c:v>
                </c:pt>
                <c:pt idx="19">
                  <c:v>45579</c:v>
                </c:pt>
                <c:pt idx="20">
                  <c:v>45586</c:v>
                </c:pt>
                <c:pt idx="21">
                  <c:v>45593</c:v>
                </c:pt>
                <c:pt idx="22">
                  <c:v>45600</c:v>
                </c:pt>
                <c:pt idx="23">
                  <c:v>45607</c:v>
                </c:pt>
                <c:pt idx="24">
                  <c:v>45614</c:v>
                </c:pt>
                <c:pt idx="25">
                  <c:v>45621</c:v>
                </c:pt>
                <c:pt idx="26">
                  <c:v>45628</c:v>
                </c:pt>
                <c:pt idx="27">
                  <c:v>45635</c:v>
                </c:pt>
                <c:pt idx="28">
                  <c:v>45642</c:v>
                </c:pt>
                <c:pt idx="29">
                  <c:v>45649</c:v>
                </c:pt>
                <c:pt idx="30">
                  <c:v>45656</c:v>
                </c:pt>
                <c:pt idx="31">
                  <c:v>45663</c:v>
                </c:pt>
                <c:pt idx="32">
                  <c:v>45670</c:v>
                </c:pt>
                <c:pt idx="33">
                  <c:v>45677</c:v>
                </c:pt>
                <c:pt idx="34">
                  <c:v>45684</c:v>
                </c:pt>
                <c:pt idx="35">
                  <c:v>45691</c:v>
                </c:pt>
                <c:pt idx="36">
                  <c:v>45698</c:v>
                </c:pt>
                <c:pt idx="37">
                  <c:v>45705</c:v>
                </c:pt>
                <c:pt idx="38">
                  <c:v>45712</c:v>
                </c:pt>
                <c:pt idx="39">
                  <c:v>45719</c:v>
                </c:pt>
                <c:pt idx="40">
                  <c:v>45726</c:v>
                </c:pt>
                <c:pt idx="41">
                  <c:v>45733</c:v>
                </c:pt>
                <c:pt idx="42">
                  <c:v>45740</c:v>
                </c:pt>
                <c:pt idx="43">
                  <c:v>45747</c:v>
                </c:pt>
                <c:pt idx="44">
                  <c:v>45754</c:v>
                </c:pt>
                <c:pt idx="45">
                  <c:v>45761</c:v>
                </c:pt>
                <c:pt idx="46">
                  <c:v>45768</c:v>
                </c:pt>
                <c:pt idx="47">
                  <c:v>45775</c:v>
                </c:pt>
                <c:pt idx="48">
                  <c:v>45782</c:v>
                </c:pt>
                <c:pt idx="49">
                  <c:v>45789</c:v>
                </c:pt>
                <c:pt idx="50">
                  <c:v>45796</c:v>
                </c:pt>
                <c:pt idx="51">
                  <c:v>45803</c:v>
                </c:pt>
                <c:pt idx="52">
                  <c:v>45810</c:v>
                </c:pt>
                <c:pt idx="53">
                  <c:v>45817</c:v>
                </c:pt>
                <c:pt idx="54">
                  <c:v>45824</c:v>
                </c:pt>
                <c:pt idx="55">
                  <c:v>45831</c:v>
                </c:pt>
                <c:pt idx="56">
                  <c:v>45838</c:v>
                </c:pt>
                <c:pt idx="57">
                  <c:v>45845</c:v>
                </c:pt>
                <c:pt idx="58">
                  <c:v>45852</c:v>
                </c:pt>
                <c:pt idx="59">
                  <c:v>45859</c:v>
                </c:pt>
                <c:pt idx="60">
                  <c:v>45866</c:v>
                </c:pt>
                <c:pt idx="61">
                  <c:v>45873</c:v>
                </c:pt>
                <c:pt idx="62">
                  <c:v>45880</c:v>
                </c:pt>
                <c:pt idx="63">
                  <c:v>45887</c:v>
                </c:pt>
                <c:pt idx="64">
                  <c:v>45894</c:v>
                </c:pt>
                <c:pt idx="65">
                  <c:v>45901</c:v>
                </c:pt>
                <c:pt idx="66">
                  <c:v>45908</c:v>
                </c:pt>
              </c:numCache>
            </c:numRef>
          </c:cat>
          <c:val>
            <c:numRef>
              <c:f>'Moving average Chart'!$D$8:$D$74</c:f>
              <c:numCache>
                <c:formatCode>0</c:formatCode>
                <c:ptCount val="67"/>
                <c:pt idx="0">
                  <c:v>3123.6666666666665</c:v>
                </c:pt>
                <c:pt idx="1">
                  <c:v>2795</c:v>
                </c:pt>
                <c:pt idx="2">
                  <c:v>2678</c:v>
                </c:pt>
                <c:pt idx="3">
                  <c:v>2671.3333333333335</c:v>
                </c:pt>
                <c:pt idx="4">
                  <c:v>2650</c:v>
                </c:pt>
                <c:pt idx="5">
                  <c:v>2601.6666666666665</c:v>
                </c:pt>
                <c:pt idx="6">
                  <c:v>2260.6666666666665</c:v>
                </c:pt>
                <c:pt idx="7">
                  <c:v>2368.6666666666665</c:v>
                </c:pt>
                <c:pt idx="8">
                  <c:v>2632.3333333333335</c:v>
                </c:pt>
                <c:pt idx="9">
                  <c:v>2688.3333333333335</c:v>
                </c:pt>
                <c:pt idx="10">
                  <c:v>2607.3333333333335</c:v>
                </c:pt>
                <c:pt idx="11">
                  <c:v>2417.3333333333335</c:v>
                </c:pt>
                <c:pt idx="12">
                  <c:v>2527.3333333333335</c:v>
                </c:pt>
                <c:pt idx="13">
                  <c:v>2431.3333333333335</c:v>
                </c:pt>
                <c:pt idx="14">
                  <c:v>2525.6666666666665</c:v>
                </c:pt>
                <c:pt idx="15">
                  <c:v>2699.3333333333335</c:v>
                </c:pt>
                <c:pt idx="16">
                  <c:v>2758</c:v>
                </c:pt>
                <c:pt idx="17">
                  <c:v>2719.6666666666665</c:v>
                </c:pt>
                <c:pt idx="18">
                  <c:v>2600</c:v>
                </c:pt>
                <c:pt idx="19">
                  <c:v>2547.6666666666665</c:v>
                </c:pt>
                <c:pt idx="20">
                  <c:v>2849.6666666666665</c:v>
                </c:pt>
                <c:pt idx="21">
                  <c:v>2850.3333333333335</c:v>
                </c:pt>
                <c:pt idx="22">
                  <c:v>2768.3333333333335</c:v>
                </c:pt>
                <c:pt idx="23">
                  <c:v>2338.6666666666665</c:v>
                </c:pt>
                <c:pt idx="24">
                  <c:v>2201.6666666666665</c:v>
                </c:pt>
                <c:pt idx="25">
                  <c:v>2022.6666666666667</c:v>
                </c:pt>
                <c:pt idx="26">
                  <c:v>2158</c:v>
                </c:pt>
                <c:pt idx="27">
                  <c:v>2213.6666666666665</c:v>
                </c:pt>
                <c:pt idx="28">
                  <c:v>2526.6666666666665</c:v>
                </c:pt>
                <c:pt idx="29">
                  <c:v>2446</c:v>
                </c:pt>
                <c:pt idx="30">
                  <c:v>2376.3333333333335</c:v>
                </c:pt>
                <c:pt idx="31">
                  <c:v>2208</c:v>
                </c:pt>
                <c:pt idx="32">
                  <c:v>2033.6666666666667</c:v>
                </c:pt>
                <c:pt idx="33">
                  <c:v>1813.3333333333333</c:v>
                </c:pt>
                <c:pt idx="34">
                  <c:v>1989.6666666666667</c:v>
                </c:pt>
                <c:pt idx="35">
                  <c:v>1861.3333333333333</c:v>
                </c:pt>
                <c:pt idx="36">
                  <c:v>1872.3333333333333</c:v>
                </c:pt>
                <c:pt idx="37">
                  <c:v>2006.3333333333333</c:v>
                </c:pt>
                <c:pt idx="38">
                  <c:v>2263.6666666666665</c:v>
                </c:pt>
                <c:pt idx="39">
                  <c:v>2422</c:v>
                </c:pt>
                <c:pt idx="40">
                  <c:v>2394</c:v>
                </c:pt>
                <c:pt idx="41">
                  <c:v>2549.3333333333335</c:v>
                </c:pt>
                <c:pt idx="42">
                  <c:v>2917</c:v>
                </c:pt>
                <c:pt idx="43">
                  <c:v>3096</c:v>
                </c:pt>
                <c:pt idx="44">
                  <c:v>2745</c:v>
                </c:pt>
                <c:pt idx="45">
                  <c:v>2440.6666666666665</c:v>
                </c:pt>
                <c:pt idx="46">
                  <c:v>2053.3333333333335</c:v>
                </c:pt>
                <c:pt idx="47">
                  <c:v>1944</c:v>
                </c:pt>
                <c:pt idx="48">
                  <c:v>2341</c:v>
                </c:pt>
                <c:pt idx="49">
                  <c:v>2626</c:v>
                </c:pt>
                <c:pt idx="50">
                  <c:v>2842.3333333333335</c:v>
                </c:pt>
                <c:pt idx="51">
                  <c:v>2400.3333333333335</c:v>
                </c:pt>
                <c:pt idx="52">
                  <c:v>2103</c:v>
                </c:pt>
                <c:pt idx="53">
                  <c:v>1881.3333333333333</c:v>
                </c:pt>
                <c:pt idx="54">
                  <c:v>1905.3333333333333</c:v>
                </c:pt>
                <c:pt idx="55">
                  <c:v>2122.6666666666665</c:v>
                </c:pt>
                <c:pt idx="56">
                  <c:v>2546</c:v>
                </c:pt>
                <c:pt idx="57">
                  <c:v>2672.3333333333335</c:v>
                </c:pt>
                <c:pt idx="58">
                  <c:v>2861.3333333333335</c:v>
                </c:pt>
                <c:pt idx="59">
                  <c:v>2539.6666666666665</c:v>
                </c:pt>
                <c:pt idx="60">
                  <c:v>2424</c:v>
                </c:pt>
                <c:pt idx="61">
                  <c:v>1951.6666666666667</c:v>
                </c:pt>
                <c:pt idx="62">
                  <c:v>2270.6666666666665</c:v>
                </c:pt>
                <c:pt idx="63">
                  <c:v>1963</c:v>
                </c:pt>
                <c:pt idx="64">
                  <c:v>1835.3333333333333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28-4019-BAD4-6156430F29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5240480"/>
        <c:axId val="1955238560"/>
      </c:lineChart>
      <c:dateAx>
        <c:axId val="1955240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>
                    <a:solidFill>
                      <a:schemeClr val="tx1"/>
                    </a:solidFill>
                  </a:rPr>
                  <a:t>Week Start  Date</a:t>
                </a:r>
              </a:p>
            </c:rich>
          </c:tx>
          <c:layout>
            <c:manualLayout>
              <c:xMode val="edge"/>
              <c:yMode val="edge"/>
              <c:x val="0.45214899000427228"/>
              <c:y val="0.923159622011625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/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38560"/>
        <c:crosses val="autoZero"/>
        <c:auto val="1"/>
        <c:lblOffset val="100"/>
        <c:baseTimeUnit val="days"/>
        <c:majorUnit val="7"/>
        <c:majorTimeUnit val="days"/>
      </c:dateAx>
      <c:valAx>
        <c:axId val="1955238560"/>
        <c:scaling>
          <c:orientation val="minMax"/>
        </c:scaling>
        <c:delete val="0"/>
        <c:axPos val="l"/>
        <c:majorGridlines>
          <c:spPr>
            <a:ln w="1016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</a:rPr>
                  <a:t>Net follower +   Moving Average</a:t>
                </a:r>
              </a:p>
            </c:rich>
          </c:tx>
          <c:layout>
            <c:manualLayout>
              <c:xMode val="edge"/>
              <c:yMode val="edge"/>
              <c:x val="1.3018521806024025E-2"/>
              <c:y val="0.315543781448528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ln>
                    <a:solidFill>
                      <a:schemeClr val="tx1"/>
                    </a:solidFill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4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34132486057740924"/>
          <c:y val="7.4873191612469761E-2"/>
          <c:w val="0.32445129073937662"/>
          <c:h val="8.67177135852942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242455</xdr:colOff>
      <xdr:row>7</xdr:row>
      <xdr:rowOff>27708</xdr:rowOff>
    </xdr:from>
    <xdr:to>
      <xdr:col>6</xdr:col>
      <xdr:colOff>505691</xdr:colOff>
      <xdr:row>7</xdr:row>
      <xdr:rowOff>207817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57546D6F-D714-C9C4-5880-D30BF68940C8}"/>
            </a:ext>
          </a:extLst>
        </xdr:cNvPr>
        <xdr:cNvSpPr/>
      </xdr:nvSpPr>
      <xdr:spPr>
        <a:xfrm rot="10800000">
          <a:off x="3900055" y="1627908"/>
          <a:ext cx="263236" cy="180109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1711035</xdr:colOff>
      <xdr:row>7</xdr:row>
      <xdr:rowOff>83129</xdr:rowOff>
    </xdr:from>
    <xdr:to>
      <xdr:col>10</xdr:col>
      <xdr:colOff>533400</xdr:colOff>
      <xdr:row>10</xdr:row>
      <xdr:rowOff>110836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14B2EB3C-CF5D-91DA-7E89-0269222804A3}"/>
            </a:ext>
          </a:extLst>
        </xdr:cNvPr>
        <xdr:cNvCxnSpPr/>
      </xdr:nvCxnSpPr>
      <xdr:spPr>
        <a:xfrm>
          <a:off x="7682344" y="1697184"/>
          <a:ext cx="1149929" cy="616525"/>
        </a:xfrm>
        <a:prstGeom prst="bentConnector3">
          <a:avLst>
            <a:gd name="adj1" fmla="val 50000"/>
          </a:avLst>
        </a:prstGeom>
        <a:ln>
          <a:headEnd type="none" w="med" len="med"/>
          <a:tailEnd type="arrow" w="med" len="med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345647</xdr:colOff>
      <xdr:row>2</xdr:row>
      <xdr:rowOff>70060</xdr:rowOff>
    </xdr:from>
    <xdr:to>
      <xdr:col>21</xdr:col>
      <xdr:colOff>371475</xdr:colOff>
      <xdr:row>26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1EA9BE-02E8-1AC6-45FC-75D1ACD3A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403977</xdr:colOff>
      <xdr:row>7</xdr:row>
      <xdr:rowOff>508</xdr:rowOff>
    </xdr:from>
    <xdr:to>
      <xdr:col>22</xdr:col>
      <xdr:colOff>549397</xdr:colOff>
      <xdr:row>7</xdr:row>
      <xdr:rowOff>129641</xdr:rowOff>
    </xdr:to>
    <xdr:sp macro="" textlink="">
      <xdr:nvSpPr>
        <xdr:cNvPr id="2" name="Hexagon 1">
          <a:extLst>
            <a:ext uri="{FF2B5EF4-FFF2-40B4-BE49-F238E27FC236}">
              <a16:creationId xmlns:a16="http://schemas.microsoft.com/office/drawing/2014/main" id="{238E69FA-AB34-7392-6C1D-819FC82BC3E1}"/>
            </a:ext>
          </a:extLst>
        </xdr:cNvPr>
        <xdr:cNvSpPr/>
      </xdr:nvSpPr>
      <xdr:spPr>
        <a:xfrm>
          <a:off x="16729827" y="1734058"/>
          <a:ext cx="145420" cy="129133"/>
        </a:xfrm>
        <a:prstGeom prst="hex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460738</xdr:colOff>
      <xdr:row>11</xdr:row>
      <xdr:rowOff>34018</xdr:rowOff>
    </xdr:from>
    <xdr:to>
      <xdr:col>23</xdr:col>
      <xdr:colOff>6804</xdr:colOff>
      <xdr:row>15</xdr:row>
      <xdr:rowOff>94978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9F94B1F1-6B6A-6E91-D26D-E2DCB49CFA84}"/>
            </a:ext>
          </a:extLst>
        </xdr:cNvPr>
        <xdr:cNvCxnSpPr/>
      </xdr:nvCxnSpPr>
      <xdr:spPr>
        <a:xfrm flipV="1">
          <a:off x="15567388" y="2491468"/>
          <a:ext cx="1374866" cy="803910"/>
        </a:xfrm>
        <a:prstGeom prst="bentConnector3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426720</xdr:colOff>
      <xdr:row>13</xdr:row>
      <xdr:rowOff>38100</xdr:rowOff>
    </xdr:from>
    <xdr:to>
      <xdr:col>22</xdr:col>
      <xdr:colOff>572140</xdr:colOff>
      <xdr:row>13</xdr:row>
      <xdr:rowOff>167233</xdr:rowOff>
    </xdr:to>
    <xdr:sp macro="" textlink="">
      <xdr:nvSpPr>
        <xdr:cNvPr id="9" name="Hexagon 8">
          <a:extLst>
            <a:ext uri="{FF2B5EF4-FFF2-40B4-BE49-F238E27FC236}">
              <a16:creationId xmlns:a16="http://schemas.microsoft.com/office/drawing/2014/main" id="{DF3ADC49-F815-4B9E-9FBB-A3FAACCC7C5E}"/>
            </a:ext>
          </a:extLst>
        </xdr:cNvPr>
        <xdr:cNvSpPr/>
      </xdr:nvSpPr>
      <xdr:spPr>
        <a:xfrm>
          <a:off x="16764000" y="2880360"/>
          <a:ext cx="145420" cy="129133"/>
        </a:xfrm>
        <a:prstGeom prst="hexagon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210094</xdr:colOff>
      <xdr:row>13</xdr:row>
      <xdr:rowOff>197575</xdr:rowOff>
    </xdr:from>
    <xdr:to>
      <xdr:col>22</xdr:col>
      <xdr:colOff>429986</xdr:colOff>
      <xdr:row>17</xdr:row>
      <xdr:rowOff>142875</xdr:rowOff>
    </xdr:to>
    <xdr:cxnSp macro="">
      <xdr:nvCxnSpPr>
        <xdr:cNvPr id="11" name="Connector: Elbow 10">
          <a:extLst>
            <a:ext uri="{FF2B5EF4-FFF2-40B4-BE49-F238E27FC236}">
              <a16:creationId xmlns:a16="http://schemas.microsoft.com/office/drawing/2014/main" id="{DCE62636-A93D-5D68-F85F-7D8AA9832044}"/>
            </a:ext>
          </a:extLst>
        </xdr:cNvPr>
        <xdr:cNvCxnSpPr/>
      </xdr:nvCxnSpPr>
      <xdr:spPr>
        <a:xfrm>
          <a:off x="15316744" y="3036025"/>
          <a:ext cx="1439092" cy="6882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283028</xdr:colOff>
      <xdr:row>25</xdr:row>
      <xdr:rowOff>43543</xdr:rowOff>
    </xdr:from>
    <xdr:to>
      <xdr:col>11</xdr:col>
      <xdr:colOff>413657</xdr:colOff>
      <xdr:row>31</xdr:row>
      <xdr:rowOff>54429</xdr:rowOff>
    </xdr:to>
    <xdr:cxnSp macro="">
      <xdr:nvCxnSpPr>
        <xdr:cNvPr id="22" name="Connector: Elbow 21">
          <a:extLst>
            <a:ext uri="{FF2B5EF4-FFF2-40B4-BE49-F238E27FC236}">
              <a16:creationId xmlns:a16="http://schemas.microsoft.com/office/drawing/2014/main" id="{D09D9F83-5C79-D935-FD02-5677EC96EC26}"/>
            </a:ext>
          </a:extLst>
        </xdr:cNvPr>
        <xdr:cNvCxnSpPr/>
      </xdr:nvCxnSpPr>
      <xdr:spPr>
        <a:xfrm>
          <a:off x="8697685" y="5138057"/>
          <a:ext cx="1349829" cy="1121229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7</xdr:row>
      <xdr:rowOff>68580</xdr:rowOff>
    </xdr:from>
    <xdr:to>
      <xdr:col>12</xdr:col>
      <xdr:colOff>472440</xdr:colOff>
      <xdr:row>12</xdr:row>
      <xdr:rowOff>76200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F0521943-1895-CDEE-B6F4-E84A048828D7}"/>
            </a:ext>
          </a:extLst>
        </xdr:cNvPr>
        <xdr:cNvCxnSpPr/>
      </xdr:nvCxnSpPr>
      <xdr:spPr>
        <a:xfrm>
          <a:off x="7985760" y="1432560"/>
          <a:ext cx="1043940" cy="9220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urka" refreshedDate="46072.683943750002" createdVersion="8" refreshedVersion="8" minRefreshableVersion="3" recordCount="200" xr:uid="{B0696693-6537-469B-8468-47CA68EBB40D}">
  <cacheSource type="worksheet">
    <worksheetSource ref="A1:H201" sheet="Cleaned_Engagement_Data "/>
  </cacheSource>
  <cacheFields count="8">
    <cacheField name="Week_Start_Date" numFmtId="167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</cacheField>
    <cacheField name="Platform" numFmtId="49">
      <sharedItems/>
    </cacheField>
    <cacheField name="New_Followers" numFmtId="1">
      <sharedItems containsSemiMixedTypes="0" containsString="0" containsNumber="1" containsInteger="1" minValue="503" maxValue="1490"/>
    </cacheField>
    <cacheField name="Unfollows" numFmtId="1">
      <sharedItems containsSemiMixedTypes="0" containsString="0" containsNumber="1" containsInteger="1" minValue="50" maxValue="296"/>
    </cacheField>
    <cacheField name="Total_Followers" numFmtId="1">
      <sharedItems containsSemiMixedTypes="0" containsString="0" containsNumber="1" containsInteger="1" minValue="61445" maxValue="397607"/>
    </cacheField>
    <cacheField name="Engagement_Rate" numFmtId="2">
      <sharedItems containsSemiMixedTypes="0" containsString="0" containsNumber="1" minValue="3.08" maxValue="9.99"/>
    </cacheField>
    <cacheField name="Ad_Spend" numFmtId="1">
      <sharedItems containsSemiMixedTypes="0" containsString="0" containsNumber="1" containsInteger="1" minValue="5281" maxValue="27829"/>
    </cacheField>
    <cacheField name="Net follwer Gain" numFmtId="1">
      <sharedItems containsSemiMixedTypes="0" containsString="0" containsNumber="1" containsInteger="1" minValue="250" maxValue="1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n v="9.92"/>
    <n v="23125"/>
    <n v="1334"/>
  </r>
  <r>
    <x v="0"/>
    <s v="Twitter"/>
    <n v="995"/>
    <n v="86"/>
    <n v="227958"/>
    <n v="8.0500000000000007"/>
    <n v="22788"/>
    <n v="909"/>
  </r>
  <r>
    <x v="0"/>
    <s v="YouTube"/>
    <n v="1472"/>
    <n v="296"/>
    <n v="370242"/>
    <n v="7.72"/>
    <n v="7810"/>
    <n v="1176"/>
  </r>
  <r>
    <x v="1"/>
    <s v="Instagram"/>
    <n v="1018"/>
    <n v="90"/>
    <n v="92474"/>
    <n v="9.4"/>
    <n v="11966"/>
    <n v="928"/>
  </r>
  <r>
    <x v="1"/>
    <s v="Twitter"/>
    <n v="1461"/>
    <n v="64"/>
    <n v="328902"/>
    <n v="9.02"/>
    <n v="26298"/>
    <n v="1397"/>
  </r>
  <r>
    <x v="1"/>
    <s v="YouTube"/>
    <n v="545"/>
    <n v="93"/>
    <n v="391621"/>
    <n v="9.9600000000000009"/>
    <n v="22029"/>
    <n v="452"/>
  </r>
  <r>
    <x v="2"/>
    <s v="Instagram"/>
    <n v="881"/>
    <n v="291"/>
    <n v="95885"/>
    <n v="5.29"/>
    <n v="12391"/>
    <n v="590"/>
  </r>
  <r>
    <x v="2"/>
    <s v="Twitter"/>
    <n v="1414"/>
    <n v="131"/>
    <n v="245947"/>
    <n v="8.3000000000000007"/>
    <n v="14477"/>
    <n v="1283"/>
  </r>
  <r>
    <x v="2"/>
    <s v="YouTube"/>
    <n v="1472"/>
    <n v="170"/>
    <n v="250428"/>
    <n v="4.66"/>
    <n v="25040"/>
    <n v="1302"/>
  </r>
  <r>
    <x v="3"/>
    <s v="Instagram"/>
    <n v="809"/>
    <n v="197"/>
    <n v="87186"/>
    <n v="9.48"/>
    <n v="22619"/>
    <n v="612"/>
  </r>
  <r>
    <x v="3"/>
    <s v="Twitter"/>
    <n v="1371"/>
    <n v="250"/>
    <n v="128620"/>
    <n v="7.11"/>
    <n v="12399"/>
    <n v="1121"/>
  </r>
  <r>
    <x v="3"/>
    <s v="YouTube"/>
    <n v="844"/>
    <n v="144"/>
    <n v="126015"/>
    <n v="9.65"/>
    <n v="22456"/>
    <n v="700"/>
  </r>
  <r>
    <x v="4"/>
    <s v="Instagram"/>
    <n v="786"/>
    <n v="72"/>
    <n v="178615"/>
    <n v="5.43"/>
    <n v="19328"/>
    <n v="714"/>
  </r>
  <r>
    <x v="4"/>
    <s v="Twitter"/>
    <n v="845"/>
    <n v="250"/>
    <n v="218228"/>
    <n v="4.5199999999999996"/>
    <n v="21107"/>
    <n v="595"/>
  </r>
  <r>
    <x v="4"/>
    <s v="YouTube"/>
    <n v="1218"/>
    <n v="101"/>
    <n v="300397"/>
    <n v="4.33"/>
    <n v="12277"/>
    <n v="1117"/>
  </r>
  <r>
    <x v="5"/>
    <s v="Instagram"/>
    <n v="797"/>
    <n v="130"/>
    <n v="340121"/>
    <n v="8.52"/>
    <n v="11684"/>
    <n v="667"/>
  </r>
  <r>
    <x v="5"/>
    <s v="Twitter"/>
    <n v="1471"/>
    <n v="100"/>
    <n v="76866"/>
    <n v="8.5500000000000007"/>
    <n v="14412"/>
    <n v="1371"/>
  </r>
  <r>
    <x v="5"/>
    <s v="YouTube"/>
    <n v="1253"/>
    <n v="136"/>
    <n v="193131"/>
    <n v="7.99"/>
    <n v="15924"/>
    <n v="1117"/>
  </r>
  <r>
    <x v="6"/>
    <s v="Instagram"/>
    <n v="616"/>
    <n v="257"/>
    <n v="169665"/>
    <n v="6.31"/>
    <n v="12390"/>
    <n v="359"/>
  </r>
  <r>
    <x v="6"/>
    <s v="Twitter"/>
    <n v="1308"/>
    <n v="210"/>
    <n v="263729"/>
    <n v="8.5299999999999994"/>
    <n v="25742"/>
    <n v="1098"/>
  </r>
  <r>
    <x v="6"/>
    <s v="YouTube"/>
    <n v="981"/>
    <n v="69"/>
    <n v="206921"/>
    <n v="8.42"/>
    <n v="10495"/>
    <n v="912"/>
  </r>
  <r>
    <x v="7"/>
    <s v="Instagram"/>
    <n v="866"/>
    <n v="74"/>
    <n v="204121"/>
    <n v="9.34"/>
    <n v="7797"/>
    <n v="792"/>
  </r>
  <r>
    <x v="7"/>
    <s v="Twitter"/>
    <n v="547"/>
    <n v="183"/>
    <n v="266350"/>
    <n v="5.65"/>
    <n v="15595"/>
    <n v="364"/>
  </r>
  <r>
    <x v="7"/>
    <s v="YouTube"/>
    <n v="1241"/>
    <n v="116"/>
    <n v="380606"/>
    <n v="4.2"/>
    <n v="24617"/>
    <n v="1125"/>
  </r>
  <r>
    <x v="8"/>
    <s v="Instagram"/>
    <n v="973"/>
    <n v="104"/>
    <n v="376358"/>
    <n v="3.87"/>
    <n v="9847"/>
    <n v="869"/>
  </r>
  <r>
    <x v="8"/>
    <s v="Twitter"/>
    <n v="611"/>
    <n v="197"/>
    <n v="79423"/>
    <n v="5.82"/>
    <n v="13644"/>
    <n v="414"/>
  </r>
  <r>
    <x v="8"/>
    <s v="YouTube"/>
    <n v="983"/>
    <n v="134"/>
    <n v="352178"/>
    <n v="3.55"/>
    <n v="11421"/>
    <n v="849"/>
  </r>
  <r>
    <x v="9"/>
    <s v="Instagram"/>
    <n v="1449"/>
    <n v="96"/>
    <n v="200636"/>
    <n v="9.92"/>
    <n v="15613"/>
    <n v="1353"/>
  </r>
  <r>
    <x v="9"/>
    <s v="Twitter"/>
    <n v="752"/>
    <n v="170"/>
    <n v="132756"/>
    <n v="8.17"/>
    <n v="23900"/>
    <n v="582"/>
  </r>
  <r>
    <x v="9"/>
    <s v="YouTube"/>
    <n v="937"/>
    <n v="179"/>
    <n v="318098"/>
    <n v="5.3"/>
    <n v="5836"/>
    <n v="758"/>
  </r>
  <r>
    <x v="10"/>
    <s v="Instagram"/>
    <n v="1060"/>
    <n v="83"/>
    <n v="68724"/>
    <n v="5.98"/>
    <n v="5624"/>
    <n v="977"/>
  </r>
  <r>
    <x v="10"/>
    <s v="Twitter"/>
    <n v="1456"/>
    <n v="265"/>
    <n v="115505"/>
    <n v="7.49"/>
    <n v="10311"/>
    <n v="1191"/>
  </r>
  <r>
    <x v="10"/>
    <s v="YouTube"/>
    <n v="1109"/>
    <n v="205"/>
    <n v="276722"/>
    <n v="9.3800000000000008"/>
    <n v="8274"/>
    <n v="904"/>
  </r>
  <r>
    <x v="11"/>
    <s v="Instagram"/>
    <n v="1002"/>
    <n v="93"/>
    <n v="353538"/>
    <n v="5.84"/>
    <n v="6031"/>
    <n v="909"/>
  </r>
  <r>
    <x v="11"/>
    <s v="Twitter"/>
    <n v="571"/>
    <n v="189"/>
    <n v="61445"/>
    <n v="5.41"/>
    <n v="27829"/>
    <n v="382"/>
  </r>
  <r>
    <x v="11"/>
    <s v="YouTube"/>
    <n v="1240"/>
    <n v="231"/>
    <n v="165035"/>
    <n v="6.05"/>
    <n v="18267"/>
    <n v="1009"/>
  </r>
  <r>
    <x v="12"/>
    <s v="Instagram"/>
    <n v="1154"/>
    <n v="132"/>
    <n v="194595"/>
    <n v="7.54"/>
    <n v="26624"/>
    <n v="1022"/>
  </r>
  <r>
    <x v="12"/>
    <s v="Twitter"/>
    <n v="537"/>
    <n v="275"/>
    <n v="236238"/>
    <n v="5.87"/>
    <n v="26644"/>
    <n v="262"/>
  </r>
  <r>
    <x v="12"/>
    <s v="YouTube"/>
    <n v="1456"/>
    <n v="290"/>
    <n v="271044"/>
    <n v="7.17"/>
    <n v="13051"/>
    <n v="1166"/>
  </r>
  <r>
    <x v="13"/>
    <s v="Instagram"/>
    <n v="721"/>
    <n v="206"/>
    <n v="334887"/>
    <n v="6.05"/>
    <n v="14217"/>
    <n v="515"/>
  </r>
  <r>
    <x v="13"/>
    <s v="Twitter"/>
    <n v="1098"/>
    <n v="142"/>
    <n v="359150"/>
    <n v="7.51"/>
    <n v="16385"/>
    <n v="956"/>
  </r>
  <r>
    <x v="13"/>
    <s v="YouTube"/>
    <n v="1096"/>
    <n v="65"/>
    <n v="358295"/>
    <n v="7.66"/>
    <n v="24548"/>
    <n v="1031"/>
  </r>
  <r>
    <x v="14"/>
    <s v="Instagram"/>
    <n v="912"/>
    <n v="275"/>
    <n v="368454"/>
    <n v="6.03"/>
    <n v="9195"/>
    <n v="637"/>
  </r>
  <r>
    <x v="14"/>
    <s v="Twitter"/>
    <n v="1430"/>
    <n v="162"/>
    <n v="269082"/>
    <n v="3.4"/>
    <n v="18071"/>
    <n v="1268"/>
  </r>
  <r>
    <x v="14"/>
    <s v="YouTube"/>
    <n v="854"/>
    <n v="129"/>
    <n v="310903"/>
    <n v="7.83"/>
    <n v="16875"/>
    <n v="725"/>
  </r>
  <r>
    <x v="15"/>
    <s v="Instagram"/>
    <n v="681"/>
    <n v="210"/>
    <n v="248581"/>
    <n v="8.76"/>
    <n v="9567"/>
    <n v="471"/>
  </r>
  <r>
    <x v="15"/>
    <s v="Twitter"/>
    <n v="1373"/>
    <n v="82"/>
    <n v="371015"/>
    <n v="9.52"/>
    <n v="20306"/>
    <n v="1291"/>
  </r>
  <r>
    <x v="15"/>
    <s v="YouTube"/>
    <n v="685"/>
    <n v="285"/>
    <n v="177452"/>
    <n v="3.36"/>
    <n v="21134"/>
    <n v="400"/>
  </r>
  <r>
    <x v="16"/>
    <s v="Instagram"/>
    <n v="1290"/>
    <n v="177"/>
    <n v="80745"/>
    <n v="9.2200000000000006"/>
    <n v="26872"/>
    <n v="1113"/>
  </r>
  <r>
    <x v="16"/>
    <s v="Twitter"/>
    <n v="1437"/>
    <n v="239"/>
    <n v="362441"/>
    <n v="5.57"/>
    <n v="10253"/>
    <n v="1198"/>
  </r>
  <r>
    <x v="16"/>
    <s v="YouTube"/>
    <n v="769"/>
    <n v="295"/>
    <n v="344771"/>
    <n v="8.06"/>
    <n v="23963"/>
    <n v="474"/>
  </r>
  <r>
    <x v="17"/>
    <s v="Instagram"/>
    <n v="1416"/>
    <n v="284"/>
    <n v="374952"/>
    <n v="3.45"/>
    <n v="11335"/>
    <n v="1132"/>
  </r>
  <r>
    <x v="17"/>
    <s v="Twitter"/>
    <n v="998"/>
    <n v="154"/>
    <n v="179781"/>
    <n v="9.58"/>
    <n v="12115"/>
    <n v="844"/>
  </r>
  <r>
    <x v="17"/>
    <s v="YouTube"/>
    <n v="1421"/>
    <n v="246"/>
    <n v="358581"/>
    <n v="8.8800000000000008"/>
    <n v="24358"/>
    <n v="1175"/>
  </r>
  <r>
    <x v="18"/>
    <s v="Instagram"/>
    <n v="764"/>
    <n v="205"/>
    <n v="319294"/>
    <n v="6.23"/>
    <n v="12181"/>
    <n v="559"/>
  </r>
  <r>
    <x v="18"/>
    <s v="Twitter"/>
    <n v="678"/>
    <n v="124"/>
    <n v="192022"/>
    <n v="8.4499999999999993"/>
    <n v="17729"/>
    <n v="554"/>
  </r>
  <r>
    <x v="18"/>
    <s v="YouTube"/>
    <n v="1328"/>
    <n v="103"/>
    <n v="151462"/>
    <n v="8.4"/>
    <n v="10881"/>
    <n v="1225"/>
  </r>
  <r>
    <x v="19"/>
    <s v="Instagram"/>
    <n v="1161"/>
    <n v="269"/>
    <n v="188193"/>
    <n v="7.34"/>
    <n v="18576"/>
    <n v="892"/>
  </r>
  <r>
    <x v="19"/>
    <s v="Twitter"/>
    <n v="588"/>
    <n v="52"/>
    <n v="292040"/>
    <n v="8.14"/>
    <n v="9383"/>
    <n v="536"/>
  </r>
  <r>
    <x v="19"/>
    <s v="YouTube"/>
    <n v="1457"/>
    <n v="215"/>
    <n v="325325"/>
    <n v="9.58"/>
    <n v="14178"/>
    <n v="1242"/>
  </r>
  <r>
    <x v="20"/>
    <s v="Instagram"/>
    <n v="1190"/>
    <n v="242"/>
    <n v="86849"/>
    <n v="8.06"/>
    <n v="21254"/>
    <n v="948"/>
  </r>
  <r>
    <x v="20"/>
    <s v="Twitter"/>
    <n v="886"/>
    <n v="124"/>
    <n v="141161"/>
    <n v="8.19"/>
    <n v="14215"/>
    <n v="762"/>
  </r>
  <r>
    <x v="20"/>
    <s v="YouTube"/>
    <n v="1237"/>
    <n v="155"/>
    <n v="149916"/>
    <n v="4.4800000000000004"/>
    <n v="16921"/>
    <n v="1082"/>
  </r>
  <r>
    <x v="21"/>
    <s v="Instagram"/>
    <n v="1435"/>
    <n v="261"/>
    <n v="308533"/>
    <n v="4.5199999999999996"/>
    <n v="25130"/>
    <n v="1174"/>
  </r>
  <r>
    <x v="21"/>
    <s v="Twitter"/>
    <n v="746"/>
    <n v="282"/>
    <n v="293894"/>
    <n v="5.42"/>
    <n v="25537"/>
    <n v="464"/>
  </r>
  <r>
    <x v="21"/>
    <s v="YouTube"/>
    <n v="759"/>
    <n v="216"/>
    <n v="147656"/>
    <n v="4.08"/>
    <n v="24943"/>
    <n v="543"/>
  </r>
  <r>
    <x v="22"/>
    <s v="Instagram"/>
    <n v="1437"/>
    <n v="235"/>
    <n v="326791"/>
    <n v="4.0599999999999996"/>
    <n v="14563"/>
    <n v="1202"/>
  </r>
  <r>
    <x v="22"/>
    <s v="Twitter"/>
    <n v="1463"/>
    <n v="73"/>
    <n v="348877"/>
    <n v="9.91"/>
    <n v="26273"/>
    <n v="1390"/>
  </r>
  <r>
    <x v="22"/>
    <s v="YouTube"/>
    <n v="1208"/>
    <n v="224"/>
    <n v="122730"/>
    <n v="8.7200000000000006"/>
    <n v="10858"/>
    <n v="984"/>
  </r>
  <r>
    <x v="23"/>
    <s v="Instagram"/>
    <n v="1391"/>
    <n v="187"/>
    <n v="306508"/>
    <n v="8.3800000000000008"/>
    <n v="25038"/>
    <n v="1204"/>
  </r>
  <r>
    <x v="23"/>
    <s v="Twitter"/>
    <n v="655"/>
    <n v="123"/>
    <n v="202472"/>
    <n v="7.56"/>
    <n v="9092"/>
    <n v="532"/>
  </r>
  <r>
    <x v="23"/>
    <s v="YouTube"/>
    <n v="1148"/>
    <n v="90"/>
    <n v="227249"/>
    <n v="7.24"/>
    <n v="17662"/>
    <n v="1058"/>
  </r>
  <r>
    <x v="24"/>
    <s v="Instagram"/>
    <n v="946"/>
    <n v="270"/>
    <n v="246567"/>
    <n v="4.53"/>
    <n v="5924"/>
    <n v="676"/>
  </r>
  <r>
    <x v="24"/>
    <s v="Twitter"/>
    <n v="791"/>
    <n v="214"/>
    <n v="114738"/>
    <n v="6.62"/>
    <n v="25347"/>
    <n v="577"/>
  </r>
  <r>
    <x v="24"/>
    <s v="YouTube"/>
    <n v="793"/>
    <n v="111"/>
    <n v="333500"/>
    <n v="6.36"/>
    <n v="8910"/>
    <n v="682"/>
  </r>
  <r>
    <x v="25"/>
    <s v="Instagram"/>
    <n v="663"/>
    <n v="213"/>
    <n v="352677"/>
    <n v="9"/>
    <n v="20438"/>
    <n v="450"/>
  </r>
  <r>
    <x v="25"/>
    <s v="Twitter"/>
    <n v="954"/>
    <n v="271"/>
    <n v="160936"/>
    <n v="8.83"/>
    <n v="8760"/>
    <n v="683"/>
  </r>
  <r>
    <x v="25"/>
    <s v="YouTube"/>
    <n v="1313"/>
    <n v="159"/>
    <n v="197183"/>
    <n v="9.7100000000000009"/>
    <n v="6625"/>
    <n v="1154"/>
  </r>
  <r>
    <x v="26"/>
    <s v="Instagram"/>
    <n v="895"/>
    <n v="87"/>
    <n v="171271"/>
    <n v="6.68"/>
    <n v="23329"/>
    <n v="808"/>
  </r>
  <r>
    <x v="26"/>
    <s v="Twitter"/>
    <n v="1027"/>
    <n v="156"/>
    <n v="111293"/>
    <n v="5.51"/>
    <n v="7299"/>
    <n v="871"/>
  </r>
  <r>
    <x v="26"/>
    <s v="YouTube"/>
    <n v="990"/>
    <n v="286"/>
    <n v="351493"/>
    <n v="7.97"/>
    <n v="14496"/>
    <n v="704"/>
  </r>
  <r>
    <x v="27"/>
    <s v="Instagram"/>
    <n v="875"/>
    <n v="264"/>
    <n v="345631"/>
    <n v="9.18"/>
    <n v="25703"/>
    <n v="611"/>
  </r>
  <r>
    <x v="27"/>
    <s v="Twitter"/>
    <n v="599"/>
    <n v="194"/>
    <n v="105622"/>
    <n v="6.44"/>
    <n v="15108"/>
    <n v="405"/>
  </r>
  <r>
    <x v="27"/>
    <s v="YouTube"/>
    <n v="630"/>
    <n v="248"/>
    <n v="119054"/>
    <n v="5.0199999999999996"/>
    <n v="18867"/>
    <n v="382"/>
  </r>
  <r>
    <x v="28"/>
    <s v="Instagram"/>
    <n v="1350"/>
    <n v="233"/>
    <n v="171670"/>
    <n v="4.53"/>
    <n v="17574"/>
    <n v="1117"/>
  </r>
  <r>
    <x v="28"/>
    <s v="Twitter"/>
    <n v="632"/>
    <n v="155"/>
    <n v="170432"/>
    <n v="9.17"/>
    <n v="12840"/>
    <n v="477"/>
  </r>
  <r>
    <x v="28"/>
    <s v="YouTube"/>
    <n v="1182"/>
    <n v="83"/>
    <n v="140300"/>
    <n v="3.27"/>
    <n v="21079"/>
    <n v="1099"/>
  </r>
  <r>
    <x v="29"/>
    <s v="Instagram"/>
    <n v="661"/>
    <n v="94"/>
    <n v="116538"/>
    <n v="5.31"/>
    <n v="23486"/>
    <n v="567"/>
  </r>
  <r>
    <x v="29"/>
    <s v="Twitter"/>
    <n v="1360"/>
    <n v="227"/>
    <n v="176902"/>
    <n v="6.03"/>
    <n v="5960"/>
    <n v="1133"/>
  </r>
  <r>
    <x v="29"/>
    <s v="YouTube"/>
    <n v="935"/>
    <n v="85"/>
    <n v="326821"/>
    <n v="8.89"/>
    <n v="13301"/>
    <n v="850"/>
  </r>
  <r>
    <x v="30"/>
    <s v="Instagram"/>
    <n v="664"/>
    <n v="251"/>
    <n v="240598"/>
    <n v="4.79"/>
    <n v="10563"/>
    <n v="413"/>
  </r>
  <r>
    <x v="30"/>
    <s v="Twitter"/>
    <n v="1490"/>
    <n v="103"/>
    <n v="373274"/>
    <n v="4.8"/>
    <n v="19949"/>
    <n v="1387"/>
  </r>
  <r>
    <x v="30"/>
    <s v="YouTube"/>
    <n v="601"/>
    <n v="64"/>
    <n v="123272"/>
    <n v="4.07"/>
    <n v="14273"/>
    <n v="537"/>
  </r>
  <r>
    <x v="31"/>
    <s v="Instagram"/>
    <n v="613"/>
    <n v="170"/>
    <n v="139266"/>
    <n v="6.06"/>
    <n v="9247"/>
    <n v="443"/>
  </r>
  <r>
    <x v="31"/>
    <s v="Twitter"/>
    <n v="1340"/>
    <n v="57"/>
    <n v="155927"/>
    <n v="7.79"/>
    <n v="11972"/>
    <n v="1283"/>
  </r>
  <r>
    <x v="31"/>
    <s v="YouTube"/>
    <n v="953"/>
    <n v="228"/>
    <n v="258398"/>
    <n v="9.0500000000000007"/>
    <n v="13314"/>
    <n v="725"/>
  </r>
  <r>
    <x v="32"/>
    <s v="Instagram"/>
    <n v="532"/>
    <n v="65"/>
    <n v="338561"/>
    <n v="3.5"/>
    <n v="14749"/>
    <n v="467"/>
  </r>
  <r>
    <x v="32"/>
    <s v="Twitter"/>
    <n v="1414"/>
    <n v="60"/>
    <n v="341856"/>
    <n v="8.76"/>
    <n v="6868"/>
    <n v="1354"/>
  </r>
  <r>
    <x v="32"/>
    <s v="YouTube"/>
    <n v="685"/>
    <n v="165"/>
    <n v="175860"/>
    <n v="6.26"/>
    <n v="6027"/>
    <n v="520"/>
  </r>
  <r>
    <x v="33"/>
    <s v="Instagram"/>
    <n v="601"/>
    <n v="159"/>
    <n v="327722"/>
    <n v="3.33"/>
    <n v="25267"/>
    <n v="442"/>
  </r>
  <r>
    <x v="33"/>
    <s v="Twitter"/>
    <n v="841"/>
    <n v="295"/>
    <n v="271638"/>
    <n v="9.15"/>
    <n v="5900"/>
    <n v="546"/>
  </r>
  <r>
    <x v="33"/>
    <s v="YouTube"/>
    <n v="1105"/>
    <n v="261"/>
    <n v="333851"/>
    <n v="6.03"/>
    <n v="11181"/>
    <n v="844"/>
  </r>
  <r>
    <x v="34"/>
    <s v="Instagram"/>
    <n v="566"/>
    <n v="225"/>
    <n v="368984"/>
    <n v="9.82"/>
    <n v="9592"/>
    <n v="341"/>
  </r>
  <r>
    <x v="34"/>
    <s v="Twitter"/>
    <n v="1149"/>
    <n v="280"/>
    <n v="167310"/>
    <n v="3.7"/>
    <n v="5291"/>
    <n v="869"/>
  </r>
  <r>
    <x v="34"/>
    <s v="YouTube"/>
    <n v="819"/>
    <n v="101"/>
    <n v="194811"/>
    <n v="3.35"/>
    <n v="22244"/>
    <n v="718"/>
  </r>
  <r>
    <x v="35"/>
    <s v="Instagram"/>
    <n v="795"/>
    <n v="60"/>
    <n v="314982"/>
    <n v="7.31"/>
    <n v="6824"/>
    <n v="735"/>
  </r>
  <r>
    <x v="35"/>
    <s v="Twitter"/>
    <n v="681"/>
    <n v="158"/>
    <n v="75960"/>
    <n v="3.13"/>
    <n v="24112"/>
    <n v="523"/>
  </r>
  <r>
    <x v="35"/>
    <s v="YouTube"/>
    <n v="534"/>
    <n v="112"/>
    <n v="360759"/>
    <n v="4.8899999999999997"/>
    <n v="25478"/>
    <n v="422"/>
  </r>
  <r>
    <x v="36"/>
    <s v="Instagram"/>
    <n v="1066"/>
    <n v="151"/>
    <n v="297090"/>
    <n v="8.6300000000000008"/>
    <n v="11235"/>
    <n v="915"/>
  </r>
  <r>
    <x v="36"/>
    <s v="Twitter"/>
    <n v="1270"/>
    <n v="162"/>
    <n v="92040"/>
    <n v="8.0299999999999994"/>
    <n v="6120"/>
    <n v="1108"/>
  </r>
  <r>
    <x v="36"/>
    <s v="YouTube"/>
    <n v="536"/>
    <n v="198"/>
    <n v="174610"/>
    <n v="7.85"/>
    <n v="20572"/>
    <n v="338"/>
  </r>
  <r>
    <x v="37"/>
    <s v="Instagram"/>
    <n v="819"/>
    <n v="95"/>
    <n v="177376"/>
    <n v="6.12"/>
    <n v="14975"/>
    <n v="724"/>
  </r>
  <r>
    <x v="37"/>
    <s v="Twitter"/>
    <n v="681"/>
    <n v="218"/>
    <n v="198882"/>
    <n v="7.16"/>
    <n v="22234"/>
    <n v="463"/>
  </r>
  <r>
    <x v="37"/>
    <s v="YouTube"/>
    <n v="646"/>
    <n v="290"/>
    <n v="336383"/>
    <n v="7.04"/>
    <n v="6532"/>
    <n v="356"/>
  </r>
  <r>
    <x v="38"/>
    <s v="Instagram"/>
    <n v="645"/>
    <n v="267"/>
    <n v="346890"/>
    <n v="3.71"/>
    <n v="24858"/>
    <n v="378"/>
  </r>
  <r>
    <x v="38"/>
    <s v="Twitter"/>
    <n v="886"/>
    <n v="250"/>
    <n v="168170"/>
    <n v="4.12"/>
    <n v="13883"/>
    <n v="636"/>
  </r>
  <r>
    <x v="38"/>
    <s v="YouTube"/>
    <n v="978"/>
    <n v="279"/>
    <n v="368872"/>
    <n v="6.82"/>
    <n v="18654"/>
    <n v="699"/>
  </r>
  <r>
    <x v="39"/>
    <s v="Instagram"/>
    <n v="1444"/>
    <n v="165"/>
    <n v="116436"/>
    <n v="8.2200000000000006"/>
    <n v="25234"/>
    <n v="1279"/>
  </r>
  <r>
    <x v="39"/>
    <s v="Twitter"/>
    <n v="1234"/>
    <n v="228"/>
    <n v="127502"/>
    <n v="7.71"/>
    <n v="6772"/>
    <n v="1006"/>
  </r>
  <r>
    <x v="39"/>
    <s v="YouTube"/>
    <n v="665"/>
    <n v="187"/>
    <n v="274567"/>
    <n v="7.39"/>
    <n v="22428"/>
    <n v="478"/>
  </r>
  <r>
    <x v="40"/>
    <s v="Instagram"/>
    <n v="631"/>
    <n v="86"/>
    <n v="295090"/>
    <n v="7.89"/>
    <n v="11911"/>
    <n v="545"/>
  </r>
  <r>
    <x v="40"/>
    <s v="Twitter"/>
    <n v="1159"/>
    <n v="154"/>
    <n v="194994"/>
    <n v="6.39"/>
    <n v="21900"/>
    <n v="1005"/>
  </r>
  <r>
    <x v="40"/>
    <s v="YouTube"/>
    <n v="950"/>
    <n v="185"/>
    <n v="340750"/>
    <n v="6.77"/>
    <n v="25542"/>
    <n v="765"/>
  </r>
  <r>
    <x v="41"/>
    <s v="Instagram"/>
    <n v="693"/>
    <n v="129"/>
    <n v="296031"/>
    <n v="3.41"/>
    <n v="7140"/>
    <n v="564"/>
  </r>
  <r>
    <x v="41"/>
    <s v="Twitter"/>
    <n v="576"/>
    <n v="80"/>
    <n v="345688"/>
    <n v="4.1100000000000003"/>
    <n v="20474"/>
    <n v="496"/>
  </r>
  <r>
    <x v="41"/>
    <s v="YouTube"/>
    <n v="1274"/>
    <n v="146"/>
    <n v="263488"/>
    <n v="9.58"/>
    <n v="8698"/>
    <n v="1128"/>
  </r>
  <r>
    <x v="42"/>
    <s v="Instagram"/>
    <n v="818"/>
    <n v="253"/>
    <n v="184911"/>
    <n v="3.39"/>
    <n v="10402"/>
    <n v="565"/>
  </r>
  <r>
    <x v="42"/>
    <s v="Twitter"/>
    <n v="975"/>
    <n v="162"/>
    <n v="124497"/>
    <n v="9.58"/>
    <n v="26618"/>
    <n v="813"/>
  </r>
  <r>
    <x v="42"/>
    <s v="YouTube"/>
    <n v="1398"/>
    <n v="97"/>
    <n v="397607"/>
    <n v="5.09"/>
    <n v="7975"/>
    <n v="1301"/>
  </r>
  <r>
    <x v="43"/>
    <s v="Instagram"/>
    <n v="591"/>
    <n v="155"/>
    <n v="138521"/>
    <n v="7.85"/>
    <n v="19054"/>
    <n v="436"/>
  </r>
  <r>
    <x v="43"/>
    <s v="Twitter"/>
    <n v="1232"/>
    <n v="254"/>
    <n v="107718"/>
    <n v="9.7100000000000009"/>
    <n v="13740"/>
    <n v="978"/>
  </r>
  <r>
    <x v="43"/>
    <s v="YouTube"/>
    <n v="1425"/>
    <n v="58"/>
    <n v="202234"/>
    <n v="6.67"/>
    <n v="18442"/>
    <n v="1367"/>
  </r>
  <r>
    <x v="44"/>
    <s v="Instagram"/>
    <n v="1417"/>
    <n v="80"/>
    <n v="340987"/>
    <n v="6.13"/>
    <n v="10104"/>
    <n v="1337"/>
  </r>
  <r>
    <x v="44"/>
    <s v="Twitter"/>
    <n v="1222"/>
    <n v="208"/>
    <n v="340098"/>
    <n v="7.34"/>
    <n v="21771"/>
    <n v="1014"/>
  </r>
  <r>
    <x v="44"/>
    <s v="YouTube"/>
    <n v="1071"/>
    <n v="131"/>
    <n v="254727"/>
    <n v="6.87"/>
    <n v="22191"/>
    <n v="940"/>
  </r>
  <r>
    <x v="45"/>
    <s v="Instagram"/>
    <n v="772"/>
    <n v="82"/>
    <n v="345659"/>
    <n v="3.52"/>
    <n v="27753"/>
    <n v="690"/>
  </r>
  <r>
    <x v="45"/>
    <s v="Twitter"/>
    <n v="1472"/>
    <n v="137"/>
    <n v="213950"/>
    <n v="6.96"/>
    <n v="23736"/>
    <n v="1335"/>
  </r>
  <r>
    <x v="45"/>
    <s v="YouTube"/>
    <n v="1472"/>
    <n v="281"/>
    <n v="258115"/>
    <n v="7.23"/>
    <n v="27393"/>
    <n v="1191"/>
  </r>
  <r>
    <x v="46"/>
    <s v="Instagram"/>
    <n v="585"/>
    <n v="232"/>
    <n v="321258"/>
    <n v="7.42"/>
    <n v="10343"/>
    <n v="353"/>
  </r>
  <r>
    <x v="46"/>
    <s v="Twitter"/>
    <n v="747"/>
    <n v="261"/>
    <n v="338650"/>
    <n v="7.73"/>
    <n v="25259"/>
    <n v="486"/>
  </r>
  <r>
    <x v="46"/>
    <s v="YouTube"/>
    <n v="1113"/>
    <n v="224"/>
    <n v="272989"/>
    <n v="5.13"/>
    <n v="24827"/>
    <n v="889"/>
  </r>
  <r>
    <x v="47"/>
    <s v="Instagram"/>
    <n v="1100"/>
    <n v="117"/>
    <n v="260204"/>
    <n v="4.4000000000000004"/>
    <n v="11908"/>
    <n v="983"/>
  </r>
  <r>
    <x v="47"/>
    <s v="Twitter"/>
    <n v="751"/>
    <n v="170"/>
    <n v="283278"/>
    <n v="3.49"/>
    <n v="11005"/>
    <n v="581"/>
  </r>
  <r>
    <x v="47"/>
    <s v="YouTube"/>
    <n v="864"/>
    <n v="50"/>
    <n v="277445"/>
    <n v="3.57"/>
    <n v="26333"/>
    <n v="814"/>
  </r>
  <r>
    <x v="48"/>
    <s v="Instagram"/>
    <n v="1146"/>
    <n v="227"/>
    <n v="353781"/>
    <n v="6.41"/>
    <n v="5495"/>
    <n v="919"/>
  </r>
  <r>
    <x v="48"/>
    <s v="Twitter"/>
    <n v="883"/>
    <n v="207"/>
    <n v="265019"/>
    <n v="6.04"/>
    <n v="15655"/>
    <n v="676"/>
  </r>
  <r>
    <x v="48"/>
    <s v="YouTube"/>
    <n v="622"/>
    <n v="163"/>
    <n v="231925"/>
    <n v="9.18"/>
    <n v="13763"/>
    <n v="459"/>
  </r>
  <r>
    <x v="49"/>
    <s v="Instagram"/>
    <n v="837"/>
    <n v="261"/>
    <n v="366149"/>
    <n v="6.54"/>
    <n v="26073"/>
    <n v="576"/>
  </r>
  <r>
    <x v="49"/>
    <s v="Twitter"/>
    <n v="544"/>
    <n v="97"/>
    <n v="168375"/>
    <n v="8.66"/>
    <n v="12774"/>
    <n v="447"/>
  </r>
  <r>
    <x v="49"/>
    <s v="YouTube"/>
    <n v="624"/>
    <n v="247"/>
    <n v="252763"/>
    <n v="3.89"/>
    <n v="19000"/>
    <n v="377"/>
  </r>
  <r>
    <x v="50"/>
    <s v="Instagram"/>
    <n v="1073"/>
    <n v="141"/>
    <n v="118393"/>
    <n v="7.95"/>
    <n v="14051"/>
    <n v="932"/>
  </r>
  <r>
    <x v="50"/>
    <s v="Twitter"/>
    <n v="1430"/>
    <n v="74"/>
    <n v="327012"/>
    <n v="6.66"/>
    <n v="27782"/>
    <n v="1356"/>
  </r>
  <r>
    <x v="50"/>
    <s v="YouTube"/>
    <n v="1358"/>
    <n v="77"/>
    <n v="169688"/>
    <n v="5.25"/>
    <n v="7859"/>
    <n v="1281"/>
  </r>
  <r>
    <x v="51"/>
    <s v="Instagram"/>
    <n v="1242"/>
    <n v="201"/>
    <n v="271935"/>
    <n v="5.07"/>
    <n v="15773"/>
    <n v="1041"/>
  </r>
  <r>
    <x v="51"/>
    <s v="Twitter"/>
    <n v="1389"/>
    <n v="205"/>
    <n v="315981"/>
    <n v="7.62"/>
    <n v="20595"/>
    <n v="1184"/>
  </r>
  <r>
    <x v="51"/>
    <s v="YouTube"/>
    <n v="826"/>
    <n v="142"/>
    <n v="341016"/>
    <n v="7.44"/>
    <n v="12031"/>
    <n v="684"/>
  </r>
  <r>
    <x v="52"/>
    <s v="Instagram"/>
    <n v="618"/>
    <n v="264"/>
    <n v="285164"/>
    <n v="4.8600000000000003"/>
    <n v="15128"/>
    <n v="354"/>
  </r>
  <r>
    <x v="52"/>
    <s v="Twitter"/>
    <n v="1419"/>
    <n v="293"/>
    <n v="116632"/>
    <n v="6.93"/>
    <n v="11826"/>
    <n v="1126"/>
  </r>
  <r>
    <x v="52"/>
    <s v="YouTube"/>
    <n v="637"/>
    <n v="68"/>
    <n v="115694"/>
    <n v="9.99"/>
    <n v="12562"/>
    <n v="569"/>
  </r>
  <r>
    <x v="53"/>
    <s v="Instagram"/>
    <n v="917"/>
    <n v="187"/>
    <n v="64444"/>
    <n v="5.22"/>
    <n v="13013"/>
    <n v="730"/>
  </r>
  <r>
    <x v="53"/>
    <s v="Twitter"/>
    <n v="810"/>
    <n v="232"/>
    <n v="362559"/>
    <n v="5.17"/>
    <n v="12937"/>
    <n v="578"/>
  </r>
  <r>
    <x v="53"/>
    <s v="YouTube"/>
    <n v="1183"/>
    <n v="248"/>
    <n v="226881"/>
    <n v="5.17"/>
    <n v="14534"/>
    <n v="935"/>
  </r>
  <r>
    <x v="54"/>
    <s v="Instagram"/>
    <n v="765"/>
    <n v="67"/>
    <n v="283537"/>
    <n v="6.18"/>
    <n v="8182"/>
    <n v="698"/>
  </r>
  <r>
    <x v="54"/>
    <s v="Twitter"/>
    <n v="540"/>
    <n v="215"/>
    <n v="62837"/>
    <n v="5.3"/>
    <n v="10615"/>
    <n v="325"/>
  </r>
  <r>
    <x v="54"/>
    <s v="YouTube"/>
    <n v="1145"/>
    <n v="151"/>
    <n v="182759"/>
    <n v="5.99"/>
    <n v="20109"/>
    <n v="994"/>
  </r>
  <r>
    <x v="55"/>
    <s v="Instagram"/>
    <n v="564"/>
    <n v="244"/>
    <n v="279405"/>
    <n v="8.43"/>
    <n v="26024"/>
    <n v="320"/>
  </r>
  <r>
    <x v="55"/>
    <s v="Twitter"/>
    <n v="668"/>
    <n v="124"/>
    <n v="257485"/>
    <n v="7.55"/>
    <n v="26730"/>
    <n v="544"/>
  </r>
  <r>
    <x v="55"/>
    <s v="YouTube"/>
    <n v="761"/>
    <n v="241"/>
    <n v="154977"/>
    <n v="5.63"/>
    <n v="10563"/>
    <n v="520"/>
  </r>
  <r>
    <x v="56"/>
    <s v="Instagram"/>
    <n v="593"/>
    <n v="108"/>
    <n v="216500"/>
    <n v="4.71"/>
    <n v="27575"/>
    <n v="485"/>
  </r>
  <r>
    <x v="56"/>
    <s v="Twitter"/>
    <n v="1349"/>
    <n v="115"/>
    <n v="102102"/>
    <n v="5.28"/>
    <n v="14479"/>
    <n v="1234"/>
  </r>
  <r>
    <x v="56"/>
    <s v="YouTube"/>
    <n v="693"/>
    <n v="97"/>
    <n v="92025"/>
    <n v="5.95"/>
    <n v="15915"/>
    <n v="596"/>
  </r>
  <r>
    <x v="57"/>
    <s v="Instagram"/>
    <n v="974"/>
    <n v="143"/>
    <n v="247965"/>
    <n v="9.98"/>
    <n v="12767"/>
    <n v="831"/>
  </r>
  <r>
    <x v="57"/>
    <s v="Twitter"/>
    <n v="1155"/>
    <n v="122"/>
    <n v="387352"/>
    <n v="9.93"/>
    <n v="12170"/>
    <n v="1033"/>
  </r>
  <r>
    <x v="57"/>
    <s v="YouTube"/>
    <n v="1051"/>
    <n v="246"/>
    <n v="253985"/>
    <n v="9.08"/>
    <n v="7245"/>
    <n v="805"/>
  </r>
  <r>
    <x v="58"/>
    <s v="Instagram"/>
    <n v="1457"/>
    <n v="183"/>
    <n v="129640"/>
    <n v="7.98"/>
    <n v="12985"/>
    <n v="1274"/>
  </r>
  <r>
    <x v="58"/>
    <s v="Twitter"/>
    <n v="670"/>
    <n v="242"/>
    <n v="281913"/>
    <n v="9.6199999999999992"/>
    <n v="16377"/>
    <n v="428"/>
  </r>
  <r>
    <x v="58"/>
    <s v="YouTube"/>
    <n v="1111"/>
    <n v="159"/>
    <n v="360770"/>
    <n v="8.7100000000000009"/>
    <n v="11453"/>
    <n v="952"/>
  </r>
  <r>
    <x v="59"/>
    <s v="Instagram"/>
    <n v="1197"/>
    <n v="246"/>
    <n v="127273"/>
    <n v="6.69"/>
    <n v="12323"/>
    <n v="951"/>
  </r>
  <r>
    <x v="59"/>
    <s v="Twitter"/>
    <n v="754"/>
    <n v="150"/>
    <n v="189622"/>
    <n v="4.25"/>
    <n v="11911"/>
    <n v="604"/>
  </r>
  <r>
    <x v="59"/>
    <s v="YouTube"/>
    <n v="1246"/>
    <n v="107"/>
    <n v="350949"/>
    <n v="4.9800000000000004"/>
    <n v="27809"/>
    <n v="1139"/>
  </r>
  <r>
    <x v="60"/>
    <s v="Instagram"/>
    <n v="780"/>
    <n v="213"/>
    <n v="121431"/>
    <n v="4.97"/>
    <n v="21464"/>
    <n v="567"/>
  </r>
  <r>
    <x v="60"/>
    <s v="Twitter"/>
    <n v="1425"/>
    <n v="143"/>
    <n v="116742"/>
    <n v="3.71"/>
    <n v="27126"/>
    <n v="1282"/>
  </r>
  <r>
    <x v="60"/>
    <s v="YouTube"/>
    <n v="1490"/>
    <n v="103"/>
    <n v="81184"/>
    <n v="7.79"/>
    <n v="10681"/>
    <n v="1387"/>
  </r>
  <r>
    <x v="61"/>
    <s v="Instagram"/>
    <n v="949"/>
    <n v="282"/>
    <n v="87126"/>
    <n v="4.96"/>
    <n v="5413"/>
    <n v="667"/>
  </r>
  <r>
    <x v="61"/>
    <s v="Twitter"/>
    <n v="640"/>
    <n v="141"/>
    <n v="267546"/>
    <n v="8.58"/>
    <n v="25058"/>
    <n v="499"/>
  </r>
  <r>
    <x v="61"/>
    <s v="YouTube"/>
    <n v="616"/>
    <n v="93"/>
    <n v="133082"/>
    <n v="8.51"/>
    <n v="18303"/>
    <n v="523"/>
  </r>
  <r>
    <x v="62"/>
    <s v="Instagram"/>
    <n v="1080"/>
    <n v="184"/>
    <n v="340557"/>
    <n v="5.41"/>
    <n v="5526"/>
    <n v="896"/>
  </r>
  <r>
    <x v="62"/>
    <s v="Twitter"/>
    <n v="938"/>
    <n v="236"/>
    <n v="116472"/>
    <n v="8.7200000000000006"/>
    <n v="17460"/>
    <n v="702"/>
  </r>
  <r>
    <x v="62"/>
    <s v="YouTube"/>
    <n v="1007"/>
    <n v="258"/>
    <n v="113412"/>
    <n v="7.71"/>
    <n v="14475"/>
    <n v="749"/>
  </r>
  <r>
    <x v="63"/>
    <s v="Instagram"/>
    <n v="541"/>
    <n v="208"/>
    <n v="157547"/>
    <n v="8.35"/>
    <n v="20162"/>
    <n v="333"/>
  </r>
  <r>
    <x v="63"/>
    <s v="Twitter"/>
    <n v="745"/>
    <n v="98"/>
    <n v="354816"/>
    <n v="4.03"/>
    <n v="17103"/>
    <n v="647"/>
  </r>
  <r>
    <x v="63"/>
    <s v="YouTube"/>
    <n v="936"/>
    <n v="97"/>
    <n v="151799"/>
    <n v="9.3699999999999992"/>
    <n v="15461"/>
    <n v="839"/>
  </r>
  <r>
    <x v="64"/>
    <s v="Instagram"/>
    <n v="1183"/>
    <n v="223"/>
    <n v="143811"/>
    <n v="6.07"/>
    <n v="22103"/>
    <n v="960"/>
  </r>
  <r>
    <x v="64"/>
    <s v="Twitter"/>
    <n v="1413"/>
    <n v="245"/>
    <n v="296450"/>
    <n v="6.52"/>
    <n v="11625"/>
    <n v="1168"/>
  </r>
  <r>
    <x v="64"/>
    <s v="YouTube"/>
    <n v="791"/>
    <n v="273"/>
    <n v="144049"/>
    <n v="3.08"/>
    <n v="5281"/>
    <n v="518"/>
  </r>
  <r>
    <x v="65"/>
    <s v="Instagram"/>
    <n v="1052"/>
    <n v="180"/>
    <n v="272534"/>
    <n v="5.34"/>
    <n v="13424"/>
    <n v="872"/>
  </r>
  <r>
    <x v="65"/>
    <s v="Twitter"/>
    <n v="572"/>
    <n v="270"/>
    <n v="82265"/>
    <n v="3.65"/>
    <n v="13140"/>
    <n v="302"/>
  </r>
  <r>
    <x v="65"/>
    <s v="YouTube"/>
    <n v="503"/>
    <n v="253"/>
    <n v="313562"/>
    <n v="4.18"/>
    <n v="19538"/>
    <n v="250"/>
  </r>
  <r>
    <x v="66"/>
    <s v="Instagram"/>
    <n v="1017"/>
    <n v="197"/>
    <n v="89918"/>
    <n v="3.91"/>
    <n v="7881"/>
    <n v="820"/>
  </r>
  <r>
    <x v="66"/>
    <s v="Twitter"/>
    <n v="860"/>
    <n v="244"/>
    <n v="348686"/>
    <n v="5.12"/>
    <n v="11418"/>
    <n v="6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1335C2-706C-4749-9AD5-676F572959FF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Week_Start_Date">
  <location ref="H7:I75" firstHeaderRow="1" firstDataRow="1" firstDataCol="1"/>
  <pivotFields count="8">
    <pivotField axis="axisRow" numFmtId="164" showAll="0" sortType="descending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numFmtId="1" showAll="0"/>
    <pivotField numFmtId="2" showAll="0"/>
    <pivotField numFmtId="165" showAll="0"/>
    <pivotField dataField="1" numFmtId="1" showAll="0"/>
  </pivotFields>
  <rowFields count="1">
    <field x="0"/>
  </rowFields>
  <rowItems count="68">
    <i>
      <x v="22"/>
    </i>
    <i>
      <x v="50"/>
    </i>
    <i>
      <x/>
    </i>
    <i>
      <x v="44"/>
    </i>
    <i>
      <x v="60"/>
    </i>
    <i>
      <x v="45"/>
    </i>
    <i>
      <x v="2"/>
    </i>
    <i>
      <x v="5"/>
    </i>
    <i>
      <x v="17"/>
    </i>
    <i>
      <x v="10"/>
    </i>
    <i>
      <x v="51"/>
    </i>
    <i>
      <x v="23"/>
    </i>
    <i>
      <x v="20"/>
    </i>
    <i>
      <x v="16"/>
    </i>
    <i>
      <x v="43"/>
    </i>
    <i>
      <x v="1"/>
    </i>
    <i>
      <x v="39"/>
    </i>
    <i>
      <x v="59"/>
    </i>
    <i>
      <x v="9"/>
    </i>
    <i>
      <x v="28"/>
    </i>
    <i>
      <x v="42"/>
    </i>
    <i>
      <x v="19"/>
    </i>
    <i>
      <x v="57"/>
    </i>
    <i>
      <x v="58"/>
    </i>
    <i>
      <x v="64"/>
    </i>
    <i>
      <x v="14"/>
    </i>
    <i>
      <x v="29"/>
    </i>
    <i>
      <x v="13"/>
    </i>
    <i>
      <x v="31"/>
    </i>
    <i>
      <x v="12"/>
    </i>
    <i>
      <x v="3"/>
    </i>
    <i>
      <x v="4"/>
    </i>
    <i>
      <x v="26"/>
    </i>
    <i>
      <x v="47"/>
    </i>
    <i>
      <x v="6"/>
    </i>
    <i>
      <x v="36"/>
    </i>
    <i>
      <x v="62"/>
    </i>
    <i>
      <x v="32"/>
    </i>
    <i>
      <x v="18"/>
    </i>
    <i>
      <x v="30"/>
    </i>
    <i>
      <x v="40"/>
    </i>
    <i>
      <x v="56"/>
    </i>
    <i>
      <x v="11"/>
    </i>
    <i>
      <x v="25"/>
    </i>
    <i>
      <x v="7"/>
    </i>
    <i>
      <x v="53"/>
    </i>
    <i>
      <x v="41"/>
    </i>
    <i>
      <x v="21"/>
    </i>
    <i>
      <x v="15"/>
    </i>
    <i>
      <x v="8"/>
    </i>
    <i>
      <x v="48"/>
    </i>
    <i>
      <x v="52"/>
    </i>
    <i>
      <x v="54"/>
    </i>
    <i>
      <x v="24"/>
    </i>
    <i>
      <x v="34"/>
    </i>
    <i>
      <x v="33"/>
    </i>
    <i>
      <x v="63"/>
    </i>
    <i>
      <x v="46"/>
    </i>
    <i>
      <x v="38"/>
    </i>
    <i>
      <x v="61"/>
    </i>
    <i>
      <x v="35"/>
    </i>
    <i>
      <x v="37"/>
    </i>
    <i>
      <x v="66"/>
    </i>
    <i>
      <x v="65"/>
    </i>
    <i>
      <x v="49"/>
    </i>
    <i>
      <x v="27"/>
    </i>
    <i>
      <x v="55"/>
    </i>
    <i t="grand">
      <x/>
    </i>
  </rowItems>
  <colItems count="1">
    <i/>
  </colItems>
  <dataFields count="1">
    <dataField name="Sum of Net follwer Gain" fld="7" baseField="0" baseItem="0" numFmtId="1"/>
  </dataFields>
  <formats count="21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0" type="button" dataOnly="0" labelOnly="1" outline="0" axis="axisRow" fieldPosition="0"/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grandRow="1" outline="0" fieldPosition="0"/>
    </format>
    <format dxfId="11">
      <pivotArea dataOnly="0" labelOnly="1" outline="0" axis="axisValues" fieldPosition="0"/>
    </format>
    <format dxfId="10">
      <pivotArea field="0" type="button" dataOnly="0" labelOnly="1" outline="0" axis="axisRow" fieldPosition="0"/>
    </format>
    <format dxfId="9">
      <pivotArea dataOnly="0" labelOnly="1" outline="0" axis="axisValues" fieldPosition="0"/>
    </format>
    <format dxfId="8">
      <pivotArea field="0" type="button" dataOnly="0" labelOnly="1" outline="0" axis="axisRow" fieldPosition="0"/>
    </format>
    <format dxfId="7">
      <pivotArea dataOnly="0" labelOnly="1" outline="0" axis="axisValues" fieldPosition="0"/>
    </format>
    <format dxfId="6">
      <pivotArea field="0" type="button" dataOnly="0" labelOnly="1" outline="0" axis="axisRow" fieldPosition="0"/>
    </format>
    <format dxfId="5">
      <pivotArea collapsedLevelsAreSubtotals="1" fieldPosition="0">
        <references count="1">
          <reference field="0" count="0"/>
        </references>
      </pivotArea>
    </format>
    <format dxfId="4">
      <pivotArea field="0" type="button" dataOnly="0" labelOnly="1" outline="0" axis="axisRow" fieldPosition="0"/>
    </format>
    <format dxfId="3">
      <pivotArea dataOnly="0" labelOnly="1" outline="0" axis="axisValues" fieldPosition="0"/>
    </format>
    <format dxfId="2">
      <pivotArea collapsedLevelsAreSubtotals="1" fieldPosition="0">
        <references count="1">
          <reference field="0" count="1">
            <x v="22"/>
          </reference>
        </references>
      </pivotArea>
    </format>
    <format dxfId="1">
      <pivotArea dataOnly="0" labelOnly="1" fieldPosition="0">
        <references count="1">
          <reference field="0" count="1">
            <x v="22"/>
          </reference>
        </references>
      </pivotArea>
    </format>
    <format dxfId="0">
      <pivotArea collapsedLevelsAreSubtotals="1" fieldPosition="0">
        <references count="1">
          <reference field="0" count="1">
            <x v="22"/>
          </reference>
        </references>
      </pivotArea>
    </format>
  </formats>
  <pivotTableStyleInfo name="PivotStyleMedium9" showRowHeaders="1" showColHeaders="0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7CB5-DBEC-43F5-A6EC-01FE92CE34C2}">
  <sheetPr codeName="Sheet5"/>
  <dimension ref="A1:I1000"/>
  <sheetViews>
    <sheetView tabSelected="1" zoomScale="130" zoomScaleNormal="130" workbookViewId="0">
      <selection activeCell="I17" sqref="I17"/>
    </sheetView>
  </sheetViews>
  <sheetFormatPr defaultColWidth="15.77734375" defaultRowHeight="15" customHeight="1"/>
  <cols>
    <col min="1" max="1" width="17.88671875" style="30" bestFit="1" customWidth="1"/>
    <col min="2" max="2" width="12.88671875" style="11" customWidth="1"/>
    <col min="3" max="3" width="16.109375" style="9" bestFit="1" customWidth="1"/>
    <col min="4" max="4" width="11.5546875" style="9" customWidth="1"/>
    <col min="5" max="5" width="17.44140625" style="9" customWidth="1"/>
    <col min="6" max="6" width="19.44140625" style="7" customWidth="1"/>
    <col min="7" max="7" width="12.21875" style="9" customWidth="1"/>
    <col min="8" max="8" width="16.6640625" style="9" bestFit="1" customWidth="1"/>
    <col min="9" max="9" width="18.5546875" bestFit="1" customWidth="1"/>
    <col min="10" max="20" width="8.6640625" customWidth="1"/>
  </cols>
  <sheetData>
    <row r="1" spans="1:9" ht="19.95" customHeight="1">
      <c r="A1" s="28" t="s">
        <v>9</v>
      </c>
      <c r="B1" s="3" t="s">
        <v>0</v>
      </c>
      <c r="C1" s="1" t="s">
        <v>10</v>
      </c>
      <c r="D1" s="1" t="s">
        <v>11</v>
      </c>
      <c r="E1" s="1" t="s">
        <v>12</v>
      </c>
      <c r="F1" s="6" t="s">
        <v>13</v>
      </c>
      <c r="G1" s="1" t="s">
        <v>14</v>
      </c>
      <c r="H1" s="38" t="s">
        <v>34</v>
      </c>
    </row>
    <row r="2" spans="1:9" ht="14.4">
      <c r="A2" s="29">
        <v>45446</v>
      </c>
      <c r="B2" s="10" t="s">
        <v>2</v>
      </c>
      <c r="C2" s="8">
        <v>1402</v>
      </c>
      <c r="D2" s="8">
        <v>68</v>
      </c>
      <c r="E2" s="8">
        <v>124562</v>
      </c>
      <c r="F2" s="5">
        <v>9.92</v>
      </c>
      <c r="G2" s="8">
        <v>23125</v>
      </c>
      <c r="H2" s="8">
        <f t="shared" ref="H2:H33" si="0">C2-D2</f>
        <v>1334</v>
      </c>
      <c r="I2" s="12"/>
    </row>
    <row r="3" spans="1:9" ht="14.4">
      <c r="A3" s="29">
        <v>45446</v>
      </c>
      <c r="B3" s="10" t="s">
        <v>5</v>
      </c>
      <c r="C3" s="8">
        <v>995</v>
      </c>
      <c r="D3" s="8">
        <v>86</v>
      </c>
      <c r="E3" s="8">
        <v>227958</v>
      </c>
      <c r="F3" s="5">
        <v>8.0500000000000007</v>
      </c>
      <c r="G3" s="8">
        <v>22788</v>
      </c>
      <c r="H3" s="8">
        <f t="shared" si="0"/>
        <v>909</v>
      </c>
      <c r="I3" s="12"/>
    </row>
    <row r="4" spans="1:9" ht="14.4">
      <c r="A4" s="29">
        <v>45446</v>
      </c>
      <c r="B4" s="10" t="s">
        <v>6</v>
      </c>
      <c r="C4" s="8">
        <v>1472</v>
      </c>
      <c r="D4" s="8">
        <v>296</v>
      </c>
      <c r="E4" s="8">
        <v>370242</v>
      </c>
      <c r="F4" s="5">
        <v>7.72</v>
      </c>
      <c r="G4" s="8">
        <v>7810</v>
      </c>
      <c r="H4" s="8">
        <f t="shared" si="0"/>
        <v>1176</v>
      </c>
      <c r="I4" s="12"/>
    </row>
    <row r="5" spans="1:9" ht="14.4">
      <c r="A5" s="29">
        <v>45453</v>
      </c>
      <c r="B5" s="10" t="s">
        <v>2</v>
      </c>
      <c r="C5" s="8">
        <v>1018</v>
      </c>
      <c r="D5" s="8">
        <v>90</v>
      </c>
      <c r="E5" s="8">
        <v>92474</v>
      </c>
      <c r="F5" s="5">
        <v>9.4</v>
      </c>
      <c r="G5" s="8">
        <v>11966</v>
      </c>
      <c r="H5" s="8">
        <f t="shared" si="0"/>
        <v>928</v>
      </c>
      <c r="I5" s="12"/>
    </row>
    <row r="6" spans="1:9" ht="14.4">
      <c r="A6" s="29">
        <v>45453</v>
      </c>
      <c r="B6" s="10" t="s">
        <v>5</v>
      </c>
      <c r="C6" s="8">
        <v>1461</v>
      </c>
      <c r="D6" s="8">
        <v>64</v>
      </c>
      <c r="E6" s="8">
        <v>328902</v>
      </c>
      <c r="F6" s="5">
        <v>9.02</v>
      </c>
      <c r="G6" s="8">
        <v>26298</v>
      </c>
      <c r="H6" s="8">
        <f t="shared" si="0"/>
        <v>1397</v>
      </c>
      <c r="I6" s="12"/>
    </row>
    <row r="7" spans="1:9" ht="14.4">
      <c r="A7" s="29">
        <v>45453</v>
      </c>
      <c r="B7" s="10" t="s">
        <v>6</v>
      </c>
      <c r="C7" s="8">
        <v>545</v>
      </c>
      <c r="D7" s="8">
        <v>93</v>
      </c>
      <c r="E7" s="8">
        <v>391621</v>
      </c>
      <c r="F7" s="5">
        <v>9.9600000000000009</v>
      </c>
      <c r="G7" s="8">
        <v>22029</v>
      </c>
      <c r="H7" s="8">
        <f t="shared" si="0"/>
        <v>452</v>
      </c>
      <c r="I7" s="12"/>
    </row>
    <row r="8" spans="1:9" ht="14.4">
      <c r="A8" s="29">
        <v>45460</v>
      </c>
      <c r="B8" s="10" t="s">
        <v>2</v>
      </c>
      <c r="C8" s="8">
        <v>881</v>
      </c>
      <c r="D8" s="8">
        <v>291</v>
      </c>
      <c r="E8" s="8">
        <v>95885</v>
      </c>
      <c r="F8" s="5">
        <v>5.29</v>
      </c>
      <c r="G8" s="8">
        <v>12391</v>
      </c>
      <c r="H8" s="8">
        <f t="shared" si="0"/>
        <v>590</v>
      </c>
    </row>
    <row r="9" spans="1:9" ht="14.4">
      <c r="A9" s="29">
        <v>45460</v>
      </c>
      <c r="B9" s="10" t="s">
        <v>5</v>
      </c>
      <c r="C9" s="8">
        <v>1414</v>
      </c>
      <c r="D9" s="8">
        <v>131</v>
      </c>
      <c r="E9" s="8">
        <v>245947</v>
      </c>
      <c r="F9" s="5">
        <v>8.3000000000000007</v>
      </c>
      <c r="G9" s="8">
        <v>14477</v>
      </c>
      <c r="H9" s="8">
        <f t="shared" si="0"/>
        <v>1283</v>
      </c>
      <c r="I9" s="12"/>
    </row>
    <row r="10" spans="1:9" ht="14.4">
      <c r="A10" s="29">
        <v>45460</v>
      </c>
      <c r="B10" s="10" t="s">
        <v>6</v>
      </c>
      <c r="C10" s="8">
        <v>1472</v>
      </c>
      <c r="D10" s="8">
        <v>170</v>
      </c>
      <c r="E10" s="8">
        <v>250428</v>
      </c>
      <c r="F10" s="5">
        <v>4.66</v>
      </c>
      <c r="G10" s="8">
        <v>25040</v>
      </c>
      <c r="H10" s="8">
        <f t="shared" si="0"/>
        <v>1302</v>
      </c>
      <c r="I10" s="12"/>
    </row>
    <row r="11" spans="1:9" ht="14.4">
      <c r="A11" s="29">
        <v>45467</v>
      </c>
      <c r="B11" s="10" t="s">
        <v>2</v>
      </c>
      <c r="C11" s="8">
        <v>809</v>
      </c>
      <c r="D11" s="8">
        <v>197</v>
      </c>
      <c r="E11" s="8">
        <v>87186</v>
      </c>
      <c r="F11" s="5">
        <v>9.48</v>
      </c>
      <c r="G11" s="8">
        <v>22619</v>
      </c>
      <c r="H11" s="8">
        <f t="shared" si="0"/>
        <v>612</v>
      </c>
      <c r="I11" s="12"/>
    </row>
    <row r="12" spans="1:9" ht="14.4">
      <c r="A12" s="29">
        <v>45467</v>
      </c>
      <c r="B12" s="10" t="s">
        <v>5</v>
      </c>
      <c r="C12" s="8">
        <v>1371</v>
      </c>
      <c r="D12" s="8">
        <v>250</v>
      </c>
      <c r="E12" s="8">
        <v>128620</v>
      </c>
      <c r="F12" s="5">
        <v>7.11</v>
      </c>
      <c r="G12" s="8">
        <v>12399</v>
      </c>
      <c r="H12" s="8">
        <f t="shared" si="0"/>
        <v>1121</v>
      </c>
      <c r="I12" s="12"/>
    </row>
    <row r="13" spans="1:9" ht="14.4">
      <c r="A13" s="29">
        <v>45467</v>
      </c>
      <c r="B13" s="10" t="s">
        <v>6</v>
      </c>
      <c r="C13" s="8">
        <v>844</v>
      </c>
      <c r="D13" s="8">
        <v>144</v>
      </c>
      <c r="E13" s="8">
        <v>126015</v>
      </c>
      <c r="F13" s="5">
        <v>9.65</v>
      </c>
      <c r="G13" s="8">
        <v>22456</v>
      </c>
      <c r="H13" s="8">
        <f t="shared" si="0"/>
        <v>700</v>
      </c>
      <c r="I13" s="12"/>
    </row>
    <row r="14" spans="1:9" ht="14.4">
      <c r="A14" s="29">
        <v>45474</v>
      </c>
      <c r="B14" s="10" t="s">
        <v>2</v>
      </c>
      <c r="C14" s="8">
        <v>786</v>
      </c>
      <c r="D14" s="8">
        <v>72</v>
      </c>
      <c r="E14" s="8">
        <v>178615</v>
      </c>
      <c r="F14" s="5">
        <v>5.43</v>
      </c>
      <c r="G14" s="8">
        <v>19328</v>
      </c>
      <c r="H14" s="8">
        <f t="shared" si="0"/>
        <v>714</v>
      </c>
      <c r="I14" s="12"/>
    </row>
    <row r="15" spans="1:9" ht="14.4">
      <c r="A15" s="29">
        <v>45474</v>
      </c>
      <c r="B15" s="10" t="s">
        <v>5</v>
      </c>
      <c r="C15" s="8">
        <v>845</v>
      </c>
      <c r="D15" s="8">
        <v>250</v>
      </c>
      <c r="E15" s="8">
        <v>218228</v>
      </c>
      <c r="F15" s="5">
        <v>4.5199999999999996</v>
      </c>
      <c r="G15" s="8">
        <v>21107</v>
      </c>
      <c r="H15" s="8">
        <f t="shared" si="0"/>
        <v>595</v>
      </c>
      <c r="I15" s="12"/>
    </row>
    <row r="16" spans="1:9" ht="14.4">
      <c r="A16" s="29">
        <v>45474</v>
      </c>
      <c r="B16" s="10" t="s">
        <v>6</v>
      </c>
      <c r="C16" s="8">
        <v>1218</v>
      </c>
      <c r="D16" s="8">
        <v>101</v>
      </c>
      <c r="E16" s="8">
        <v>300397</v>
      </c>
      <c r="F16" s="5">
        <v>4.33</v>
      </c>
      <c r="G16" s="8">
        <v>12277</v>
      </c>
      <c r="H16" s="8">
        <f t="shared" si="0"/>
        <v>1117</v>
      </c>
      <c r="I16" s="12"/>
    </row>
    <row r="17" spans="1:9" ht="14.4">
      <c r="A17" s="29">
        <v>45481</v>
      </c>
      <c r="B17" s="10" t="s">
        <v>2</v>
      </c>
      <c r="C17" s="8">
        <v>797</v>
      </c>
      <c r="D17" s="8">
        <v>130</v>
      </c>
      <c r="E17" s="8">
        <v>340121</v>
      </c>
      <c r="F17" s="5">
        <v>8.52</v>
      </c>
      <c r="G17" s="8">
        <v>11684</v>
      </c>
      <c r="H17" s="8">
        <f t="shared" si="0"/>
        <v>667</v>
      </c>
    </row>
    <row r="18" spans="1:9" ht="14.4">
      <c r="A18" s="29">
        <v>45481</v>
      </c>
      <c r="B18" s="10" t="s">
        <v>5</v>
      </c>
      <c r="C18" s="8">
        <v>1471</v>
      </c>
      <c r="D18" s="8">
        <v>100</v>
      </c>
      <c r="E18" s="8">
        <v>76866</v>
      </c>
      <c r="F18" s="5">
        <v>8.5500000000000007</v>
      </c>
      <c r="G18" s="8">
        <v>14412</v>
      </c>
      <c r="H18" s="8">
        <f t="shared" si="0"/>
        <v>1371</v>
      </c>
    </row>
    <row r="19" spans="1:9" ht="14.4">
      <c r="A19" s="29">
        <v>45481</v>
      </c>
      <c r="B19" s="10" t="s">
        <v>6</v>
      </c>
      <c r="C19" s="8">
        <v>1253</v>
      </c>
      <c r="D19" s="8">
        <v>136</v>
      </c>
      <c r="E19" s="8">
        <v>193131</v>
      </c>
      <c r="F19" s="5">
        <v>7.99</v>
      </c>
      <c r="G19" s="8">
        <v>15924</v>
      </c>
      <c r="H19" s="8">
        <f t="shared" si="0"/>
        <v>1117</v>
      </c>
    </row>
    <row r="20" spans="1:9" ht="14.4">
      <c r="A20" s="29">
        <v>45488</v>
      </c>
      <c r="B20" s="10" t="s">
        <v>2</v>
      </c>
      <c r="C20" s="8">
        <v>616</v>
      </c>
      <c r="D20" s="8">
        <v>257</v>
      </c>
      <c r="E20" s="8">
        <v>169665</v>
      </c>
      <c r="F20" s="5">
        <v>6.31</v>
      </c>
      <c r="G20" s="8">
        <v>12390</v>
      </c>
      <c r="H20" s="8">
        <f t="shared" si="0"/>
        <v>359</v>
      </c>
      <c r="I20" s="12"/>
    </row>
    <row r="21" spans="1:9" ht="15.75" customHeight="1">
      <c r="A21" s="29">
        <v>45488</v>
      </c>
      <c r="B21" s="10" t="s">
        <v>5</v>
      </c>
      <c r="C21" s="8">
        <v>1308</v>
      </c>
      <c r="D21" s="8">
        <v>210</v>
      </c>
      <c r="E21" s="8">
        <v>263729</v>
      </c>
      <c r="F21" s="5">
        <v>8.5299999999999994</v>
      </c>
      <c r="G21" s="8">
        <v>25742</v>
      </c>
      <c r="H21" s="8">
        <f t="shared" si="0"/>
        <v>1098</v>
      </c>
      <c r="I21" s="12"/>
    </row>
    <row r="22" spans="1:9" ht="15.75" customHeight="1">
      <c r="A22" s="29">
        <v>45488</v>
      </c>
      <c r="B22" s="10" t="s">
        <v>6</v>
      </c>
      <c r="C22" s="8">
        <v>981</v>
      </c>
      <c r="D22" s="8">
        <v>69</v>
      </c>
      <c r="E22" s="8">
        <v>206921</v>
      </c>
      <c r="F22" s="5">
        <v>8.42</v>
      </c>
      <c r="G22" s="8">
        <v>10495</v>
      </c>
      <c r="H22" s="8">
        <f t="shared" si="0"/>
        <v>912</v>
      </c>
      <c r="I22" s="12"/>
    </row>
    <row r="23" spans="1:9" ht="15.75" customHeight="1">
      <c r="A23" s="29">
        <v>45495</v>
      </c>
      <c r="B23" s="10" t="s">
        <v>2</v>
      </c>
      <c r="C23" s="8">
        <v>866</v>
      </c>
      <c r="D23" s="8">
        <v>74</v>
      </c>
      <c r="E23" s="8">
        <v>204121</v>
      </c>
      <c r="F23" s="5">
        <v>9.34</v>
      </c>
      <c r="G23" s="8">
        <v>7797</v>
      </c>
      <c r="H23" s="8">
        <f t="shared" si="0"/>
        <v>792</v>
      </c>
      <c r="I23" s="12"/>
    </row>
    <row r="24" spans="1:9" ht="15.75" customHeight="1">
      <c r="A24" s="29">
        <v>45495</v>
      </c>
      <c r="B24" s="10" t="s">
        <v>5</v>
      </c>
      <c r="C24" s="8">
        <v>547</v>
      </c>
      <c r="D24" s="8">
        <v>183</v>
      </c>
      <c r="E24" s="8">
        <v>266350</v>
      </c>
      <c r="F24" s="5">
        <v>5.65</v>
      </c>
      <c r="G24" s="8">
        <v>15595</v>
      </c>
      <c r="H24" s="8">
        <f t="shared" si="0"/>
        <v>364</v>
      </c>
      <c r="I24" s="12"/>
    </row>
    <row r="25" spans="1:9" ht="15.75" customHeight="1">
      <c r="A25" s="29">
        <v>45495</v>
      </c>
      <c r="B25" s="10" t="s">
        <v>6</v>
      </c>
      <c r="C25" s="8">
        <v>1241</v>
      </c>
      <c r="D25" s="8">
        <v>116</v>
      </c>
      <c r="E25" s="8">
        <v>380606</v>
      </c>
      <c r="F25" s="5">
        <v>4.2</v>
      </c>
      <c r="G25" s="8">
        <v>24617</v>
      </c>
      <c r="H25" s="8">
        <f t="shared" si="0"/>
        <v>1125</v>
      </c>
      <c r="I25" s="12"/>
    </row>
    <row r="26" spans="1:9" ht="15.75" customHeight="1">
      <c r="A26" s="29">
        <v>45502</v>
      </c>
      <c r="B26" s="10" t="s">
        <v>2</v>
      </c>
      <c r="C26" s="8">
        <v>973</v>
      </c>
      <c r="D26" s="8">
        <v>104</v>
      </c>
      <c r="E26" s="8">
        <v>376358</v>
      </c>
      <c r="F26" s="5">
        <v>3.87</v>
      </c>
      <c r="G26" s="8">
        <v>9847</v>
      </c>
      <c r="H26" s="8">
        <f t="shared" si="0"/>
        <v>869</v>
      </c>
      <c r="I26" s="12"/>
    </row>
    <row r="27" spans="1:9" ht="15.75" customHeight="1">
      <c r="A27" s="29">
        <v>45502</v>
      </c>
      <c r="B27" s="10" t="s">
        <v>5</v>
      </c>
      <c r="C27" s="8">
        <v>611</v>
      </c>
      <c r="D27" s="8">
        <v>197</v>
      </c>
      <c r="E27" s="8">
        <v>79423</v>
      </c>
      <c r="F27" s="5">
        <v>5.82</v>
      </c>
      <c r="G27" s="8">
        <v>13644</v>
      </c>
      <c r="H27" s="8">
        <f t="shared" si="0"/>
        <v>414</v>
      </c>
      <c r="I27" s="12"/>
    </row>
    <row r="28" spans="1:9" ht="15.75" customHeight="1">
      <c r="A28" s="29">
        <v>45502</v>
      </c>
      <c r="B28" s="10" t="s">
        <v>6</v>
      </c>
      <c r="C28" s="8">
        <v>983</v>
      </c>
      <c r="D28" s="8">
        <v>134</v>
      </c>
      <c r="E28" s="8">
        <v>352178</v>
      </c>
      <c r="F28" s="5">
        <v>3.55</v>
      </c>
      <c r="G28" s="8">
        <v>11421</v>
      </c>
      <c r="H28" s="8">
        <f t="shared" si="0"/>
        <v>849</v>
      </c>
      <c r="I28" s="12"/>
    </row>
    <row r="29" spans="1:9" ht="15.75" customHeight="1">
      <c r="A29" s="29">
        <v>45509</v>
      </c>
      <c r="B29" s="10" t="s">
        <v>2</v>
      </c>
      <c r="C29" s="8">
        <v>1449</v>
      </c>
      <c r="D29" s="8">
        <v>96</v>
      </c>
      <c r="E29" s="8">
        <v>200636</v>
      </c>
      <c r="F29" s="5">
        <v>9.92</v>
      </c>
      <c r="G29" s="8">
        <v>15613</v>
      </c>
      <c r="H29" s="8">
        <f t="shared" si="0"/>
        <v>1353</v>
      </c>
      <c r="I29" s="12"/>
    </row>
    <row r="30" spans="1:9" ht="15.75" customHeight="1">
      <c r="A30" s="29">
        <v>45509</v>
      </c>
      <c r="B30" s="10" t="s">
        <v>5</v>
      </c>
      <c r="C30" s="8">
        <v>752</v>
      </c>
      <c r="D30" s="8">
        <v>170</v>
      </c>
      <c r="E30" s="8">
        <v>132756</v>
      </c>
      <c r="F30" s="5">
        <v>8.17</v>
      </c>
      <c r="G30" s="8">
        <v>23900</v>
      </c>
      <c r="H30" s="8">
        <f t="shared" si="0"/>
        <v>582</v>
      </c>
      <c r="I30" s="12"/>
    </row>
    <row r="31" spans="1:9" ht="15.75" customHeight="1">
      <c r="A31" s="29">
        <v>45509</v>
      </c>
      <c r="B31" s="10" t="s">
        <v>6</v>
      </c>
      <c r="C31" s="8">
        <v>937</v>
      </c>
      <c r="D31" s="8">
        <v>179</v>
      </c>
      <c r="E31" s="8">
        <v>318098</v>
      </c>
      <c r="F31" s="5">
        <v>5.3</v>
      </c>
      <c r="G31" s="8">
        <v>5836</v>
      </c>
      <c r="H31" s="8">
        <f t="shared" si="0"/>
        <v>758</v>
      </c>
      <c r="I31" s="12"/>
    </row>
    <row r="32" spans="1:9" ht="15.75" customHeight="1">
      <c r="A32" s="29">
        <v>45516</v>
      </c>
      <c r="B32" s="10" t="s">
        <v>2</v>
      </c>
      <c r="C32" s="8">
        <v>1060</v>
      </c>
      <c r="D32" s="8">
        <v>83</v>
      </c>
      <c r="E32" s="8">
        <v>68724</v>
      </c>
      <c r="F32" s="5">
        <v>5.98</v>
      </c>
      <c r="G32" s="8">
        <v>5624</v>
      </c>
      <c r="H32" s="8">
        <f t="shared" si="0"/>
        <v>977</v>
      </c>
      <c r="I32" s="12"/>
    </row>
    <row r="33" spans="1:9" ht="15.75" customHeight="1">
      <c r="A33" s="29">
        <v>45516</v>
      </c>
      <c r="B33" s="10" t="s">
        <v>5</v>
      </c>
      <c r="C33" s="8">
        <v>1456</v>
      </c>
      <c r="D33" s="8">
        <v>265</v>
      </c>
      <c r="E33" s="8">
        <v>115505</v>
      </c>
      <c r="F33" s="5">
        <v>7.49</v>
      </c>
      <c r="G33" s="8">
        <v>10311</v>
      </c>
      <c r="H33" s="8">
        <f t="shared" si="0"/>
        <v>1191</v>
      </c>
      <c r="I33" s="12"/>
    </row>
    <row r="34" spans="1:9" ht="15.75" customHeight="1">
      <c r="A34" s="29">
        <v>45516</v>
      </c>
      <c r="B34" s="10" t="s">
        <v>6</v>
      </c>
      <c r="C34" s="8">
        <v>1109</v>
      </c>
      <c r="D34" s="8">
        <v>205</v>
      </c>
      <c r="E34" s="8">
        <v>276722</v>
      </c>
      <c r="F34" s="5">
        <v>9.3800000000000008</v>
      </c>
      <c r="G34" s="8">
        <v>8274</v>
      </c>
      <c r="H34" s="8">
        <f t="shared" ref="H34:H65" si="1">C34-D34</f>
        <v>904</v>
      </c>
      <c r="I34" s="12"/>
    </row>
    <row r="35" spans="1:9" ht="15.75" customHeight="1">
      <c r="A35" s="29">
        <v>45523</v>
      </c>
      <c r="B35" s="10" t="s">
        <v>2</v>
      </c>
      <c r="C35" s="8">
        <v>1002</v>
      </c>
      <c r="D35" s="8">
        <v>93</v>
      </c>
      <c r="E35" s="8">
        <v>353538</v>
      </c>
      <c r="F35" s="5">
        <v>5.84</v>
      </c>
      <c r="G35" s="8">
        <v>6031</v>
      </c>
      <c r="H35" s="8">
        <f t="shared" si="1"/>
        <v>909</v>
      </c>
      <c r="I35" s="12"/>
    </row>
    <row r="36" spans="1:9" ht="15.75" customHeight="1">
      <c r="A36" s="29">
        <v>45523</v>
      </c>
      <c r="B36" s="10" t="s">
        <v>5</v>
      </c>
      <c r="C36" s="8">
        <v>571</v>
      </c>
      <c r="D36" s="8">
        <v>189</v>
      </c>
      <c r="E36" s="8">
        <v>61445</v>
      </c>
      <c r="F36" s="5">
        <v>5.41</v>
      </c>
      <c r="G36" s="8">
        <v>27829</v>
      </c>
      <c r="H36" s="8">
        <f t="shared" si="1"/>
        <v>382</v>
      </c>
      <c r="I36" s="12"/>
    </row>
    <row r="37" spans="1:9" ht="15.75" customHeight="1">
      <c r="A37" s="29">
        <v>45523</v>
      </c>
      <c r="B37" s="10" t="s">
        <v>6</v>
      </c>
      <c r="C37" s="8">
        <v>1240</v>
      </c>
      <c r="D37" s="8">
        <v>231</v>
      </c>
      <c r="E37" s="8">
        <v>165035</v>
      </c>
      <c r="F37" s="5">
        <v>6.05</v>
      </c>
      <c r="G37" s="8">
        <v>18267</v>
      </c>
      <c r="H37" s="8">
        <f t="shared" si="1"/>
        <v>1009</v>
      </c>
      <c r="I37" s="12"/>
    </row>
    <row r="38" spans="1:9" ht="15.75" customHeight="1">
      <c r="A38" s="29">
        <v>45530</v>
      </c>
      <c r="B38" s="10" t="s">
        <v>2</v>
      </c>
      <c r="C38" s="8">
        <v>1154</v>
      </c>
      <c r="D38" s="8">
        <v>132</v>
      </c>
      <c r="E38" s="8">
        <v>194595</v>
      </c>
      <c r="F38" s="5">
        <v>7.54</v>
      </c>
      <c r="G38" s="8">
        <v>26624</v>
      </c>
      <c r="H38" s="8">
        <f t="shared" si="1"/>
        <v>1022</v>
      </c>
      <c r="I38" s="12"/>
    </row>
    <row r="39" spans="1:9" ht="15.75" customHeight="1">
      <c r="A39" s="29">
        <v>45530</v>
      </c>
      <c r="B39" s="10" t="s">
        <v>5</v>
      </c>
      <c r="C39" s="8">
        <v>537</v>
      </c>
      <c r="D39" s="8">
        <v>275</v>
      </c>
      <c r="E39" s="8">
        <v>236238</v>
      </c>
      <c r="F39" s="5">
        <v>5.87</v>
      </c>
      <c r="G39" s="8">
        <v>26644</v>
      </c>
      <c r="H39" s="8">
        <f t="shared" si="1"/>
        <v>262</v>
      </c>
      <c r="I39" s="12"/>
    </row>
    <row r="40" spans="1:9" ht="15.75" customHeight="1">
      <c r="A40" s="29">
        <v>45530</v>
      </c>
      <c r="B40" s="10" t="s">
        <v>6</v>
      </c>
      <c r="C40" s="8">
        <v>1456</v>
      </c>
      <c r="D40" s="8">
        <v>290</v>
      </c>
      <c r="E40" s="8">
        <v>271044</v>
      </c>
      <c r="F40" s="5">
        <v>7.17</v>
      </c>
      <c r="G40" s="8">
        <v>13051</v>
      </c>
      <c r="H40" s="8">
        <f t="shared" si="1"/>
        <v>1166</v>
      </c>
      <c r="I40" s="12"/>
    </row>
    <row r="41" spans="1:9" ht="15.75" customHeight="1">
      <c r="A41" s="29">
        <v>45537</v>
      </c>
      <c r="B41" s="10" t="s">
        <v>2</v>
      </c>
      <c r="C41" s="8">
        <v>721</v>
      </c>
      <c r="D41" s="8">
        <v>206</v>
      </c>
      <c r="E41" s="8">
        <v>334887</v>
      </c>
      <c r="F41" s="5">
        <v>6.05</v>
      </c>
      <c r="G41" s="8">
        <v>14217</v>
      </c>
      <c r="H41" s="8">
        <f t="shared" si="1"/>
        <v>515</v>
      </c>
      <c r="I41" s="12"/>
    </row>
    <row r="42" spans="1:9" ht="15.75" customHeight="1">
      <c r="A42" s="29">
        <v>45537</v>
      </c>
      <c r="B42" s="10" t="s">
        <v>5</v>
      </c>
      <c r="C42" s="8">
        <v>1098</v>
      </c>
      <c r="D42" s="8">
        <v>142</v>
      </c>
      <c r="E42" s="8">
        <v>359150</v>
      </c>
      <c r="F42" s="5">
        <v>7.51</v>
      </c>
      <c r="G42" s="8">
        <v>16385</v>
      </c>
      <c r="H42" s="8">
        <f t="shared" si="1"/>
        <v>956</v>
      </c>
      <c r="I42" s="12"/>
    </row>
    <row r="43" spans="1:9" ht="15.75" customHeight="1">
      <c r="A43" s="29">
        <v>45537</v>
      </c>
      <c r="B43" s="10" t="s">
        <v>6</v>
      </c>
      <c r="C43" s="8">
        <v>1096</v>
      </c>
      <c r="D43" s="8">
        <v>65</v>
      </c>
      <c r="E43" s="8">
        <v>358295</v>
      </c>
      <c r="F43" s="5">
        <v>7.66</v>
      </c>
      <c r="G43" s="8">
        <v>24548</v>
      </c>
      <c r="H43" s="8">
        <f t="shared" si="1"/>
        <v>1031</v>
      </c>
      <c r="I43" s="12"/>
    </row>
    <row r="44" spans="1:9" ht="15.75" customHeight="1">
      <c r="A44" s="29">
        <v>45544</v>
      </c>
      <c r="B44" s="10" t="s">
        <v>2</v>
      </c>
      <c r="C44" s="8">
        <v>912</v>
      </c>
      <c r="D44" s="8">
        <v>275</v>
      </c>
      <c r="E44" s="8">
        <v>368454</v>
      </c>
      <c r="F44" s="5">
        <v>6.03</v>
      </c>
      <c r="G44" s="8">
        <v>9195</v>
      </c>
      <c r="H44" s="8">
        <f t="shared" si="1"/>
        <v>637</v>
      </c>
      <c r="I44" s="12"/>
    </row>
    <row r="45" spans="1:9" ht="15.75" customHeight="1">
      <c r="A45" s="29">
        <v>45544</v>
      </c>
      <c r="B45" s="10" t="s">
        <v>5</v>
      </c>
      <c r="C45" s="8">
        <v>1430</v>
      </c>
      <c r="D45" s="8">
        <v>162</v>
      </c>
      <c r="E45" s="8">
        <v>269082</v>
      </c>
      <c r="F45" s="5">
        <v>3.4</v>
      </c>
      <c r="G45" s="8">
        <v>18071</v>
      </c>
      <c r="H45" s="8">
        <f t="shared" si="1"/>
        <v>1268</v>
      </c>
      <c r="I45" s="12"/>
    </row>
    <row r="46" spans="1:9" ht="15.75" customHeight="1">
      <c r="A46" s="29">
        <v>45544</v>
      </c>
      <c r="B46" s="10" t="s">
        <v>6</v>
      </c>
      <c r="C46" s="8">
        <v>854</v>
      </c>
      <c r="D46" s="8">
        <v>129</v>
      </c>
      <c r="E46" s="8">
        <v>310903</v>
      </c>
      <c r="F46" s="5">
        <v>7.83</v>
      </c>
      <c r="G46" s="8">
        <v>16875</v>
      </c>
      <c r="H46" s="8">
        <f t="shared" si="1"/>
        <v>725</v>
      </c>
      <c r="I46" s="12"/>
    </row>
    <row r="47" spans="1:9" ht="15.75" customHeight="1">
      <c r="A47" s="29">
        <v>45551</v>
      </c>
      <c r="B47" s="10" t="s">
        <v>2</v>
      </c>
      <c r="C47" s="8">
        <v>681</v>
      </c>
      <c r="D47" s="8">
        <v>210</v>
      </c>
      <c r="E47" s="8">
        <v>248581</v>
      </c>
      <c r="F47" s="5">
        <v>8.76</v>
      </c>
      <c r="G47" s="8">
        <v>9567</v>
      </c>
      <c r="H47" s="8">
        <f t="shared" si="1"/>
        <v>471</v>
      </c>
      <c r="I47" s="12"/>
    </row>
    <row r="48" spans="1:9" ht="15.75" customHeight="1">
      <c r="A48" s="29">
        <v>45551</v>
      </c>
      <c r="B48" s="10" t="s">
        <v>5</v>
      </c>
      <c r="C48" s="8">
        <v>1373</v>
      </c>
      <c r="D48" s="8">
        <v>82</v>
      </c>
      <c r="E48" s="8">
        <v>371015</v>
      </c>
      <c r="F48" s="5">
        <v>9.52</v>
      </c>
      <c r="G48" s="8">
        <v>20306</v>
      </c>
      <c r="H48" s="8">
        <f t="shared" si="1"/>
        <v>1291</v>
      </c>
      <c r="I48" s="12"/>
    </row>
    <row r="49" spans="1:9" ht="15.75" customHeight="1">
      <c r="A49" s="29">
        <v>45551</v>
      </c>
      <c r="B49" s="10" t="s">
        <v>6</v>
      </c>
      <c r="C49" s="8">
        <v>685</v>
      </c>
      <c r="D49" s="8">
        <v>285</v>
      </c>
      <c r="E49" s="8">
        <v>177452</v>
      </c>
      <c r="F49" s="5">
        <v>3.36</v>
      </c>
      <c r="G49" s="8">
        <v>21134</v>
      </c>
      <c r="H49" s="8">
        <f t="shared" si="1"/>
        <v>400</v>
      </c>
      <c r="I49" s="12"/>
    </row>
    <row r="50" spans="1:9" ht="15.75" customHeight="1">
      <c r="A50" s="29">
        <v>45558</v>
      </c>
      <c r="B50" s="10" t="s">
        <v>2</v>
      </c>
      <c r="C50" s="8">
        <v>1290</v>
      </c>
      <c r="D50" s="8">
        <v>177</v>
      </c>
      <c r="E50" s="8">
        <v>80745</v>
      </c>
      <c r="F50" s="5">
        <v>9.2200000000000006</v>
      </c>
      <c r="G50" s="8">
        <v>26872</v>
      </c>
      <c r="H50" s="8">
        <f t="shared" si="1"/>
        <v>1113</v>
      </c>
      <c r="I50" s="12"/>
    </row>
    <row r="51" spans="1:9" ht="15.75" customHeight="1">
      <c r="A51" s="29">
        <v>45558</v>
      </c>
      <c r="B51" s="10" t="s">
        <v>5</v>
      </c>
      <c r="C51" s="8">
        <v>1437</v>
      </c>
      <c r="D51" s="8">
        <v>239</v>
      </c>
      <c r="E51" s="8">
        <v>362441</v>
      </c>
      <c r="F51" s="5">
        <v>5.57</v>
      </c>
      <c r="G51" s="8">
        <v>10253</v>
      </c>
      <c r="H51" s="8">
        <f t="shared" si="1"/>
        <v>1198</v>
      </c>
      <c r="I51" s="12"/>
    </row>
    <row r="52" spans="1:9" ht="15.75" customHeight="1">
      <c r="A52" s="29">
        <v>45558</v>
      </c>
      <c r="B52" s="10" t="s">
        <v>6</v>
      </c>
      <c r="C52" s="8">
        <v>769</v>
      </c>
      <c r="D52" s="8">
        <v>295</v>
      </c>
      <c r="E52" s="8">
        <v>344771</v>
      </c>
      <c r="F52" s="5">
        <v>8.06</v>
      </c>
      <c r="G52" s="8">
        <v>23963</v>
      </c>
      <c r="H52" s="8">
        <f t="shared" si="1"/>
        <v>474</v>
      </c>
      <c r="I52" s="12"/>
    </row>
    <row r="53" spans="1:9" ht="15.75" customHeight="1">
      <c r="A53" s="29">
        <v>45565</v>
      </c>
      <c r="B53" s="10" t="s">
        <v>2</v>
      </c>
      <c r="C53" s="8">
        <v>1416</v>
      </c>
      <c r="D53" s="8">
        <v>284</v>
      </c>
      <c r="E53" s="8">
        <v>374952</v>
      </c>
      <c r="F53" s="5">
        <v>3.45</v>
      </c>
      <c r="G53" s="8">
        <v>11335</v>
      </c>
      <c r="H53" s="8">
        <f t="shared" si="1"/>
        <v>1132</v>
      </c>
      <c r="I53" s="12"/>
    </row>
    <row r="54" spans="1:9" ht="15.75" customHeight="1">
      <c r="A54" s="29">
        <v>45565</v>
      </c>
      <c r="B54" s="10" t="s">
        <v>5</v>
      </c>
      <c r="C54" s="8">
        <v>998</v>
      </c>
      <c r="D54" s="8">
        <v>154</v>
      </c>
      <c r="E54" s="8">
        <v>179781</v>
      </c>
      <c r="F54" s="5">
        <v>9.58</v>
      </c>
      <c r="G54" s="8">
        <v>12115</v>
      </c>
      <c r="H54" s="8">
        <f t="shared" si="1"/>
        <v>844</v>
      </c>
      <c r="I54" s="12"/>
    </row>
    <row r="55" spans="1:9" ht="15.75" customHeight="1">
      <c r="A55" s="29">
        <v>45565</v>
      </c>
      <c r="B55" s="10" t="s">
        <v>6</v>
      </c>
      <c r="C55" s="8">
        <v>1421</v>
      </c>
      <c r="D55" s="8">
        <v>246</v>
      </c>
      <c r="E55" s="8">
        <v>358581</v>
      </c>
      <c r="F55" s="5">
        <v>8.8800000000000008</v>
      </c>
      <c r="G55" s="8">
        <v>24358</v>
      </c>
      <c r="H55" s="8">
        <f t="shared" si="1"/>
        <v>1175</v>
      </c>
      <c r="I55" s="12"/>
    </row>
    <row r="56" spans="1:9" ht="15.75" customHeight="1">
      <c r="A56" s="29">
        <v>45572</v>
      </c>
      <c r="B56" s="10" t="s">
        <v>2</v>
      </c>
      <c r="C56" s="8">
        <v>764</v>
      </c>
      <c r="D56" s="8">
        <v>205</v>
      </c>
      <c r="E56" s="8">
        <v>319294</v>
      </c>
      <c r="F56" s="5">
        <v>6.23</v>
      </c>
      <c r="G56" s="8">
        <v>12181</v>
      </c>
      <c r="H56" s="8">
        <f t="shared" si="1"/>
        <v>559</v>
      </c>
      <c r="I56" s="12"/>
    </row>
    <row r="57" spans="1:9" ht="15.75" customHeight="1">
      <c r="A57" s="29">
        <v>45572</v>
      </c>
      <c r="B57" s="10" t="s">
        <v>5</v>
      </c>
      <c r="C57" s="8">
        <v>678</v>
      </c>
      <c r="D57" s="8">
        <v>124</v>
      </c>
      <c r="E57" s="8">
        <v>192022</v>
      </c>
      <c r="F57" s="5">
        <v>8.4499999999999993</v>
      </c>
      <c r="G57" s="8">
        <v>17729</v>
      </c>
      <c r="H57" s="8">
        <f t="shared" si="1"/>
        <v>554</v>
      </c>
      <c r="I57" s="12"/>
    </row>
    <row r="58" spans="1:9" ht="15.75" customHeight="1">
      <c r="A58" s="29">
        <v>45572</v>
      </c>
      <c r="B58" s="10" t="s">
        <v>6</v>
      </c>
      <c r="C58" s="8">
        <v>1328</v>
      </c>
      <c r="D58" s="8">
        <v>103</v>
      </c>
      <c r="E58" s="8">
        <v>151462</v>
      </c>
      <c r="F58" s="5">
        <v>8.4</v>
      </c>
      <c r="G58" s="8">
        <v>10881</v>
      </c>
      <c r="H58" s="8">
        <f t="shared" si="1"/>
        <v>1225</v>
      </c>
      <c r="I58" s="12"/>
    </row>
    <row r="59" spans="1:9" ht="15.75" customHeight="1">
      <c r="A59" s="29">
        <v>45579</v>
      </c>
      <c r="B59" s="10" t="s">
        <v>2</v>
      </c>
      <c r="C59" s="8">
        <v>1161</v>
      </c>
      <c r="D59" s="8">
        <v>269</v>
      </c>
      <c r="E59" s="8">
        <v>188193</v>
      </c>
      <c r="F59" s="5">
        <v>7.34</v>
      </c>
      <c r="G59" s="8">
        <v>18576</v>
      </c>
      <c r="H59" s="8">
        <f t="shared" si="1"/>
        <v>892</v>
      </c>
      <c r="I59" s="12"/>
    </row>
    <row r="60" spans="1:9" ht="15.75" customHeight="1">
      <c r="A60" s="29">
        <v>45579</v>
      </c>
      <c r="B60" s="10" t="s">
        <v>5</v>
      </c>
      <c r="C60" s="8">
        <v>588</v>
      </c>
      <c r="D60" s="8">
        <v>52</v>
      </c>
      <c r="E60" s="8">
        <v>292040</v>
      </c>
      <c r="F60" s="5">
        <v>8.14</v>
      </c>
      <c r="G60" s="8">
        <v>9383</v>
      </c>
      <c r="H60" s="8">
        <f t="shared" si="1"/>
        <v>536</v>
      </c>
      <c r="I60" s="12"/>
    </row>
    <row r="61" spans="1:9" ht="15.75" customHeight="1">
      <c r="A61" s="29">
        <v>45579</v>
      </c>
      <c r="B61" s="10" t="s">
        <v>6</v>
      </c>
      <c r="C61" s="8">
        <v>1457</v>
      </c>
      <c r="D61" s="8">
        <v>215</v>
      </c>
      <c r="E61" s="8">
        <v>325325</v>
      </c>
      <c r="F61" s="5">
        <v>9.58</v>
      </c>
      <c r="G61" s="8">
        <v>14178</v>
      </c>
      <c r="H61" s="8">
        <f t="shared" si="1"/>
        <v>1242</v>
      </c>
      <c r="I61" s="12"/>
    </row>
    <row r="62" spans="1:9" ht="15.75" customHeight="1">
      <c r="A62" s="29">
        <v>45586</v>
      </c>
      <c r="B62" s="10" t="s">
        <v>2</v>
      </c>
      <c r="C62" s="8">
        <v>1190</v>
      </c>
      <c r="D62" s="8">
        <v>242</v>
      </c>
      <c r="E62" s="8">
        <v>86849</v>
      </c>
      <c r="F62" s="5">
        <v>8.06</v>
      </c>
      <c r="G62" s="8">
        <v>21254</v>
      </c>
      <c r="H62" s="8">
        <f t="shared" si="1"/>
        <v>948</v>
      </c>
      <c r="I62" s="12"/>
    </row>
    <row r="63" spans="1:9" ht="15.75" customHeight="1">
      <c r="A63" s="29">
        <v>45586</v>
      </c>
      <c r="B63" s="10" t="s">
        <v>5</v>
      </c>
      <c r="C63" s="8">
        <v>886</v>
      </c>
      <c r="D63" s="8">
        <v>124</v>
      </c>
      <c r="E63" s="8">
        <v>141161</v>
      </c>
      <c r="F63" s="5">
        <v>8.19</v>
      </c>
      <c r="G63" s="8">
        <v>14215</v>
      </c>
      <c r="H63" s="8">
        <f t="shared" si="1"/>
        <v>762</v>
      </c>
      <c r="I63" s="12"/>
    </row>
    <row r="64" spans="1:9" ht="15.75" customHeight="1">
      <c r="A64" s="29">
        <v>45586</v>
      </c>
      <c r="B64" s="10" t="s">
        <v>6</v>
      </c>
      <c r="C64" s="8">
        <v>1237</v>
      </c>
      <c r="D64" s="8">
        <v>155</v>
      </c>
      <c r="E64" s="8">
        <v>149916</v>
      </c>
      <c r="F64" s="5">
        <v>4.4800000000000004</v>
      </c>
      <c r="G64" s="8">
        <v>16921</v>
      </c>
      <c r="H64" s="8">
        <f t="shared" si="1"/>
        <v>1082</v>
      </c>
      <c r="I64" s="12"/>
    </row>
    <row r="65" spans="1:9" ht="15.75" customHeight="1">
      <c r="A65" s="29">
        <v>45593</v>
      </c>
      <c r="B65" s="10" t="s">
        <v>2</v>
      </c>
      <c r="C65" s="8">
        <v>1435</v>
      </c>
      <c r="D65" s="8">
        <v>261</v>
      </c>
      <c r="E65" s="8">
        <v>308533</v>
      </c>
      <c r="F65" s="5">
        <v>4.5199999999999996</v>
      </c>
      <c r="G65" s="8">
        <v>25130</v>
      </c>
      <c r="H65" s="8">
        <f t="shared" si="1"/>
        <v>1174</v>
      </c>
      <c r="I65" s="12"/>
    </row>
    <row r="66" spans="1:9" ht="15.75" customHeight="1">
      <c r="A66" s="29">
        <v>45593</v>
      </c>
      <c r="B66" s="10" t="s">
        <v>5</v>
      </c>
      <c r="C66" s="8">
        <v>746</v>
      </c>
      <c r="D66" s="8">
        <v>282</v>
      </c>
      <c r="E66" s="8">
        <v>293894</v>
      </c>
      <c r="F66" s="5">
        <v>5.42</v>
      </c>
      <c r="G66" s="8">
        <v>25537</v>
      </c>
      <c r="H66" s="8">
        <f t="shared" ref="H66:H97" si="2">C66-D66</f>
        <v>464</v>
      </c>
      <c r="I66" s="12"/>
    </row>
    <row r="67" spans="1:9" ht="15.75" customHeight="1">
      <c r="A67" s="29">
        <v>45593</v>
      </c>
      <c r="B67" s="10" t="s">
        <v>6</v>
      </c>
      <c r="C67" s="8">
        <v>759</v>
      </c>
      <c r="D67" s="8">
        <v>216</v>
      </c>
      <c r="E67" s="8">
        <v>147656</v>
      </c>
      <c r="F67" s="5">
        <v>4.08</v>
      </c>
      <c r="G67" s="8">
        <v>24943</v>
      </c>
      <c r="H67" s="8">
        <f t="shared" si="2"/>
        <v>543</v>
      </c>
      <c r="I67" s="12"/>
    </row>
    <row r="68" spans="1:9" ht="15.75" customHeight="1">
      <c r="A68" s="29">
        <v>45600</v>
      </c>
      <c r="B68" s="10" t="s">
        <v>2</v>
      </c>
      <c r="C68" s="8">
        <v>1437</v>
      </c>
      <c r="D68" s="8">
        <v>235</v>
      </c>
      <c r="E68" s="8">
        <v>326791</v>
      </c>
      <c r="F68" s="5">
        <v>4.0599999999999996</v>
      </c>
      <c r="G68" s="8">
        <v>14563</v>
      </c>
      <c r="H68" s="8">
        <f t="shared" si="2"/>
        <v>1202</v>
      </c>
      <c r="I68" s="12"/>
    </row>
    <row r="69" spans="1:9" ht="15.75" customHeight="1">
      <c r="A69" s="29">
        <v>45600</v>
      </c>
      <c r="B69" s="10" t="s">
        <v>5</v>
      </c>
      <c r="C69" s="8">
        <v>1463</v>
      </c>
      <c r="D69" s="8">
        <v>73</v>
      </c>
      <c r="E69" s="8">
        <v>348877</v>
      </c>
      <c r="F69" s="5">
        <v>9.91</v>
      </c>
      <c r="G69" s="8">
        <v>26273</v>
      </c>
      <c r="H69" s="8">
        <f t="shared" si="2"/>
        <v>1390</v>
      </c>
      <c r="I69" s="12"/>
    </row>
    <row r="70" spans="1:9" ht="15.75" customHeight="1">
      <c r="A70" s="29">
        <v>45600</v>
      </c>
      <c r="B70" s="10" t="s">
        <v>6</v>
      </c>
      <c r="C70" s="8">
        <v>1208</v>
      </c>
      <c r="D70" s="8">
        <v>224</v>
      </c>
      <c r="E70" s="8">
        <v>122730</v>
      </c>
      <c r="F70" s="5">
        <v>8.7200000000000006</v>
      </c>
      <c r="G70" s="8">
        <v>10858</v>
      </c>
      <c r="H70" s="8">
        <f t="shared" si="2"/>
        <v>984</v>
      </c>
      <c r="I70" s="12"/>
    </row>
    <row r="71" spans="1:9" ht="15.75" customHeight="1">
      <c r="A71" s="29">
        <v>45607</v>
      </c>
      <c r="B71" s="10" t="s">
        <v>2</v>
      </c>
      <c r="C71" s="8">
        <v>1391</v>
      </c>
      <c r="D71" s="8">
        <v>187</v>
      </c>
      <c r="E71" s="8">
        <v>306508</v>
      </c>
      <c r="F71" s="5">
        <v>8.3800000000000008</v>
      </c>
      <c r="G71" s="8">
        <v>25038</v>
      </c>
      <c r="H71" s="8">
        <f t="shared" si="2"/>
        <v>1204</v>
      </c>
      <c r="I71" s="12"/>
    </row>
    <row r="72" spans="1:9" ht="15.75" customHeight="1">
      <c r="A72" s="29">
        <v>45607</v>
      </c>
      <c r="B72" s="10" t="s">
        <v>5</v>
      </c>
      <c r="C72" s="8">
        <v>655</v>
      </c>
      <c r="D72" s="8">
        <v>123</v>
      </c>
      <c r="E72" s="8">
        <v>202472</v>
      </c>
      <c r="F72" s="5">
        <v>7.56</v>
      </c>
      <c r="G72" s="8">
        <v>9092</v>
      </c>
      <c r="H72" s="8">
        <f t="shared" si="2"/>
        <v>532</v>
      </c>
      <c r="I72" s="12"/>
    </row>
    <row r="73" spans="1:9" ht="15.75" customHeight="1">
      <c r="A73" s="29">
        <v>45607</v>
      </c>
      <c r="B73" s="10" t="s">
        <v>6</v>
      </c>
      <c r="C73" s="8">
        <v>1148</v>
      </c>
      <c r="D73" s="8">
        <v>90</v>
      </c>
      <c r="E73" s="8">
        <v>227249</v>
      </c>
      <c r="F73" s="5">
        <v>7.24</v>
      </c>
      <c r="G73" s="8">
        <v>17662</v>
      </c>
      <c r="H73" s="8">
        <f t="shared" si="2"/>
        <v>1058</v>
      </c>
      <c r="I73" s="12"/>
    </row>
    <row r="74" spans="1:9" ht="15.75" customHeight="1">
      <c r="A74" s="29">
        <v>45614</v>
      </c>
      <c r="B74" s="10" t="s">
        <v>2</v>
      </c>
      <c r="C74" s="8">
        <v>946</v>
      </c>
      <c r="D74" s="8">
        <v>270</v>
      </c>
      <c r="E74" s="8">
        <v>246567</v>
      </c>
      <c r="F74" s="5">
        <v>4.53</v>
      </c>
      <c r="G74" s="8">
        <v>5924</v>
      </c>
      <c r="H74" s="8">
        <f t="shared" si="2"/>
        <v>676</v>
      </c>
      <c r="I74" s="12"/>
    </row>
    <row r="75" spans="1:9" ht="15.75" customHeight="1">
      <c r="A75" s="29">
        <v>45614</v>
      </c>
      <c r="B75" s="10" t="s">
        <v>5</v>
      </c>
      <c r="C75" s="8">
        <v>791</v>
      </c>
      <c r="D75" s="8">
        <v>214</v>
      </c>
      <c r="E75" s="8">
        <v>114738</v>
      </c>
      <c r="F75" s="5">
        <v>6.62</v>
      </c>
      <c r="G75" s="8">
        <v>25347</v>
      </c>
      <c r="H75" s="8">
        <f t="shared" si="2"/>
        <v>577</v>
      </c>
      <c r="I75" s="12"/>
    </row>
    <row r="76" spans="1:9" ht="15.75" customHeight="1">
      <c r="A76" s="29">
        <v>45614</v>
      </c>
      <c r="B76" s="10" t="s">
        <v>6</v>
      </c>
      <c r="C76" s="8">
        <v>793</v>
      </c>
      <c r="D76" s="8">
        <v>111</v>
      </c>
      <c r="E76" s="8">
        <v>333500</v>
      </c>
      <c r="F76" s="5">
        <v>6.36</v>
      </c>
      <c r="G76" s="8">
        <v>8910</v>
      </c>
      <c r="H76" s="8">
        <f t="shared" si="2"/>
        <v>682</v>
      </c>
      <c r="I76" s="12"/>
    </row>
    <row r="77" spans="1:9" ht="15.75" customHeight="1">
      <c r="A77" s="29">
        <v>45621</v>
      </c>
      <c r="B77" s="10" t="s">
        <v>2</v>
      </c>
      <c r="C77" s="8">
        <v>663</v>
      </c>
      <c r="D77" s="8">
        <v>213</v>
      </c>
      <c r="E77" s="8">
        <v>352677</v>
      </c>
      <c r="F77" s="5">
        <v>9</v>
      </c>
      <c r="G77" s="8">
        <v>20438</v>
      </c>
      <c r="H77" s="8">
        <f t="shared" si="2"/>
        <v>450</v>
      </c>
      <c r="I77" s="12"/>
    </row>
    <row r="78" spans="1:9" ht="15.75" customHeight="1">
      <c r="A78" s="29">
        <v>45621</v>
      </c>
      <c r="B78" s="10" t="s">
        <v>5</v>
      </c>
      <c r="C78" s="8">
        <v>954</v>
      </c>
      <c r="D78" s="8">
        <v>271</v>
      </c>
      <c r="E78" s="8">
        <v>160936</v>
      </c>
      <c r="F78" s="5">
        <v>8.83</v>
      </c>
      <c r="G78" s="8">
        <v>8760</v>
      </c>
      <c r="H78" s="8">
        <f t="shared" si="2"/>
        <v>683</v>
      </c>
      <c r="I78" s="12"/>
    </row>
    <row r="79" spans="1:9" ht="15.75" customHeight="1">
      <c r="A79" s="29">
        <v>45621</v>
      </c>
      <c r="B79" s="10" t="s">
        <v>6</v>
      </c>
      <c r="C79" s="8">
        <v>1313</v>
      </c>
      <c r="D79" s="8">
        <v>159</v>
      </c>
      <c r="E79" s="8">
        <v>197183</v>
      </c>
      <c r="F79" s="5">
        <v>9.7100000000000009</v>
      </c>
      <c r="G79" s="8">
        <v>6625</v>
      </c>
      <c r="H79" s="8">
        <f t="shared" si="2"/>
        <v>1154</v>
      </c>
      <c r="I79" s="12"/>
    </row>
    <row r="80" spans="1:9" ht="15.75" customHeight="1">
      <c r="A80" s="29">
        <v>45628</v>
      </c>
      <c r="B80" s="10" t="s">
        <v>2</v>
      </c>
      <c r="C80" s="8">
        <v>895</v>
      </c>
      <c r="D80" s="8">
        <v>87</v>
      </c>
      <c r="E80" s="8">
        <v>171271</v>
      </c>
      <c r="F80" s="5">
        <v>6.68</v>
      </c>
      <c r="G80" s="8">
        <v>23329</v>
      </c>
      <c r="H80" s="8">
        <f t="shared" si="2"/>
        <v>808</v>
      </c>
      <c r="I80" s="12"/>
    </row>
    <row r="81" spans="1:9" ht="15.75" customHeight="1">
      <c r="A81" s="29">
        <v>45628</v>
      </c>
      <c r="B81" s="10" t="s">
        <v>5</v>
      </c>
      <c r="C81" s="8">
        <v>1027</v>
      </c>
      <c r="D81" s="8">
        <v>156</v>
      </c>
      <c r="E81" s="8">
        <v>111293</v>
      </c>
      <c r="F81" s="5">
        <v>5.51</v>
      </c>
      <c r="G81" s="8">
        <v>7299</v>
      </c>
      <c r="H81" s="8">
        <f t="shared" si="2"/>
        <v>871</v>
      </c>
      <c r="I81" s="12"/>
    </row>
    <row r="82" spans="1:9" ht="15.75" customHeight="1">
      <c r="A82" s="29">
        <v>45628</v>
      </c>
      <c r="B82" s="10" t="s">
        <v>6</v>
      </c>
      <c r="C82" s="8">
        <v>990</v>
      </c>
      <c r="D82" s="8">
        <v>286</v>
      </c>
      <c r="E82" s="8">
        <v>351493</v>
      </c>
      <c r="F82" s="5">
        <v>7.97</v>
      </c>
      <c r="G82" s="8">
        <v>14496</v>
      </c>
      <c r="H82" s="8">
        <f t="shared" si="2"/>
        <v>704</v>
      </c>
      <c r="I82" s="12"/>
    </row>
    <row r="83" spans="1:9" ht="15.75" customHeight="1">
      <c r="A83" s="29">
        <v>45635</v>
      </c>
      <c r="B83" s="10" t="s">
        <v>2</v>
      </c>
      <c r="C83" s="8">
        <v>875</v>
      </c>
      <c r="D83" s="8">
        <v>264</v>
      </c>
      <c r="E83" s="8">
        <v>345631</v>
      </c>
      <c r="F83" s="5">
        <v>9.18</v>
      </c>
      <c r="G83" s="8">
        <v>25703</v>
      </c>
      <c r="H83" s="8">
        <f t="shared" si="2"/>
        <v>611</v>
      </c>
      <c r="I83" s="12"/>
    </row>
    <row r="84" spans="1:9" ht="15.75" customHeight="1">
      <c r="A84" s="29">
        <v>45635</v>
      </c>
      <c r="B84" s="10" t="s">
        <v>5</v>
      </c>
      <c r="C84" s="8">
        <v>599</v>
      </c>
      <c r="D84" s="8">
        <v>194</v>
      </c>
      <c r="E84" s="8">
        <v>105622</v>
      </c>
      <c r="F84" s="5">
        <v>6.44</v>
      </c>
      <c r="G84" s="8">
        <v>15108</v>
      </c>
      <c r="H84" s="8">
        <f t="shared" si="2"/>
        <v>405</v>
      </c>
      <c r="I84" s="12"/>
    </row>
    <row r="85" spans="1:9" ht="15.75" customHeight="1">
      <c r="A85" s="29">
        <v>45635</v>
      </c>
      <c r="B85" s="10" t="s">
        <v>6</v>
      </c>
      <c r="C85" s="8">
        <v>630</v>
      </c>
      <c r="D85" s="8">
        <v>248</v>
      </c>
      <c r="E85" s="8">
        <v>119054</v>
      </c>
      <c r="F85" s="5">
        <v>5.0199999999999996</v>
      </c>
      <c r="G85" s="8">
        <v>18867</v>
      </c>
      <c r="H85" s="8">
        <f t="shared" si="2"/>
        <v>382</v>
      </c>
      <c r="I85" s="12"/>
    </row>
    <row r="86" spans="1:9" ht="15.75" customHeight="1">
      <c r="A86" s="29">
        <v>45642</v>
      </c>
      <c r="B86" s="10" t="s">
        <v>2</v>
      </c>
      <c r="C86" s="8">
        <v>1350</v>
      </c>
      <c r="D86" s="8">
        <v>233</v>
      </c>
      <c r="E86" s="8">
        <v>171670</v>
      </c>
      <c r="F86" s="5">
        <v>4.53</v>
      </c>
      <c r="G86" s="8">
        <v>17574</v>
      </c>
      <c r="H86" s="8">
        <f t="shared" si="2"/>
        <v>1117</v>
      </c>
      <c r="I86" s="12"/>
    </row>
    <row r="87" spans="1:9" ht="15.75" customHeight="1">
      <c r="A87" s="29">
        <v>45642</v>
      </c>
      <c r="B87" s="10" t="s">
        <v>5</v>
      </c>
      <c r="C87" s="8">
        <v>632</v>
      </c>
      <c r="D87" s="8">
        <v>155</v>
      </c>
      <c r="E87" s="8">
        <v>170432</v>
      </c>
      <c r="F87" s="5">
        <v>9.17</v>
      </c>
      <c r="G87" s="8">
        <v>12840</v>
      </c>
      <c r="H87" s="8">
        <f t="shared" si="2"/>
        <v>477</v>
      </c>
      <c r="I87" s="12"/>
    </row>
    <row r="88" spans="1:9" ht="15.75" customHeight="1">
      <c r="A88" s="29">
        <v>45642</v>
      </c>
      <c r="B88" s="10" t="s">
        <v>6</v>
      </c>
      <c r="C88" s="8">
        <v>1182</v>
      </c>
      <c r="D88" s="8">
        <v>83</v>
      </c>
      <c r="E88" s="8">
        <v>140300</v>
      </c>
      <c r="F88" s="5">
        <v>3.27</v>
      </c>
      <c r="G88" s="8">
        <v>21079</v>
      </c>
      <c r="H88" s="8">
        <f t="shared" si="2"/>
        <v>1099</v>
      </c>
      <c r="I88" s="12"/>
    </row>
    <row r="89" spans="1:9" ht="15.75" customHeight="1">
      <c r="A89" s="29">
        <v>45649</v>
      </c>
      <c r="B89" s="10" t="s">
        <v>2</v>
      </c>
      <c r="C89" s="8">
        <v>661</v>
      </c>
      <c r="D89" s="8">
        <v>94</v>
      </c>
      <c r="E89" s="8">
        <v>116538</v>
      </c>
      <c r="F89" s="5">
        <v>5.31</v>
      </c>
      <c r="G89" s="8">
        <v>23486</v>
      </c>
      <c r="H89" s="8">
        <f t="shared" si="2"/>
        <v>567</v>
      </c>
      <c r="I89" s="12"/>
    </row>
    <row r="90" spans="1:9" ht="15.75" customHeight="1">
      <c r="A90" s="29">
        <v>45649</v>
      </c>
      <c r="B90" s="10" t="s">
        <v>5</v>
      </c>
      <c r="C90" s="8">
        <v>1360</v>
      </c>
      <c r="D90" s="8">
        <v>227</v>
      </c>
      <c r="E90" s="8">
        <v>176902</v>
      </c>
      <c r="F90" s="5">
        <v>6.03</v>
      </c>
      <c r="G90" s="8">
        <v>5960</v>
      </c>
      <c r="H90" s="8">
        <f t="shared" si="2"/>
        <v>1133</v>
      </c>
      <c r="I90" s="12"/>
    </row>
    <row r="91" spans="1:9" ht="15.75" customHeight="1">
      <c r="A91" s="29">
        <v>45649</v>
      </c>
      <c r="B91" s="10" t="s">
        <v>6</v>
      </c>
      <c r="C91" s="8">
        <v>935</v>
      </c>
      <c r="D91" s="8">
        <v>85</v>
      </c>
      <c r="E91" s="8">
        <v>326821</v>
      </c>
      <c r="F91" s="5">
        <v>8.89</v>
      </c>
      <c r="G91" s="8">
        <v>13301</v>
      </c>
      <c r="H91" s="8">
        <f t="shared" si="2"/>
        <v>850</v>
      </c>
      <c r="I91" s="12"/>
    </row>
    <row r="92" spans="1:9" ht="15.75" customHeight="1">
      <c r="A92" s="29">
        <v>45656</v>
      </c>
      <c r="B92" s="10" t="s">
        <v>2</v>
      </c>
      <c r="C92" s="8">
        <v>664</v>
      </c>
      <c r="D92" s="8">
        <v>251</v>
      </c>
      <c r="E92" s="8">
        <v>240598</v>
      </c>
      <c r="F92" s="5">
        <v>4.79</v>
      </c>
      <c r="G92" s="8">
        <v>10563</v>
      </c>
      <c r="H92" s="8">
        <f t="shared" si="2"/>
        <v>413</v>
      </c>
      <c r="I92" s="12"/>
    </row>
    <row r="93" spans="1:9" ht="15.75" customHeight="1">
      <c r="A93" s="29">
        <v>45656</v>
      </c>
      <c r="B93" s="10" t="s">
        <v>5</v>
      </c>
      <c r="C93" s="8">
        <v>1490</v>
      </c>
      <c r="D93" s="8">
        <v>103</v>
      </c>
      <c r="E93" s="8">
        <v>373274</v>
      </c>
      <c r="F93" s="5">
        <v>4.8</v>
      </c>
      <c r="G93" s="8">
        <v>19949</v>
      </c>
      <c r="H93" s="8">
        <f t="shared" si="2"/>
        <v>1387</v>
      </c>
      <c r="I93" s="12"/>
    </row>
    <row r="94" spans="1:9" ht="15.75" customHeight="1">
      <c r="A94" s="29">
        <v>45656</v>
      </c>
      <c r="B94" s="10" t="s">
        <v>6</v>
      </c>
      <c r="C94" s="8">
        <v>601</v>
      </c>
      <c r="D94" s="8">
        <v>64</v>
      </c>
      <c r="E94" s="8">
        <v>123272</v>
      </c>
      <c r="F94" s="5">
        <v>4.07</v>
      </c>
      <c r="G94" s="8">
        <v>14273</v>
      </c>
      <c r="H94" s="8">
        <f t="shared" si="2"/>
        <v>537</v>
      </c>
      <c r="I94" s="12"/>
    </row>
    <row r="95" spans="1:9" ht="15.75" customHeight="1">
      <c r="A95" s="29">
        <v>45663</v>
      </c>
      <c r="B95" s="10" t="s">
        <v>2</v>
      </c>
      <c r="C95" s="8">
        <v>613</v>
      </c>
      <c r="D95" s="8">
        <v>170</v>
      </c>
      <c r="E95" s="8">
        <v>139266</v>
      </c>
      <c r="F95" s="5">
        <v>6.06</v>
      </c>
      <c r="G95" s="8">
        <v>9247</v>
      </c>
      <c r="H95" s="8">
        <f t="shared" si="2"/>
        <v>443</v>
      </c>
      <c r="I95" s="12"/>
    </row>
    <row r="96" spans="1:9" ht="15.75" customHeight="1">
      <c r="A96" s="29">
        <v>45663</v>
      </c>
      <c r="B96" s="10" t="s">
        <v>5</v>
      </c>
      <c r="C96" s="8">
        <v>1340</v>
      </c>
      <c r="D96" s="8">
        <v>57</v>
      </c>
      <c r="E96" s="8">
        <v>155927</v>
      </c>
      <c r="F96" s="5">
        <v>7.79</v>
      </c>
      <c r="G96" s="8">
        <v>11972</v>
      </c>
      <c r="H96" s="8">
        <f t="shared" si="2"/>
        <v>1283</v>
      </c>
      <c r="I96" s="12"/>
    </row>
    <row r="97" spans="1:9" ht="15.75" customHeight="1">
      <c r="A97" s="29">
        <v>45663</v>
      </c>
      <c r="B97" s="10" t="s">
        <v>6</v>
      </c>
      <c r="C97" s="8">
        <v>953</v>
      </c>
      <c r="D97" s="8">
        <v>228</v>
      </c>
      <c r="E97" s="8">
        <v>258398</v>
      </c>
      <c r="F97" s="5">
        <v>9.0500000000000007</v>
      </c>
      <c r="G97" s="8">
        <v>13314</v>
      </c>
      <c r="H97" s="8">
        <f t="shared" si="2"/>
        <v>725</v>
      </c>
      <c r="I97" s="12"/>
    </row>
    <row r="98" spans="1:9" ht="15.75" customHeight="1">
      <c r="A98" s="29">
        <v>45670</v>
      </c>
      <c r="B98" s="10" t="s">
        <v>2</v>
      </c>
      <c r="C98" s="8">
        <v>532</v>
      </c>
      <c r="D98" s="8">
        <v>65</v>
      </c>
      <c r="E98" s="8">
        <v>338561</v>
      </c>
      <c r="F98" s="5">
        <v>3.5</v>
      </c>
      <c r="G98" s="8">
        <v>14749</v>
      </c>
      <c r="H98" s="8">
        <f t="shared" ref="H98:H129" si="3">C98-D98</f>
        <v>467</v>
      </c>
      <c r="I98" s="12"/>
    </row>
    <row r="99" spans="1:9" ht="15.75" customHeight="1">
      <c r="A99" s="29">
        <v>45670</v>
      </c>
      <c r="B99" s="10" t="s">
        <v>5</v>
      </c>
      <c r="C99" s="8">
        <v>1414</v>
      </c>
      <c r="D99" s="8">
        <v>60</v>
      </c>
      <c r="E99" s="8">
        <v>341856</v>
      </c>
      <c r="F99" s="5">
        <v>8.76</v>
      </c>
      <c r="G99" s="8">
        <v>6868</v>
      </c>
      <c r="H99" s="8">
        <f t="shared" si="3"/>
        <v>1354</v>
      </c>
      <c r="I99" s="12"/>
    </row>
    <row r="100" spans="1:9" ht="15.75" customHeight="1">
      <c r="A100" s="29">
        <v>45670</v>
      </c>
      <c r="B100" s="10" t="s">
        <v>6</v>
      </c>
      <c r="C100" s="8">
        <v>685</v>
      </c>
      <c r="D100" s="8">
        <v>165</v>
      </c>
      <c r="E100" s="8">
        <v>175860</v>
      </c>
      <c r="F100" s="5">
        <v>6.26</v>
      </c>
      <c r="G100" s="8">
        <v>6027</v>
      </c>
      <c r="H100" s="8">
        <f t="shared" si="3"/>
        <v>520</v>
      </c>
      <c r="I100" s="12"/>
    </row>
    <row r="101" spans="1:9" ht="15.75" customHeight="1">
      <c r="A101" s="29">
        <v>45677</v>
      </c>
      <c r="B101" s="10" t="s">
        <v>2</v>
      </c>
      <c r="C101" s="8">
        <v>601</v>
      </c>
      <c r="D101" s="8">
        <v>159</v>
      </c>
      <c r="E101" s="8">
        <v>327722</v>
      </c>
      <c r="F101" s="5">
        <v>3.33</v>
      </c>
      <c r="G101" s="8">
        <v>25267</v>
      </c>
      <c r="H101" s="8">
        <f t="shared" si="3"/>
        <v>442</v>
      </c>
      <c r="I101" s="12"/>
    </row>
    <row r="102" spans="1:9" ht="15.75" customHeight="1">
      <c r="A102" s="29">
        <v>45677</v>
      </c>
      <c r="B102" s="10" t="s">
        <v>5</v>
      </c>
      <c r="C102" s="8">
        <v>841</v>
      </c>
      <c r="D102" s="8">
        <v>295</v>
      </c>
      <c r="E102" s="8">
        <v>271638</v>
      </c>
      <c r="F102" s="5">
        <v>9.15</v>
      </c>
      <c r="G102" s="8">
        <v>5900</v>
      </c>
      <c r="H102" s="8">
        <f t="shared" si="3"/>
        <v>546</v>
      </c>
      <c r="I102" s="12"/>
    </row>
    <row r="103" spans="1:9" ht="15.75" customHeight="1">
      <c r="A103" s="29">
        <v>45677</v>
      </c>
      <c r="B103" s="10" t="s">
        <v>6</v>
      </c>
      <c r="C103" s="8">
        <v>1105</v>
      </c>
      <c r="D103" s="8">
        <v>261</v>
      </c>
      <c r="E103" s="8">
        <v>333851</v>
      </c>
      <c r="F103" s="5">
        <v>6.03</v>
      </c>
      <c r="G103" s="8">
        <v>11181</v>
      </c>
      <c r="H103" s="8">
        <f t="shared" si="3"/>
        <v>844</v>
      </c>
      <c r="I103" s="12"/>
    </row>
    <row r="104" spans="1:9" ht="15.75" customHeight="1">
      <c r="A104" s="29">
        <v>45684</v>
      </c>
      <c r="B104" s="10" t="s">
        <v>2</v>
      </c>
      <c r="C104" s="8">
        <v>566</v>
      </c>
      <c r="D104" s="8">
        <v>225</v>
      </c>
      <c r="E104" s="8">
        <v>368984</v>
      </c>
      <c r="F104" s="5">
        <v>9.82</v>
      </c>
      <c r="G104" s="8">
        <v>9592</v>
      </c>
      <c r="H104" s="8">
        <f t="shared" si="3"/>
        <v>341</v>
      </c>
      <c r="I104" s="12"/>
    </row>
    <row r="105" spans="1:9" ht="15.75" customHeight="1">
      <c r="A105" s="29">
        <v>45684</v>
      </c>
      <c r="B105" s="10" t="s">
        <v>5</v>
      </c>
      <c r="C105" s="8">
        <v>1149</v>
      </c>
      <c r="D105" s="8">
        <v>280</v>
      </c>
      <c r="E105" s="8">
        <v>167310</v>
      </c>
      <c r="F105" s="5">
        <v>3.7</v>
      </c>
      <c r="G105" s="8">
        <v>5291</v>
      </c>
      <c r="H105" s="8">
        <f t="shared" si="3"/>
        <v>869</v>
      </c>
      <c r="I105" s="12"/>
    </row>
    <row r="106" spans="1:9" ht="15.75" customHeight="1">
      <c r="A106" s="29">
        <v>45684</v>
      </c>
      <c r="B106" s="10" t="s">
        <v>6</v>
      </c>
      <c r="C106" s="8">
        <v>819</v>
      </c>
      <c r="D106" s="8">
        <v>101</v>
      </c>
      <c r="E106" s="8">
        <v>194811</v>
      </c>
      <c r="F106" s="5">
        <v>3.35</v>
      </c>
      <c r="G106" s="8">
        <v>22244</v>
      </c>
      <c r="H106" s="8">
        <f t="shared" si="3"/>
        <v>718</v>
      </c>
      <c r="I106" s="12"/>
    </row>
    <row r="107" spans="1:9" ht="15.75" customHeight="1">
      <c r="A107" s="29">
        <v>45691</v>
      </c>
      <c r="B107" s="10" t="s">
        <v>2</v>
      </c>
      <c r="C107" s="8">
        <v>795</v>
      </c>
      <c r="D107" s="8">
        <v>60</v>
      </c>
      <c r="E107" s="8">
        <v>314982</v>
      </c>
      <c r="F107" s="5">
        <v>7.31</v>
      </c>
      <c r="G107" s="8">
        <v>6824</v>
      </c>
      <c r="H107" s="8">
        <f t="shared" si="3"/>
        <v>735</v>
      </c>
      <c r="I107" s="12"/>
    </row>
    <row r="108" spans="1:9" ht="15.75" customHeight="1">
      <c r="A108" s="29">
        <v>45691</v>
      </c>
      <c r="B108" s="10" t="s">
        <v>5</v>
      </c>
      <c r="C108" s="8">
        <v>681</v>
      </c>
      <c r="D108" s="8">
        <v>158</v>
      </c>
      <c r="E108" s="8">
        <v>75960</v>
      </c>
      <c r="F108" s="5">
        <v>3.13</v>
      </c>
      <c r="G108" s="8">
        <v>24112</v>
      </c>
      <c r="H108" s="8">
        <f t="shared" si="3"/>
        <v>523</v>
      </c>
      <c r="I108" s="12"/>
    </row>
    <row r="109" spans="1:9" ht="15.75" customHeight="1">
      <c r="A109" s="29">
        <v>45691</v>
      </c>
      <c r="B109" s="10" t="s">
        <v>6</v>
      </c>
      <c r="C109" s="8">
        <v>534</v>
      </c>
      <c r="D109" s="8">
        <v>112</v>
      </c>
      <c r="E109" s="8">
        <v>360759</v>
      </c>
      <c r="F109" s="5">
        <v>4.8899999999999997</v>
      </c>
      <c r="G109" s="8">
        <v>25478</v>
      </c>
      <c r="H109" s="8">
        <f t="shared" si="3"/>
        <v>422</v>
      </c>
      <c r="I109" s="12"/>
    </row>
    <row r="110" spans="1:9" ht="15.75" customHeight="1">
      <c r="A110" s="29">
        <v>45698</v>
      </c>
      <c r="B110" s="10" t="s">
        <v>2</v>
      </c>
      <c r="C110" s="8">
        <v>1066</v>
      </c>
      <c r="D110" s="8">
        <v>151</v>
      </c>
      <c r="E110" s="8">
        <v>297090</v>
      </c>
      <c r="F110" s="5">
        <v>8.6300000000000008</v>
      </c>
      <c r="G110" s="8">
        <v>11235</v>
      </c>
      <c r="H110" s="8">
        <f t="shared" si="3"/>
        <v>915</v>
      </c>
      <c r="I110" s="12"/>
    </row>
    <row r="111" spans="1:9" ht="15.75" customHeight="1">
      <c r="A111" s="29">
        <v>45698</v>
      </c>
      <c r="B111" s="10" t="s">
        <v>5</v>
      </c>
      <c r="C111" s="8">
        <v>1270</v>
      </c>
      <c r="D111" s="8">
        <v>162</v>
      </c>
      <c r="E111" s="8">
        <v>92040</v>
      </c>
      <c r="F111" s="5">
        <v>8.0299999999999994</v>
      </c>
      <c r="G111" s="8">
        <v>6120</v>
      </c>
      <c r="H111" s="8">
        <f t="shared" si="3"/>
        <v>1108</v>
      </c>
      <c r="I111" s="12"/>
    </row>
    <row r="112" spans="1:9" ht="15.75" customHeight="1">
      <c r="A112" s="29">
        <v>45698</v>
      </c>
      <c r="B112" s="10" t="s">
        <v>6</v>
      </c>
      <c r="C112" s="8">
        <v>536</v>
      </c>
      <c r="D112" s="8">
        <v>198</v>
      </c>
      <c r="E112" s="8">
        <v>174610</v>
      </c>
      <c r="F112" s="5">
        <v>7.85</v>
      </c>
      <c r="G112" s="8">
        <v>20572</v>
      </c>
      <c r="H112" s="8">
        <f t="shared" si="3"/>
        <v>338</v>
      </c>
      <c r="I112" s="12"/>
    </row>
    <row r="113" spans="1:9" ht="15.75" customHeight="1">
      <c r="A113" s="29">
        <v>45705</v>
      </c>
      <c r="B113" s="10" t="s">
        <v>2</v>
      </c>
      <c r="C113" s="8">
        <v>819</v>
      </c>
      <c r="D113" s="8">
        <v>95</v>
      </c>
      <c r="E113" s="8">
        <v>177376</v>
      </c>
      <c r="F113" s="5">
        <v>6.12</v>
      </c>
      <c r="G113" s="8">
        <v>14975</v>
      </c>
      <c r="H113" s="8">
        <f t="shared" si="3"/>
        <v>724</v>
      </c>
      <c r="I113" s="12"/>
    </row>
    <row r="114" spans="1:9" ht="15.75" customHeight="1">
      <c r="A114" s="29">
        <v>45705</v>
      </c>
      <c r="B114" s="10" t="s">
        <v>5</v>
      </c>
      <c r="C114" s="8">
        <v>681</v>
      </c>
      <c r="D114" s="8">
        <v>218</v>
      </c>
      <c r="E114" s="8">
        <v>198882</v>
      </c>
      <c r="F114" s="5">
        <v>7.16</v>
      </c>
      <c r="G114" s="8">
        <v>22234</v>
      </c>
      <c r="H114" s="8">
        <f t="shared" si="3"/>
        <v>463</v>
      </c>
      <c r="I114" s="12"/>
    </row>
    <row r="115" spans="1:9" ht="15.75" customHeight="1">
      <c r="A115" s="29">
        <v>45705</v>
      </c>
      <c r="B115" s="10" t="s">
        <v>6</v>
      </c>
      <c r="C115" s="8">
        <v>646</v>
      </c>
      <c r="D115" s="8">
        <v>290</v>
      </c>
      <c r="E115" s="8">
        <v>336383</v>
      </c>
      <c r="F115" s="5">
        <v>7.04</v>
      </c>
      <c r="G115" s="8">
        <v>6532</v>
      </c>
      <c r="H115" s="8">
        <f t="shared" si="3"/>
        <v>356</v>
      </c>
      <c r="I115" s="12"/>
    </row>
    <row r="116" spans="1:9" ht="15.75" customHeight="1">
      <c r="A116" s="29">
        <v>45712</v>
      </c>
      <c r="B116" s="10" t="s">
        <v>2</v>
      </c>
      <c r="C116" s="8">
        <v>645</v>
      </c>
      <c r="D116" s="8">
        <v>267</v>
      </c>
      <c r="E116" s="8">
        <v>346890</v>
      </c>
      <c r="F116" s="5">
        <v>3.71</v>
      </c>
      <c r="G116" s="8">
        <v>24858</v>
      </c>
      <c r="H116" s="8">
        <f t="shared" si="3"/>
        <v>378</v>
      </c>
      <c r="I116" s="12"/>
    </row>
    <row r="117" spans="1:9" ht="15.75" customHeight="1">
      <c r="A117" s="29">
        <v>45712</v>
      </c>
      <c r="B117" s="10" t="s">
        <v>5</v>
      </c>
      <c r="C117" s="8">
        <v>886</v>
      </c>
      <c r="D117" s="8">
        <v>250</v>
      </c>
      <c r="E117" s="8">
        <v>168170</v>
      </c>
      <c r="F117" s="5">
        <v>4.12</v>
      </c>
      <c r="G117" s="8">
        <v>13883</v>
      </c>
      <c r="H117" s="8">
        <f t="shared" si="3"/>
        <v>636</v>
      </c>
      <c r="I117" s="12"/>
    </row>
    <row r="118" spans="1:9" ht="15.75" customHeight="1">
      <c r="A118" s="29">
        <v>45712</v>
      </c>
      <c r="B118" s="10" t="s">
        <v>6</v>
      </c>
      <c r="C118" s="8">
        <v>978</v>
      </c>
      <c r="D118" s="8">
        <v>279</v>
      </c>
      <c r="E118" s="8">
        <v>368872</v>
      </c>
      <c r="F118" s="5">
        <v>6.82</v>
      </c>
      <c r="G118" s="8">
        <v>18654</v>
      </c>
      <c r="H118" s="8">
        <f t="shared" si="3"/>
        <v>699</v>
      </c>
      <c r="I118" s="12"/>
    </row>
    <row r="119" spans="1:9" ht="15.75" customHeight="1">
      <c r="A119" s="29">
        <v>45719</v>
      </c>
      <c r="B119" s="10" t="s">
        <v>2</v>
      </c>
      <c r="C119" s="8">
        <v>1444</v>
      </c>
      <c r="D119" s="8">
        <v>165</v>
      </c>
      <c r="E119" s="8">
        <v>116436</v>
      </c>
      <c r="F119" s="5">
        <v>8.2200000000000006</v>
      </c>
      <c r="G119" s="8">
        <v>25234</v>
      </c>
      <c r="H119" s="8">
        <f t="shared" si="3"/>
        <v>1279</v>
      </c>
      <c r="I119" s="12"/>
    </row>
    <row r="120" spans="1:9" ht="15.75" customHeight="1">
      <c r="A120" s="29">
        <v>45719</v>
      </c>
      <c r="B120" s="10" t="s">
        <v>5</v>
      </c>
      <c r="C120" s="8">
        <v>1234</v>
      </c>
      <c r="D120" s="8">
        <v>228</v>
      </c>
      <c r="E120" s="8">
        <v>127502</v>
      </c>
      <c r="F120" s="5">
        <v>7.71</v>
      </c>
      <c r="G120" s="8">
        <v>6772</v>
      </c>
      <c r="H120" s="8">
        <f t="shared" si="3"/>
        <v>1006</v>
      </c>
      <c r="I120" s="12"/>
    </row>
    <row r="121" spans="1:9" ht="15.75" customHeight="1">
      <c r="A121" s="29">
        <v>45719</v>
      </c>
      <c r="B121" s="10" t="s">
        <v>6</v>
      </c>
      <c r="C121" s="8">
        <v>665</v>
      </c>
      <c r="D121" s="8">
        <v>187</v>
      </c>
      <c r="E121" s="8">
        <v>274567</v>
      </c>
      <c r="F121" s="5">
        <v>7.39</v>
      </c>
      <c r="G121" s="8">
        <v>22428</v>
      </c>
      <c r="H121" s="8">
        <f t="shared" si="3"/>
        <v>478</v>
      </c>
      <c r="I121" s="12"/>
    </row>
    <row r="122" spans="1:9" ht="15.75" customHeight="1">
      <c r="A122" s="29">
        <v>45726</v>
      </c>
      <c r="B122" s="10" t="s">
        <v>2</v>
      </c>
      <c r="C122" s="8">
        <v>631</v>
      </c>
      <c r="D122" s="8">
        <v>86</v>
      </c>
      <c r="E122" s="8">
        <v>295090</v>
      </c>
      <c r="F122" s="5">
        <v>7.89</v>
      </c>
      <c r="G122" s="8">
        <v>11911</v>
      </c>
      <c r="H122" s="8">
        <f t="shared" si="3"/>
        <v>545</v>
      </c>
      <c r="I122" s="12"/>
    </row>
    <row r="123" spans="1:9" ht="15.75" customHeight="1">
      <c r="A123" s="29">
        <v>45726</v>
      </c>
      <c r="B123" s="10" t="s">
        <v>5</v>
      </c>
      <c r="C123" s="8">
        <v>1159</v>
      </c>
      <c r="D123" s="8">
        <v>154</v>
      </c>
      <c r="E123" s="8">
        <v>194994</v>
      </c>
      <c r="F123" s="5">
        <v>6.39</v>
      </c>
      <c r="G123" s="8">
        <v>21900</v>
      </c>
      <c r="H123" s="8">
        <f t="shared" si="3"/>
        <v>1005</v>
      </c>
      <c r="I123" s="12"/>
    </row>
    <row r="124" spans="1:9" ht="15.75" customHeight="1">
      <c r="A124" s="29">
        <v>45726</v>
      </c>
      <c r="B124" s="10" t="s">
        <v>6</v>
      </c>
      <c r="C124" s="8">
        <v>950</v>
      </c>
      <c r="D124" s="8">
        <v>185</v>
      </c>
      <c r="E124" s="8">
        <v>340750</v>
      </c>
      <c r="F124" s="5">
        <v>6.77</v>
      </c>
      <c r="G124" s="8">
        <v>25542</v>
      </c>
      <c r="H124" s="8">
        <f t="shared" si="3"/>
        <v>765</v>
      </c>
      <c r="I124" s="12"/>
    </row>
    <row r="125" spans="1:9" ht="15.75" customHeight="1">
      <c r="A125" s="29">
        <v>45733</v>
      </c>
      <c r="B125" s="10" t="s">
        <v>2</v>
      </c>
      <c r="C125" s="8">
        <v>693</v>
      </c>
      <c r="D125" s="8">
        <v>129</v>
      </c>
      <c r="E125" s="8">
        <v>296031</v>
      </c>
      <c r="F125" s="5">
        <v>3.41</v>
      </c>
      <c r="G125" s="8">
        <v>7140</v>
      </c>
      <c r="H125" s="8">
        <f t="shared" si="3"/>
        <v>564</v>
      </c>
      <c r="I125" s="12"/>
    </row>
    <row r="126" spans="1:9" ht="15.75" customHeight="1">
      <c r="A126" s="29">
        <v>45733</v>
      </c>
      <c r="B126" s="10" t="s">
        <v>5</v>
      </c>
      <c r="C126" s="8">
        <v>576</v>
      </c>
      <c r="D126" s="8">
        <v>80</v>
      </c>
      <c r="E126" s="8">
        <v>345688</v>
      </c>
      <c r="F126" s="5">
        <v>4.1100000000000003</v>
      </c>
      <c r="G126" s="8">
        <v>20474</v>
      </c>
      <c r="H126" s="8">
        <f t="shared" si="3"/>
        <v>496</v>
      </c>
      <c r="I126" s="12"/>
    </row>
    <row r="127" spans="1:9" ht="15.75" customHeight="1">
      <c r="A127" s="29">
        <v>45733</v>
      </c>
      <c r="B127" s="10" t="s">
        <v>6</v>
      </c>
      <c r="C127" s="8">
        <v>1274</v>
      </c>
      <c r="D127" s="8">
        <v>146</v>
      </c>
      <c r="E127" s="8">
        <v>263488</v>
      </c>
      <c r="F127" s="5">
        <v>9.58</v>
      </c>
      <c r="G127" s="8">
        <v>8698</v>
      </c>
      <c r="H127" s="8">
        <f t="shared" si="3"/>
        <v>1128</v>
      </c>
      <c r="I127" s="12"/>
    </row>
    <row r="128" spans="1:9" ht="15.75" customHeight="1">
      <c r="A128" s="29">
        <v>45740</v>
      </c>
      <c r="B128" s="10" t="s">
        <v>2</v>
      </c>
      <c r="C128" s="8">
        <v>818</v>
      </c>
      <c r="D128" s="8">
        <v>253</v>
      </c>
      <c r="E128" s="8">
        <v>184911</v>
      </c>
      <c r="F128" s="5">
        <v>3.39</v>
      </c>
      <c r="G128" s="8">
        <v>10402</v>
      </c>
      <c r="H128" s="8">
        <f t="shared" si="3"/>
        <v>565</v>
      </c>
      <c r="I128" s="12"/>
    </row>
    <row r="129" spans="1:9" ht="15.75" customHeight="1">
      <c r="A129" s="29">
        <v>45740</v>
      </c>
      <c r="B129" s="10" t="s">
        <v>5</v>
      </c>
      <c r="C129" s="8">
        <v>975</v>
      </c>
      <c r="D129" s="8">
        <v>162</v>
      </c>
      <c r="E129" s="8">
        <v>124497</v>
      </c>
      <c r="F129" s="5">
        <v>9.58</v>
      </c>
      <c r="G129" s="8">
        <v>26618</v>
      </c>
      <c r="H129" s="8">
        <f t="shared" si="3"/>
        <v>813</v>
      </c>
      <c r="I129" s="12"/>
    </row>
    <row r="130" spans="1:9" ht="15.75" customHeight="1">
      <c r="A130" s="29">
        <v>45740</v>
      </c>
      <c r="B130" s="10" t="s">
        <v>6</v>
      </c>
      <c r="C130" s="8">
        <v>1398</v>
      </c>
      <c r="D130" s="8">
        <v>97</v>
      </c>
      <c r="E130" s="8">
        <v>397607</v>
      </c>
      <c r="F130" s="5">
        <v>5.09</v>
      </c>
      <c r="G130" s="8">
        <v>7975</v>
      </c>
      <c r="H130" s="8">
        <f t="shared" ref="H130:H161" si="4">C130-D130</f>
        <v>1301</v>
      </c>
      <c r="I130" s="12"/>
    </row>
    <row r="131" spans="1:9" ht="15.75" customHeight="1">
      <c r="A131" s="29">
        <v>45747</v>
      </c>
      <c r="B131" s="10" t="s">
        <v>2</v>
      </c>
      <c r="C131" s="8">
        <v>591</v>
      </c>
      <c r="D131" s="8">
        <v>155</v>
      </c>
      <c r="E131" s="8">
        <v>138521</v>
      </c>
      <c r="F131" s="5">
        <v>7.85</v>
      </c>
      <c r="G131" s="8">
        <v>19054</v>
      </c>
      <c r="H131" s="8">
        <f t="shared" si="4"/>
        <v>436</v>
      </c>
      <c r="I131" s="12"/>
    </row>
    <row r="132" spans="1:9" ht="15.75" customHeight="1">
      <c r="A132" s="29">
        <v>45747</v>
      </c>
      <c r="B132" s="10" t="s">
        <v>5</v>
      </c>
      <c r="C132" s="8">
        <v>1232</v>
      </c>
      <c r="D132" s="8">
        <v>254</v>
      </c>
      <c r="E132" s="8">
        <v>107718</v>
      </c>
      <c r="F132" s="5">
        <v>9.7100000000000009</v>
      </c>
      <c r="G132" s="8">
        <v>13740</v>
      </c>
      <c r="H132" s="8">
        <f t="shared" si="4"/>
        <v>978</v>
      </c>
      <c r="I132" s="12"/>
    </row>
    <row r="133" spans="1:9" ht="15.75" customHeight="1">
      <c r="A133" s="29">
        <v>45747</v>
      </c>
      <c r="B133" s="10" t="s">
        <v>6</v>
      </c>
      <c r="C133" s="8">
        <v>1425</v>
      </c>
      <c r="D133" s="8">
        <v>58</v>
      </c>
      <c r="E133" s="8">
        <v>202234</v>
      </c>
      <c r="F133" s="5">
        <v>6.67</v>
      </c>
      <c r="G133" s="8">
        <v>18442</v>
      </c>
      <c r="H133" s="8">
        <f t="shared" si="4"/>
        <v>1367</v>
      </c>
      <c r="I133" s="12"/>
    </row>
    <row r="134" spans="1:9" ht="15.75" customHeight="1">
      <c r="A134" s="29">
        <v>45754</v>
      </c>
      <c r="B134" s="10" t="s">
        <v>2</v>
      </c>
      <c r="C134" s="8">
        <v>1417</v>
      </c>
      <c r="D134" s="8">
        <v>80</v>
      </c>
      <c r="E134" s="8">
        <v>340987</v>
      </c>
      <c r="F134" s="5">
        <v>6.13</v>
      </c>
      <c r="G134" s="8">
        <v>10104</v>
      </c>
      <c r="H134" s="8">
        <f t="shared" si="4"/>
        <v>1337</v>
      </c>
      <c r="I134" s="12"/>
    </row>
    <row r="135" spans="1:9" ht="15.75" customHeight="1">
      <c r="A135" s="29">
        <v>45754</v>
      </c>
      <c r="B135" s="10" t="s">
        <v>5</v>
      </c>
      <c r="C135" s="8">
        <v>1222</v>
      </c>
      <c r="D135" s="8">
        <v>208</v>
      </c>
      <c r="E135" s="8">
        <v>340098</v>
      </c>
      <c r="F135" s="5">
        <v>7.34</v>
      </c>
      <c r="G135" s="8">
        <v>21771</v>
      </c>
      <c r="H135" s="8">
        <f t="shared" si="4"/>
        <v>1014</v>
      </c>
      <c r="I135" s="12"/>
    </row>
    <row r="136" spans="1:9" ht="15.75" customHeight="1">
      <c r="A136" s="29">
        <v>45754</v>
      </c>
      <c r="B136" s="10" t="s">
        <v>6</v>
      </c>
      <c r="C136" s="8">
        <v>1071</v>
      </c>
      <c r="D136" s="8">
        <v>131</v>
      </c>
      <c r="E136" s="8">
        <v>254727</v>
      </c>
      <c r="F136" s="5">
        <v>6.87</v>
      </c>
      <c r="G136" s="8">
        <v>22191</v>
      </c>
      <c r="H136" s="8">
        <f t="shared" si="4"/>
        <v>940</v>
      </c>
      <c r="I136" s="12"/>
    </row>
    <row r="137" spans="1:9" ht="15.75" customHeight="1">
      <c r="A137" s="29">
        <v>45761</v>
      </c>
      <c r="B137" s="10" t="s">
        <v>2</v>
      </c>
      <c r="C137" s="8">
        <v>772</v>
      </c>
      <c r="D137" s="8">
        <v>82</v>
      </c>
      <c r="E137" s="8">
        <v>345659</v>
      </c>
      <c r="F137" s="5">
        <v>3.52</v>
      </c>
      <c r="G137" s="8">
        <v>27753</v>
      </c>
      <c r="H137" s="8">
        <f t="shared" si="4"/>
        <v>690</v>
      </c>
      <c r="I137" s="12"/>
    </row>
    <row r="138" spans="1:9" ht="15.75" customHeight="1">
      <c r="A138" s="29">
        <v>45761</v>
      </c>
      <c r="B138" s="10" t="s">
        <v>5</v>
      </c>
      <c r="C138" s="8">
        <v>1472</v>
      </c>
      <c r="D138" s="8">
        <v>137</v>
      </c>
      <c r="E138" s="8">
        <v>213950</v>
      </c>
      <c r="F138" s="5">
        <v>6.96</v>
      </c>
      <c r="G138" s="8">
        <v>23736</v>
      </c>
      <c r="H138" s="8">
        <f t="shared" si="4"/>
        <v>1335</v>
      </c>
      <c r="I138" s="12"/>
    </row>
    <row r="139" spans="1:9" ht="15.75" customHeight="1">
      <c r="A139" s="29">
        <v>45761</v>
      </c>
      <c r="B139" s="10" t="s">
        <v>6</v>
      </c>
      <c r="C139" s="8">
        <v>1472</v>
      </c>
      <c r="D139" s="8">
        <v>281</v>
      </c>
      <c r="E139" s="8">
        <v>258115</v>
      </c>
      <c r="F139" s="5">
        <v>7.23</v>
      </c>
      <c r="G139" s="8">
        <v>27393</v>
      </c>
      <c r="H139" s="8">
        <f t="shared" si="4"/>
        <v>1191</v>
      </c>
      <c r="I139" s="12"/>
    </row>
    <row r="140" spans="1:9" ht="15.75" customHeight="1">
      <c r="A140" s="29">
        <v>45768</v>
      </c>
      <c r="B140" s="10" t="s">
        <v>2</v>
      </c>
      <c r="C140" s="8">
        <v>585</v>
      </c>
      <c r="D140" s="8">
        <v>232</v>
      </c>
      <c r="E140" s="8">
        <v>321258</v>
      </c>
      <c r="F140" s="5">
        <v>7.42</v>
      </c>
      <c r="G140" s="8">
        <v>10343</v>
      </c>
      <c r="H140" s="8">
        <f t="shared" si="4"/>
        <v>353</v>
      </c>
      <c r="I140" s="12"/>
    </row>
    <row r="141" spans="1:9" ht="15.75" customHeight="1">
      <c r="A141" s="29">
        <v>45768</v>
      </c>
      <c r="B141" s="10" t="s">
        <v>5</v>
      </c>
      <c r="C141" s="8">
        <v>747</v>
      </c>
      <c r="D141" s="8">
        <v>261</v>
      </c>
      <c r="E141" s="8">
        <v>338650</v>
      </c>
      <c r="F141" s="5">
        <v>7.73</v>
      </c>
      <c r="G141" s="8">
        <v>25259</v>
      </c>
      <c r="H141" s="8">
        <f t="shared" si="4"/>
        <v>486</v>
      </c>
      <c r="I141" s="12"/>
    </row>
    <row r="142" spans="1:9" ht="15.75" customHeight="1">
      <c r="A142" s="29">
        <v>45768</v>
      </c>
      <c r="B142" s="10" t="s">
        <v>6</v>
      </c>
      <c r="C142" s="8">
        <v>1113</v>
      </c>
      <c r="D142" s="8">
        <v>224</v>
      </c>
      <c r="E142" s="8">
        <v>272989</v>
      </c>
      <c r="F142" s="5">
        <v>5.13</v>
      </c>
      <c r="G142" s="8">
        <v>24827</v>
      </c>
      <c r="H142" s="8">
        <f t="shared" si="4"/>
        <v>889</v>
      </c>
      <c r="I142" s="12"/>
    </row>
    <row r="143" spans="1:9" ht="15.75" customHeight="1">
      <c r="A143" s="29">
        <v>45775</v>
      </c>
      <c r="B143" s="10" t="s">
        <v>2</v>
      </c>
      <c r="C143" s="8">
        <v>1100</v>
      </c>
      <c r="D143" s="8">
        <v>117</v>
      </c>
      <c r="E143" s="8">
        <v>260204</v>
      </c>
      <c r="F143" s="5">
        <v>4.4000000000000004</v>
      </c>
      <c r="G143" s="8">
        <v>11908</v>
      </c>
      <c r="H143" s="8">
        <f t="shared" si="4"/>
        <v>983</v>
      </c>
      <c r="I143" s="12"/>
    </row>
    <row r="144" spans="1:9" ht="15.75" customHeight="1">
      <c r="A144" s="29">
        <v>45775</v>
      </c>
      <c r="B144" s="10" t="s">
        <v>5</v>
      </c>
      <c r="C144" s="8">
        <v>751</v>
      </c>
      <c r="D144" s="8">
        <v>170</v>
      </c>
      <c r="E144" s="8">
        <v>283278</v>
      </c>
      <c r="F144" s="5">
        <v>3.49</v>
      </c>
      <c r="G144" s="8">
        <v>11005</v>
      </c>
      <c r="H144" s="8">
        <f t="shared" si="4"/>
        <v>581</v>
      </c>
      <c r="I144" s="12"/>
    </row>
    <row r="145" spans="1:9" ht="15.75" customHeight="1">
      <c r="A145" s="29">
        <v>45775</v>
      </c>
      <c r="B145" s="10" t="s">
        <v>6</v>
      </c>
      <c r="C145" s="8">
        <v>864</v>
      </c>
      <c r="D145" s="8">
        <v>50</v>
      </c>
      <c r="E145" s="8">
        <v>277445</v>
      </c>
      <c r="F145" s="5">
        <v>3.57</v>
      </c>
      <c r="G145" s="8">
        <v>26333</v>
      </c>
      <c r="H145" s="8">
        <f t="shared" si="4"/>
        <v>814</v>
      </c>
      <c r="I145" s="12"/>
    </row>
    <row r="146" spans="1:9" ht="15.75" customHeight="1">
      <c r="A146" s="29">
        <v>45782</v>
      </c>
      <c r="B146" s="10" t="s">
        <v>2</v>
      </c>
      <c r="C146" s="8">
        <v>1146</v>
      </c>
      <c r="D146" s="8">
        <v>227</v>
      </c>
      <c r="E146" s="8">
        <v>353781</v>
      </c>
      <c r="F146" s="5">
        <v>6.41</v>
      </c>
      <c r="G146" s="8">
        <v>5495</v>
      </c>
      <c r="H146" s="8">
        <f t="shared" si="4"/>
        <v>919</v>
      </c>
      <c r="I146" s="12"/>
    </row>
    <row r="147" spans="1:9" ht="15.75" customHeight="1">
      <c r="A147" s="29">
        <v>45782</v>
      </c>
      <c r="B147" s="10" t="s">
        <v>5</v>
      </c>
      <c r="C147" s="8">
        <v>883</v>
      </c>
      <c r="D147" s="8">
        <v>207</v>
      </c>
      <c r="E147" s="8">
        <v>265019</v>
      </c>
      <c r="F147" s="5">
        <v>6.04</v>
      </c>
      <c r="G147" s="8">
        <v>15655</v>
      </c>
      <c r="H147" s="8">
        <f t="shared" si="4"/>
        <v>676</v>
      </c>
      <c r="I147" s="12"/>
    </row>
    <row r="148" spans="1:9" ht="15.75" customHeight="1">
      <c r="A148" s="29">
        <v>45782</v>
      </c>
      <c r="B148" s="10" t="s">
        <v>6</v>
      </c>
      <c r="C148" s="8">
        <v>622</v>
      </c>
      <c r="D148" s="8">
        <v>163</v>
      </c>
      <c r="E148" s="8">
        <v>231925</v>
      </c>
      <c r="F148" s="5">
        <v>9.18</v>
      </c>
      <c r="G148" s="8">
        <v>13763</v>
      </c>
      <c r="H148" s="8">
        <f t="shared" si="4"/>
        <v>459</v>
      </c>
      <c r="I148" s="12"/>
    </row>
    <row r="149" spans="1:9" ht="15.75" customHeight="1">
      <c r="A149" s="29">
        <v>45789</v>
      </c>
      <c r="B149" s="10" t="s">
        <v>2</v>
      </c>
      <c r="C149" s="8">
        <v>837</v>
      </c>
      <c r="D149" s="8">
        <v>261</v>
      </c>
      <c r="E149" s="8">
        <v>366149</v>
      </c>
      <c r="F149" s="5">
        <v>6.54</v>
      </c>
      <c r="G149" s="8">
        <v>26073</v>
      </c>
      <c r="H149" s="8">
        <f t="shared" si="4"/>
        <v>576</v>
      </c>
      <c r="I149" s="12"/>
    </row>
    <row r="150" spans="1:9" ht="15.75" customHeight="1">
      <c r="A150" s="29">
        <v>45789</v>
      </c>
      <c r="B150" s="10" t="s">
        <v>5</v>
      </c>
      <c r="C150" s="8">
        <v>544</v>
      </c>
      <c r="D150" s="8">
        <v>97</v>
      </c>
      <c r="E150" s="8">
        <v>168375</v>
      </c>
      <c r="F150" s="5">
        <v>8.66</v>
      </c>
      <c r="G150" s="8">
        <v>12774</v>
      </c>
      <c r="H150" s="8">
        <f t="shared" si="4"/>
        <v>447</v>
      </c>
      <c r="I150" s="12"/>
    </row>
    <row r="151" spans="1:9" ht="15.75" customHeight="1">
      <c r="A151" s="29">
        <v>45789</v>
      </c>
      <c r="B151" s="10" t="s">
        <v>6</v>
      </c>
      <c r="C151" s="8">
        <v>624</v>
      </c>
      <c r="D151" s="8">
        <v>247</v>
      </c>
      <c r="E151" s="8">
        <v>252763</v>
      </c>
      <c r="F151" s="5">
        <v>3.89</v>
      </c>
      <c r="G151" s="8">
        <v>19000</v>
      </c>
      <c r="H151" s="8">
        <f t="shared" si="4"/>
        <v>377</v>
      </c>
      <c r="I151" s="12"/>
    </row>
    <row r="152" spans="1:9" ht="15.75" customHeight="1">
      <c r="A152" s="29">
        <v>45796</v>
      </c>
      <c r="B152" s="10" t="s">
        <v>2</v>
      </c>
      <c r="C152" s="8">
        <v>1073</v>
      </c>
      <c r="D152" s="8">
        <v>141</v>
      </c>
      <c r="E152" s="8">
        <v>118393</v>
      </c>
      <c r="F152" s="5">
        <v>7.95</v>
      </c>
      <c r="G152" s="8">
        <v>14051</v>
      </c>
      <c r="H152" s="8">
        <f t="shared" si="4"/>
        <v>932</v>
      </c>
      <c r="I152" s="12"/>
    </row>
    <row r="153" spans="1:9" ht="15.75" customHeight="1">
      <c r="A153" s="29">
        <v>45796</v>
      </c>
      <c r="B153" s="10" t="s">
        <v>5</v>
      </c>
      <c r="C153" s="8">
        <v>1430</v>
      </c>
      <c r="D153" s="8">
        <v>74</v>
      </c>
      <c r="E153" s="8">
        <v>327012</v>
      </c>
      <c r="F153" s="5">
        <v>6.66</v>
      </c>
      <c r="G153" s="8">
        <v>27782</v>
      </c>
      <c r="H153" s="8">
        <f t="shared" si="4"/>
        <v>1356</v>
      </c>
      <c r="I153" s="12"/>
    </row>
    <row r="154" spans="1:9" ht="15.75" customHeight="1">
      <c r="A154" s="29">
        <v>45796</v>
      </c>
      <c r="B154" s="10" t="s">
        <v>6</v>
      </c>
      <c r="C154" s="8">
        <v>1358</v>
      </c>
      <c r="D154" s="8">
        <v>77</v>
      </c>
      <c r="E154" s="8">
        <v>169688</v>
      </c>
      <c r="F154" s="5">
        <v>5.25</v>
      </c>
      <c r="G154" s="8">
        <v>7859</v>
      </c>
      <c r="H154" s="8">
        <f t="shared" si="4"/>
        <v>1281</v>
      </c>
      <c r="I154" s="12"/>
    </row>
    <row r="155" spans="1:9" ht="15.75" customHeight="1">
      <c r="A155" s="29">
        <v>45803</v>
      </c>
      <c r="B155" s="10" t="s">
        <v>2</v>
      </c>
      <c r="C155" s="8">
        <v>1242</v>
      </c>
      <c r="D155" s="8">
        <v>201</v>
      </c>
      <c r="E155" s="8">
        <v>271935</v>
      </c>
      <c r="F155" s="5">
        <v>5.07</v>
      </c>
      <c r="G155" s="8">
        <v>15773</v>
      </c>
      <c r="H155" s="8">
        <f t="shared" si="4"/>
        <v>1041</v>
      </c>
      <c r="I155" s="12"/>
    </row>
    <row r="156" spans="1:9" ht="15.75" customHeight="1">
      <c r="A156" s="29">
        <v>45803</v>
      </c>
      <c r="B156" s="10" t="s">
        <v>5</v>
      </c>
      <c r="C156" s="8">
        <v>1389</v>
      </c>
      <c r="D156" s="8">
        <v>205</v>
      </c>
      <c r="E156" s="8">
        <v>315981</v>
      </c>
      <c r="F156" s="5">
        <v>7.62</v>
      </c>
      <c r="G156" s="8">
        <v>20595</v>
      </c>
      <c r="H156" s="8">
        <f t="shared" si="4"/>
        <v>1184</v>
      </c>
      <c r="I156" s="12"/>
    </row>
    <row r="157" spans="1:9" ht="15.75" customHeight="1">
      <c r="A157" s="29">
        <v>45803</v>
      </c>
      <c r="B157" s="10" t="s">
        <v>6</v>
      </c>
      <c r="C157" s="8">
        <v>826</v>
      </c>
      <c r="D157" s="8">
        <v>142</v>
      </c>
      <c r="E157" s="8">
        <v>341016</v>
      </c>
      <c r="F157" s="5">
        <v>7.44</v>
      </c>
      <c r="G157" s="8">
        <v>12031</v>
      </c>
      <c r="H157" s="8">
        <f t="shared" si="4"/>
        <v>684</v>
      </c>
      <c r="I157" s="12"/>
    </row>
    <row r="158" spans="1:9" ht="15.75" customHeight="1">
      <c r="A158" s="29">
        <v>45810</v>
      </c>
      <c r="B158" s="10" t="s">
        <v>2</v>
      </c>
      <c r="C158" s="8">
        <v>618</v>
      </c>
      <c r="D158" s="8">
        <v>264</v>
      </c>
      <c r="E158" s="8">
        <v>285164</v>
      </c>
      <c r="F158" s="5">
        <v>4.8600000000000003</v>
      </c>
      <c r="G158" s="8">
        <v>15128</v>
      </c>
      <c r="H158" s="8">
        <f t="shared" si="4"/>
        <v>354</v>
      </c>
      <c r="I158" s="12"/>
    </row>
    <row r="159" spans="1:9" ht="15.75" customHeight="1">
      <c r="A159" s="29">
        <v>45810</v>
      </c>
      <c r="B159" s="10" t="s">
        <v>5</v>
      </c>
      <c r="C159" s="8">
        <v>1419</v>
      </c>
      <c r="D159" s="8">
        <v>293</v>
      </c>
      <c r="E159" s="8">
        <v>116632</v>
      </c>
      <c r="F159" s="5">
        <v>6.93</v>
      </c>
      <c r="G159" s="8">
        <v>11826</v>
      </c>
      <c r="H159" s="8">
        <f t="shared" si="4"/>
        <v>1126</v>
      </c>
      <c r="I159" s="12"/>
    </row>
    <row r="160" spans="1:9" ht="15.75" customHeight="1">
      <c r="A160" s="29">
        <v>45810</v>
      </c>
      <c r="B160" s="10" t="s">
        <v>6</v>
      </c>
      <c r="C160" s="8">
        <v>637</v>
      </c>
      <c r="D160" s="8">
        <v>68</v>
      </c>
      <c r="E160" s="8">
        <v>115694</v>
      </c>
      <c r="F160" s="5">
        <v>9.99</v>
      </c>
      <c r="G160" s="8">
        <v>12562</v>
      </c>
      <c r="H160" s="8">
        <f t="shared" si="4"/>
        <v>569</v>
      </c>
      <c r="I160" s="12"/>
    </row>
    <row r="161" spans="1:9" ht="15.75" customHeight="1">
      <c r="A161" s="29">
        <v>45817</v>
      </c>
      <c r="B161" s="10" t="s">
        <v>2</v>
      </c>
      <c r="C161" s="8">
        <v>917</v>
      </c>
      <c r="D161" s="8">
        <v>187</v>
      </c>
      <c r="E161" s="8">
        <v>64444</v>
      </c>
      <c r="F161" s="5">
        <v>5.22</v>
      </c>
      <c r="G161" s="8">
        <v>13013</v>
      </c>
      <c r="H161" s="8">
        <f t="shared" si="4"/>
        <v>730</v>
      </c>
      <c r="I161" s="12"/>
    </row>
    <row r="162" spans="1:9" ht="15.75" customHeight="1">
      <c r="A162" s="29">
        <v>45817</v>
      </c>
      <c r="B162" s="10" t="s">
        <v>5</v>
      </c>
      <c r="C162" s="8">
        <v>810</v>
      </c>
      <c r="D162" s="8">
        <v>232</v>
      </c>
      <c r="E162" s="8">
        <v>362559</v>
      </c>
      <c r="F162" s="5">
        <v>5.17</v>
      </c>
      <c r="G162" s="8">
        <v>12937</v>
      </c>
      <c r="H162" s="8">
        <f t="shared" ref="H162:H193" si="5">C162-D162</f>
        <v>578</v>
      </c>
      <c r="I162" s="12"/>
    </row>
    <row r="163" spans="1:9" ht="15.75" customHeight="1">
      <c r="A163" s="29">
        <v>45817</v>
      </c>
      <c r="B163" s="10" t="s">
        <v>6</v>
      </c>
      <c r="C163" s="8">
        <v>1183</v>
      </c>
      <c r="D163" s="8">
        <v>248</v>
      </c>
      <c r="E163" s="8">
        <v>226881</v>
      </c>
      <c r="F163" s="5">
        <v>5.17</v>
      </c>
      <c r="G163" s="8">
        <v>14534</v>
      </c>
      <c r="H163" s="8">
        <f t="shared" si="5"/>
        <v>935</v>
      </c>
      <c r="I163" s="12"/>
    </row>
    <row r="164" spans="1:9" ht="15.75" customHeight="1">
      <c r="A164" s="29">
        <v>45824</v>
      </c>
      <c r="B164" s="10" t="s">
        <v>2</v>
      </c>
      <c r="C164" s="8">
        <v>765</v>
      </c>
      <c r="D164" s="8">
        <v>67</v>
      </c>
      <c r="E164" s="8">
        <v>283537</v>
      </c>
      <c r="F164" s="5">
        <v>6.18</v>
      </c>
      <c r="G164" s="8">
        <v>8182</v>
      </c>
      <c r="H164" s="8">
        <f t="shared" si="5"/>
        <v>698</v>
      </c>
      <c r="I164" s="12"/>
    </row>
    <row r="165" spans="1:9" ht="15.75" customHeight="1">
      <c r="A165" s="29">
        <v>45824</v>
      </c>
      <c r="B165" s="10" t="s">
        <v>5</v>
      </c>
      <c r="C165" s="8">
        <v>540</v>
      </c>
      <c r="D165" s="8">
        <v>215</v>
      </c>
      <c r="E165" s="8">
        <v>62837</v>
      </c>
      <c r="F165" s="5">
        <v>5.3</v>
      </c>
      <c r="G165" s="8">
        <v>10615</v>
      </c>
      <c r="H165" s="8">
        <f t="shared" si="5"/>
        <v>325</v>
      </c>
      <c r="I165" s="12"/>
    </row>
    <row r="166" spans="1:9" ht="15.75" customHeight="1">
      <c r="A166" s="29">
        <v>45824</v>
      </c>
      <c r="B166" s="10" t="s">
        <v>6</v>
      </c>
      <c r="C166" s="8">
        <v>1145</v>
      </c>
      <c r="D166" s="8">
        <v>151</v>
      </c>
      <c r="E166" s="8">
        <v>182759</v>
      </c>
      <c r="F166" s="5">
        <v>5.99</v>
      </c>
      <c r="G166" s="8">
        <v>20109</v>
      </c>
      <c r="H166" s="8">
        <f t="shared" si="5"/>
        <v>994</v>
      </c>
      <c r="I166" s="12"/>
    </row>
    <row r="167" spans="1:9" ht="15.75" customHeight="1">
      <c r="A167" s="29">
        <v>45831</v>
      </c>
      <c r="B167" s="10" t="s">
        <v>2</v>
      </c>
      <c r="C167" s="8">
        <v>564</v>
      </c>
      <c r="D167" s="8">
        <v>244</v>
      </c>
      <c r="E167" s="8">
        <v>279405</v>
      </c>
      <c r="F167" s="5">
        <v>8.43</v>
      </c>
      <c r="G167" s="8">
        <v>26024</v>
      </c>
      <c r="H167" s="8">
        <f t="shared" si="5"/>
        <v>320</v>
      </c>
      <c r="I167" s="12"/>
    </row>
    <row r="168" spans="1:9" ht="15.75" customHeight="1">
      <c r="A168" s="29">
        <v>45831</v>
      </c>
      <c r="B168" s="10" t="s">
        <v>5</v>
      </c>
      <c r="C168" s="8">
        <v>668</v>
      </c>
      <c r="D168" s="8">
        <v>124</v>
      </c>
      <c r="E168" s="8">
        <v>257485</v>
      </c>
      <c r="F168" s="5">
        <v>7.55</v>
      </c>
      <c r="G168" s="8">
        <v>26730</v>
      </c>
      <c r="H168" s="8">
        <f t="shared" si="5"/>
        <v>544</v>
      </c>
      <c r="I168" s="12"/>
    </row>
    <row r="169" spans="1:9" ht="15.75" customHeight="1">
      <c r="A169" s="29">
        <v>45831</v>
      </c>
      <c r="B169" s="10" t="s">
        <v>6</v>
      </c>
      <c r="C169" s="8">
        <v>761</v>
      </c>
      <c r="D169" s="8">
        <v>241</v>
      </c>
      <c r="E169" s="8">
        <v>154977</v>
      </c>
      <c r="F169" s="5">
        <v>5.63</v>
      </c>
      <c r="G169" s="8">
        <v>10563</v>
      </c>
      <c r="H169" s="8">
        <f t="shared" si="5"/>
        <v>520</v>
      </c>
      <c r="I169" s="12"/>
    </row>
    <row r="170" spans="1:9" ht="15.75" customHeight="1">
      <c r="A170" s="29">
        <v>45838</v>
      </c>
      <c r="B170" s="10" t="s">
        <v>2</v>
      </c>
      <c r="C170" s="8">
        <v>593</v>
      </c>
      <c r="D170" s="8">
        <v>108</v>
      </c>
      <c r="E170" s="8">
        <v>216500</v>
      </c>
      <c r="F170" s="5">
        <v>4.71</v>
      </c>
      <c r="G170" s="8">
        <v>27575</v>
      </c>
      <c r="H170" s="8">
        <f t="shared" si="5"/>
        <v>485</v>
      </c>
      <c r="I170" s="12"/>
    </row>
    <row r="171" spans="1:9" ht="15.75" customHeight="1">
      <c r="A171" s="29">
        <v>45838</v>
      </c>
      <c r="B171" s="10" t="s">
        <v>5</v>
      </c>
      <c r="C171" s="8">
        <v>1349</v>
      </c>
      <c r="D171" s="8">
        <v>115</v>
      </c>
      <c r="E171" s="8">
        <v>102102</v>
      </c>
      <c r="F171" s="5">
        <v>5.28</v>
      </c>
      <c r="G171" s="8">
        <v>14479</v>
      </c>
      <c r="H171" s="8">
        <f t="shared" si="5"/>
        <v>1234</v>
      </c>
      <c r="I171" s="12"/>
    </row>
    <row r="172" spans="1:9" ht="15.75" customHeight="1">
      <c r="A172" s="29">
        <v>45838</v>
      </c>
      <c r="B172" s="10" t="s">
        <v>6</v>
      </c>
      <c r="C172" s="8">
        <v>693</v>
      </c>
      <c r="D172" s="8">
        <v>97</v>
      </c>
      <c r="E172" s="8">
        <v>92025</v>
      </c>
      <c r="F172" s="5">
        <v>5.95</v>
      </c>
      <c r="G172" s="8">
        <v>15915</v>
      </c>
      <c r="H172" s="8">
        <f t="shared" si="5"/>
        <v>596</v>
      </c>
      <c r="I172" s="12"/>
    </row>
    <row r="173" spans="1:9" ht="15.75" customHeight="1">
      <c r="A173" s="29">
        <v>45845</v>
      </c>
      <c r="B173" s="10" t="s">
        <v>2</v>
      </c>
      <c r="C173" s="8">
        <v>974</v>
      </c>
      <c r="D173" s="8">
        <v>143</v>
      </c>
      <c r="E173" s="8">
        <v>247965</v>
      </c>
      <c r="F173" s="5">
        <v>9.98</v>
      </c>
      <c r="G173" s="8">
        <v>12767</v>
      </c>
      <c r="H173" s="8">
        <f t="shared" si="5"/>
        <v>831</v>
      </c>
      <c r="I173" s="12"/>
    </row>
    <row r="174" spans="1:9" ht="15.75" customHeight="1">
      <c r="A174" s="29">
        <v>45845</v>
      </c>
      <c r="B174" s="10" t="s">
        <v>5</v>
      </c>
      <c r="C174" s="8">
        <v>1155</v>
      </c>
      <c r="D174" s="8">
        <v>122</v>
      </c>
      <c r="E174" s="8">
        <v>387352</v>
      </c>
      <c r="F174" s="5">
        <v>9.93</v>
      </c>
      <c r="G174" s="8">
        <v>12170</v>
      </c>
      <c r="H174" s="8">
        <f t="shared" si="5"/>
        <v>1033</v>
      </c>
      <c r="I174" s="12"/>
    </row>
    <row r="175" spans="1:9" ht="15.75" customHeight="1">
      <c r="A175" s="29">
        <v>45845</v>
      </c>
      <c r="B175" s="10" t="s">
        <v>6</v>
      </c>
      <c r="C175" s="8">
        <v>1051</v>
      </c>
      <c r="D175" s="8">
        <v>246</v>
      </c>
      <c r="E175" s="8">
        <v>253985</v>
      </c>
      <c r="F175" s="5">
        <v>9.08</v>
      </c>
      <c r="G175" s="8">
        <v>7245</v>
      </c>
      <c r="H175" s="8">
        <f t="shared" si="5"/>
        <v>805</v>
      </c>
      <c r="I175" s="12"/>
    </row>
    <row r="176" spans="1:9" ht="15.75" customHeight="1">
      <c r="A176" s="29">
        <v>45852</v>
      </c>
      <c r="B176" s="10" t="s">
        <v>2</v>
      </c>
      <c r="C176" s="8">
        <v>1457</v>
      </c>
      <c r="D176" s="8">
        <v>183</v>
      </c>
      <c r="E176" s="8">
        <v>129640</v>
      </c>
      <c r="F176" s="5">
        <v>7.98</v>
      </c>
      <c r="G176" s="8">
        <v>12985</v>
      </c>
      <c r="H176" s="8">
        <f t="shared" si="5"/>
        <v>1274</v>
      </c>
      <c r="I176" s="12"/>
    </row>
    <row r="177" spans="1:9" ht="15.75" customHeight="1">
      <c r="A177" s="29">
        <v>45852</v>
      </c>
      <c r="B177" s="10" t="s">
        <v>5</v>
      </c>
      <c r="C177" s="8">
        <v>670</v>
      </c>
      <c r="D177" s="8">
        <v>242</v>
      </c>
      <c r="E177" s="8">
        <v>281913</v>
      </c>
      <c r="F177" s="5">
        <v>9.6199999999999992</v>
      </c>
      <c r="G177" s="8">
        <v>16377</v>
      </c>
      <c r="H177" s="8">
        <f t="shared" si="5"/>
        <v>428</v>
      </c>
      <c r="I177" s="12"/>
    </row>
    <row r="178" spans="1:9" ht="15.75" customHeight="1">
      <c r="A178" s="29">
        <v>45852</v>
      </c>
      <c r="B178" s="10" t="s">
        <v>6</v>
      </c>
      <c r="C178" s="8">
        <v>1111</v>
      </c>
      <c r="D178" s="8">
        <v>159</v>
      </c>
      <c r="E178" s="8">
        <v>360770</v>
      </c>
      <c r="F178" s="5">
        <v>8.7100000000000009</v>
      </c>
      <c r="G178" s="8">
        <v>11453</v>
      </c>
      <c r="H178" s="8">
        <f t="shared" si="5"/>
        <v>952</v>
      </c>
      <c r="I178" s="12"/>
    </row>
    <row r="179" spans="1:9" ht="15.75" customHeight="1">
      <c r="A179" s="29">
        <v>45859</v>
      </c>
      <c r="B179" s="10" t="s">
        <v>2</v>
      </c>
      <c r="C179" s="8">
        <v>1197</v>
      </c>
      <c r="D179" s="8">
        <v>246</v>
      </c>
      <c r="E179" s="8">
        <v>127273</v>
      </c>
      <c r="F179" s="5">
        <v>6.69</v>
      </c>
      <c r="G179" s="8">
        <v>12323</v>
      </c>
      <c r="H179" s="8">
        <f t="shared" si="5"/>
        <v>951</v>
      </c>
      <c r="I179" s="12"/>
    </row>
    <row r="180" spans="1:9" ht="15.75" customHeight="1">
      <c r="A180" s="29">
        <v>45859</v>
      </c>
      <c r="B180" s="10" t="s">
        <v>5</v>
      </c>
      <c r="C180" s="8">
        <v>754</v>
      </c>
      <c r="D180" s="8">
        <v>150</v>
      </c>
      <c r="E180" s="8">
        <v>189622</v>
      </c>
      <c r="F180" s="5">
        <v>4.25</v>
      </c>
      <c r="G180" s="8">
        <v>11911</v>
      </c>
      <c r="H180" s="8">
        <f t="shared" si="5"/>
        <v>604</v>
      </c>
      <c r="I180" s="12"/>
    </row>
    <row r="181" spans="1:9" ht="15.75" customHeight="1">
      <c r="A181" s="29">
        <v>45859</v>
      </c>
      <c r="B181" s="10" t="s">
        <v>6</v>
      </c>
      <c r="C181" s="8">
        <v>1246</v>
      </c>
      <c r="D181" s="8">
        <v>107</v>
      </c>
      <c r="E181" s="8">
        <v>350949</v>
      </c>
      <c r="F181" s="5">
        <v>4.9800000000000004</v>
      </c>
      <c r="G181" s="8">
        <v>27809</v>
      </c>
      <c r="H181" s="8">
        <f t="shared" si="5"/>
        <v>1139</v>
      </c>
      <c r="I181" s="12"/>
    </row>
    <row r="182" spans="1:9" ht="15.75" customHeight="1">
      <c r="A182" s="29">
        <v>45866</v>
      </c>
      <c r="B182" s="10" t="s">
        <v>2</v>
      </c>
      <c r="C182" s="8">
        <v>780</v>
      </c>
      <c r="D182" s="8">
        <v>213</v>
      </c>
      <c r="E182" s="8">
        <v>121431</v>
      </c>
      <c r="F182" s="5">
        <v>4.97</v>
      </c>
      <c r="G182" s="8">
        <v>21464</v>
      </c>
      <c r="H182" s="8">
        <f t="shared" si="5"/>
        <v>567</v>
      </c>
      <c r="I182" s="12"/>
    </row>
    <row r="183" spans="1:9" ht="15.75" customHeight="1">
      <c r="A183" s="29">
        <v>45866</v>
      </c>
      <c r="B183" s="10" t="s">
        <v>5</v>
      </c>
      <c r="C183" s="8">
        <v>1425</v>
      </c>
      <c r="D183" s="8">
        <v>143</v>
      </c>
      <c r="E183" s="8">
        <v>116742</v>
      </c>
      <c r="F183" s="5">
        <v>3.71</v>
      </c>
      <c r="G183" s="8">
        <v>27126</v>
      </c>
      <c r="H183" s="8">
        <f t="shared" si="5"/>
        <v>1282</v>
      </c>
      <c r="I183" s="12"/>
    </row>
    <row r="184" spans="1:9" ht="15.75" customHeight="1">
      <c r="A184" s="29">
        <v>45866</v>
      </c>
      <c r="B184" s="10" t="s">
        <v>6</v>
      </c>
      <c r="C184" s="8">
        <v>1490</v>
      </c>
      <c r="D184" s="8">
        <v>103</v>
      </c>
      <c r="E184" s="8">
        <v>81184</v>
      </c>
      <c r="F184" s="5">
        <v>7.79</v>
      </c>
      <c r="G184" s="8">
        <v>10681</v>
      </c>
      <c r="H184" s="8">
        <f t="shared" si="5"/>
        <v>1387</v>
      </c>
      <c r="I184" s="12"/>
    </row>
    <row r="185" spans="1:9" ht="15.75" customHeight="1">
      <c r="A185" s="29">
        <v>45873</v>
      </c>
      <c r="B185" s="10" t="s">
        <v>2</v>
      </c>
      <c r="C185" s="8">
        <v>949</v>
      </c>
      <c r="D185" s="8">
        <v>282</v>
      </c>
      <c r="E185" s="8">
        <v>87126</v>
      </c>
      <c r="F185" s="5">
        <v>4.96</v>
      </c>
      <c r="G185" s="8">
        <v>5413</v>
      </c>
      <c r="H185" s="8">
        <f t="shared" si="5"/>
        <v>667</v>
      </c>
      <c r="I185" s="12"/>
    </row>
    <row r="186" spans="1:9" ht="15.75" customHeight="1">
      <c r="A186" s="29">
        <v>45873</v>
      </c>
      <c r="B186" s="10" t="s">
        <v>5</v>
      </c>
      <c r="C186" s="8">
        <v>640</v>
      </c>
      <c r="D186" s="8">
        <v>141</v>
      </c>
      <c r="E186" s="8">
        <v>267546</v>
      </c>
      <c r="F186" s="5">
        <v>8.58</v>
      </c>
      <c r="G186" s="8">
        <v>25058</v>
      </c>
      <c r="H186" s="8">
        <f t="shared" si="5"/>
        <v>499</v>
      </c>
      <c r="I186" s="12"/>
    </row>
    <row r="187" spans="1:9" ht="15.75" customHeight="1">
      <c r="A187" s="29">
        <v>45873</v>
      </c>
      <c r="B187" s="10" t="s">
        <v>6</v>
      </c>
      <c r="C187" s="8">
        <v>616</v>
      </c>
      <c r="D187" s="8">
        <v>93</v>
      </c>
      <c r="E187" s="8">
        <v>133082</v>
      </c>
      <c r="F187" s="5">
        <v>8.51</v>
      </c>
      <c r="G187" s="8">
        <v>18303</v>
      </c>
      <c r="H187" s="8">
        <f t="shared" si="5"/>
        <v>523</v>
      </c>
      <c r="I187" s="12"/>
    </row>
    <row r="188" spans="1:9" ht="15.75" customHeight="1">
      <c r="A188" s="29">
        <v>45880</v>
      </c>
      <c r="B188" s="10" t="s">
        <v>2</v>
      </c>
      <c r="C188" s="8">
        <v>1080</v>
      </c>
      <c r="D188" s="8">
        <v>184</v>
      </c>
      <c r="E188" s="8">
        <v>340557</v>
      </c>
      <c r="F188" s="5">
        <v>5.41</v>
      </c>
      <c r="G188" s="8">
        <v>5526</v>
      </c>
      <c r="H188" s="8">
        <f t="shared" si="5"/>
        <v>896</v>
      </c>
      <c r="I188" s="12"/>
    </row>
    <row r="189" spans="1:9" ht="15.75" customHeight="1">
      <c r="A189" s="29">
        <v>45880</v>
      </c>
      <c r="B189" s="10" t="s">
        <v>5</v>
      </c>
      <c r="C189" s="8">
        <v>938</v>
      </c>
      <c r="D189" s="8">
        <v>236</v>
      </c>
      <c r="E189" s="8">
        <v>116472</v>
      </c>
      <c r="F189" s="5">
        <v>8.7200000000000006</v>
      </c>
      <c r="G189" s="8">
        <v>17460</v>
      </c>
      <c r="H189" s="8">
        <f t="shared" si="5"/>
        <v>702</v>
      </c>
      <c r="I189" s="12"/>
    </row>
    <row r="190" spans="1:9" ht="15.75" customHeight="1">
      <c r="A190" s="29">
        <v>45880</v>
      </c>
      <c r="B190" s="10" t="s">
        <v>6</v>
      </c>
      <c r="C190" s="8">
        <v>1007</v>
      </c>
      <c r="D190" s="8">
        <v>258</v>
      </c>
      <c r="E190" s="8">
        <v>113412</v>
      </c>
      <c r="F190" s="5">
        <v>7.71</v>
      </c>
      <c r="G190" s="8">
        <v>14475</v>
      </c>
      <c r="H190" s="8">
        <f t="shared" si="5"/>
        <v>749</v>
      </c>
      <c r="I190" s="12"/>
    </row>
    <row r="191" spans="1:9" ht="15.75" customHeight="1">
      <c r="A191" s="29">
        <v>45887</v>
      </c>
      <c r="B191" s="10" t="s">
        <v>2</v>
      </c>
      <c r="C191" s="8">
        <v>541</v>
      </c>
      <c r="D191" s="8">
        <v>208</v>
      </c>
      <c r="E191" s="8">
        <v>157547</v>
      </c>
      <c r="F191" s="5">
        <v>8.35</v>
      </c>
      <c r="G191" s="8">
        <v>20162</v>
      </c>
      <c r="H191" s="8">
        <f t="shared" si="5"/>
        <v>333</v>
      </c>
      <c r="I191" s="12"/>
    </row>
    <row r="192" spans="1:9" ht="15.75" customHeight="1">
      <c r="A192" s="29">
        <v>45887</v>
      </c>
      <c r="B192" s="10" t="s">
        <v>5</v>
      </c>
      <c r="C192" s="8">
        <v>745</v>
      </c>
      <c r="D192" s="8">
        <v>98</v>
      </c>
      <c r="E192" s="8">
        <v>354816</v>
      </c>
      <c r="F192" s="5">
        <v>4.03</v>
      </c>
      <c r="G192" s="8">
        <v>17103</v>
      </c>
      <c r="H192" s="8">
        <f t="shared" si="5"/>
        <v>647</v>
      </c>
      <c r="I192" s="12"/>
    </row>
    <row r="193" spans="1:9" ht="15.75" customHeight="1">
      <c r="A193" s="29">
        <v>45887</v>
      </c>
      <c r="B193" s="10" t="s">
        <v>6</v>
      </c>
      <c r="C193" s="8">
        <v>936</v>
      </c>
      <c r="D193" s="8">
        <v>97</v>
      </c>
      <c r="E193" s="8">
        <v>151799</v>
      </c>
      <c r="F193" s="5">
        <v>9.3699999999999992</v>
      </c>
      <c r="G193" s="8">
        <v>15461</v>
      </c>
      <c r="H193" s="8">
        <f t="shared" si="5"/>
        <v>839</v>
      </c>
      <c r="I193" s="12"/>
    </row>
    <row r="194" spans="1:9" ht="15.75" customHeight="1">
      <c r="A194" s="29">
        <v>45894</v>
      </c>
      <c r="B194" s="10" t="s">
        <v>2</v>
      </c>
      <c r="C194" s="8">
        <v>1183</v>
      </c>
      <c r="D194" s="8">
        <v>223</v>
      </c>
      <c r="E194" s="8">
        <v>143811</v>
      </c>
      <c r="F194" s="5">
        <v>6.07</v>
      </c>
      <c r="G194" s="8">
        <v>22103</v>
      </c>
      <c r="H194" s="8">
        <f t="shared" ref="H194:H201" si="6">C194-D194</f>
        <v>960</v>
      </c>
      <c r="I194" s="12"/>
    </row>
    <row r="195" spans="1:9" ht="15.75" customHeight="1">
      <c r="A195" s="29">
        <v>45894</v>
      </c>
      <c r="B195" s="10" t="s">
        <v>5</v>
      </c>
      <c r="C195" s="8">
        <v>1413</v>
      </c>
      <c r="D195" s="8">
        <v>245</v>
      </c>
      <c r="E195" s="8">
        <v>296450</v>
      </c>
      <c r="F195" s="5">
        <v>6.52</v>
      </c>
      <c r="G195" s="8">
        <v>11625</v>
      </c>
      <c r="H195" s="8">
        <f t="shared" si="6"/>
        <v>1168</v>
      </c>
      <c r="I195" s="12"/>
    </row>
    <row r="196" spans="1:9" ht="15.75" customHeight="1">
      <c r="A196" s="29">
        <v>45894</v>
      </c>
      <c r="B196" s="10" t="s">
        <v>6</v>
      </c>
      <c r="C196" s="8">
        <v>791</v>
      </c>
      <c r="D196" s="8">
        <v>273</v>
      </c>
      <c r="E196" s="8">
        <v>144049</v>
      </c>
      <c r="F196" s="5">
        <v>3.08</v>
      </c>
      <c r="G196" s="8">
        <v>5281</v>
      </c>
      <c r="H196" s="8">
        <f t="shared" si="6"/>
        <v>518</v>
      </c>
      <c r="I196" s="12"/>
    </row>
    <row r="197" spans="1:9" ht="15.75" customHeight="1">
      <c r="A197" s="29">
        <v>45901</v>
      </c>
      <c r="B197" s="10" t="s">
        <v>2</v>
      </c>
      <c r="C197" s="8">
        <v>1052</v>
      </c>
      <c r="D197" s="8">
        <v>180</v>
      </c>
      <c r="E197" s="8">
        <v>272534</v>
      </c>
      <c r="F197" s="5">
        <v>5.34</v>
      </c>
      <c r="G197" s="8">
        <v>13424</v>
      </c>
      <c r="H197" s="8">
        <f t="shared" si="6"/>
        <v>872</v>
      </c>
      <c r="I197" s="12"/>
    </row>
    <row r="198" spans="1:9" ht="15.75" customHeight="1">
      <c r="A198" s="29">
        <v>45901</v>
      </c>
      <c r="B198" s="10" t="s">
        <v>5</v>
      </c>
      <c r="C198" s="8">
        <v>572</v>
      </c>
      <c r="D198" s="8">
        <v>270</v>
      </c>
      <c r="E198" s="8">
        <v>82265</v>
      </c>
      <c r="F198" s="5">
        <v>3.65</v>
      </c>
      <c r="G198" s="8">
        <v>13140</v>
      </c>
      <c r="H198" s="8">
        <f t="shared" si="6"/>
        <v>302</v>
      </c>
      <c r="I198" s="12"/>
    </row>
    <row r="199" spans="1:9" ht="15.75" customHeight="1">
      <c r="A199" s="29">
        <v>45901</v>
      </c>
      <c r="B199" s="10" t="s">
        <v>6</v>
      </c>
      <c r="C199" s="8">
        <v>503</v>
      </c>
      <c r="D199" s="8">
        <v>253</v>
      </c>
      <c r="E199" s="8">
        <v>313562</v>
      </c>
      <c r="F199" s="5">
        <v>4.18</v>
      </c>
      <c r="G199" s="8">
        <v>19538</v>
      </c>
      <c r="H199" s="8">
        <f t="shared" si="6"/>
        <v>250</v>
      </c>
      <c r="I199" s="12"/>
    </row>
    <row r="200" spans="1:9" ht="15.75" customHeight="1">
      <c r="A200" s="29">
        <v>45908</v>
      </c>
      <c r="B200" s="10" t="s">
        <v>2</v>
      </c>
      <c r="C200" s="8">
        <v>1017</v>
      </c>
      <c r="D200" s="8">
        <v>197</v>
      </c>
      <c r="E200" s="8">
        <v>89918</v>
      </c>
      <c r="F200" s="5">
        <v>3.91</v>
      </c>
      <c r="G200" s="8">
        <v>7881</v>
      </c>
      <c r="H200" s="8">
        <f t="shared" si="6"/>
        <v>820</v>
      </c>
      <c r="I200" s="12"/>
    </row>
    <row r="201" spans="1:9" ht="15.75" customHeight="1">
      <c r="A201" s="29">
        <v>45908</v>
      </c>
      <c r="B201" s="10" t="s">
        <v>5</v>
      </c>
      <c r="C201" s="8">
        <v>860</v>
      </c>
      <c r="D201" s="8">
        <v>244</v>
      </c>
      <c r="E201" s="8">
        <v>348686</v>
      </c>
      <c r="F201" s="5">
        <v>5.12</v>
      </c>
      <c r="G201" s="8">
        <v>11418</v>
      </c>
      <c r="H201" s="8">
        <f t="shared" si="6"/>
        <v>616</v>
      </c>
      <c r="I201" s="12"/>
    </row>
    <row r="202" spans="1:9" ht="15.75" customHeight="1"/>
    <row r="203" spans="1:9" ht="15.75" customHeight="1"/>
    <row r="204" spans="1:9" ht="15.75" customHeight="1"/>
    <row r="205" spans="1:9" ht="15.75" customHeight="1"/>
    <row r="206" spans="1:9" ht="15.75" customHeight="1"/>
    <row r="207" spans="1:9" ht="15.75" customHeight="1"/>
    <row r="208" spans="1:9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D8D3-1DB4-426F-91E9-13C063B7008B}">
  <sheetPr codeName="Sheet6"/>
  <dimension ref="A2:G1001"/>
  <sheetViews>
    <sheetView zoomScale="140" zoomScaleNormal="140" workbookViewId="0">
      <selection activeCell="D15" sqref="D15"/>
    </sheetView>
  </sheetViews>
  <sheetFormatPr defaultColWidth="14.44140625" defaultRowHeight="15" customHeight="1"/>
  <cols>
    <col min="1" max="1" width="15.5546875" style="33" bestFit="1" customWidth="1"/>
    <col min="2" max="3" width="11.5546875" style="36" bestFit="1" customWidth="1"/>
    <col min="4" max="4" width="15.5546875" style="33" bestFit="1" customWidth="1"/>
    <col min="5" max="5" width="13.21875" style="12" bestFit="1" customWidth="1"/>
    <col min="6" max="6" width="18" style="33" bestFit="1" customWidth="1"/>
    <col min="7" max="7" width="33.33203125" style="33" bestFit="1" customWidth="1"/>
    <col min="8" max="26" width="8.6640625" customWidth="1"/>
  </cols>
  <sheetData>
    <row r="2" spans="1:7" ht="16.05" customHeight="1">
      <c r="A2" s="31" t="s">
        <v>1</v>
      </c>
      <c r="B2" s="34" t="s">
        <v>15</v>
      </c>
      <c r="C2" s="34" t="s">
        <v>16</v>
      </c>
      <c r="D2" s="31" t="s">
        <v>17</v>
      </c>
      <c r="E2" s="37" t="s">
        <v>18</v>
      </c>
      <c r="F2" s="31" t="s">
        <v>19</v>
      </c>
      <c r="G2" s="31" t="s">
        <v>20</v>
      </c>
    </row>
    <row r="3" spans="1:7" ht="14.4">
      <c r="A3" s="32" t="s">
        <v>8</v>
      </c>
      <c r="B3" s="35">
        <v>45458</v>
      </c>
      <c r="C3" s="35">
        <v>45488</v>
      </c>
      <c r="D3" s="32" t="s">
        <v>21</v>
      </c>
      <c r="E3" s="4">
        <v>175000</v>
      </c>
      <c r="F3" s="32" t="s">
        <v>22</v>
      </c>
      <c r="G3" s="32" t="s">
        <v>23</v>
      </c>
    </row>
    <row r="4" spans="1:7" ht="14.4">
      <c r="A4" s="32" t="s">
        <v>7</v>
      </c>
      <c r="B4" s="35">
        <v>45627</v>
      </c>
      <c r="C4" s="35">
        <v>45657</v>
      </c>
      <c r="D4" s="32" t="s">
        <v>24</v>
      </c>
      <c r="E4" s="4">
        <v>225000</v>
      </c>
      <c r="F4" s="32" t="s">
        <v>25</v>
      </c>
      <c r="G4" s="32" t="s">
        <v>26</v>
      </c>
    </row>
    <row r="5" spans="1:7" ht="14.4">
      <c r="A5" s="32" t="s">
        <v>3</v>
      </c>
      <c r="B5" s="35">
        <v>45667</v>
      </c>
      <c r="C5" s="35">
        <v>45698</v>
      </c>
      <c r="D5" s="32" t="s">
        <v>27</v>
      </c>
      <c r="E5" s="4">
        <v>200000</v>
      </c>
      <c r="F5" s="32" t="s">
        <v>28</v>
      </c>
      <c r="G5" s="32" t="s">
        <v>29</v>
      </c>
    </row>
    <row r="6" spans="1:7" ht="14.4">
      <c r="A6" s="32" t="s">
        <v>4</v>
      </c>
      <c r="B6" s="35">
        <v>45717</v>
      </c>
      <c r="C6" s="35">
        <v>45747</v>
      </c>
      <c r="D6" s="32" t="s">
        <v>30</v>
      </c>
      <c r="E6" s="4">
        <v>160000</v>
      </c>
      <c r="F6" s="32" t="s">
        <v>31</v>
      </c>
      <c r="G6" s="32" t="s">
        <v>32</v>
      </c>
    </row>
    <row r="9" spans="1:7" ht="15" customHeight="1">
      <c r="G9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F8981-691E-4105-B10E-3CD90744236B}">
  <sheetPr>
    <tabColor theme="4" tint="-0.249977111117893"/>
  </sheetPr>
  <dimension ref="F2:P154"/>
  <sheetViews>
    <sheetView zoomScale="110" zoomScaleNormal="110" workbookViewId="0">
      <selection activeCell="K19" sqref="K19"/>
    </sheetView>
  </sheetViews>
  <sheetFormatPr defaultRowHeight="14.4"/>
  <cols>
    <col min="8" max="8" width="24.88671875" style="2" customWidth="1"/>
    <col min="9" max="9" width="25" style="2" customWidth="1"/>
  </cols>
  <sheetData>
    <row r="2" spans="6:16" ht="30" customHeight="1">
      <c r="H2" s="53" t="s">
        <v>37</v>
      </c>
      <c r="I2" s="53"/>
    </row>
    <row r="4" spans="6:16" ht="25.05" customHeight="1">
      <c r="F4" s="49" t="s">
        <v>44</v>
      </c>
      <c r="G4" s="44"/>
      <c r="H4" s="44"/>
      <c r="I4" s="44"/>
      <c r="J4" s="44"/>
      <c r="K4" s="43"/>
    </row>
    <row r="5" spans="6:16" ht="9" customHeight="1"/>
    <row r="6" spans="6:16" ht="19.95" customHeight="1">
      <c r="G6" s="13"/>
      <c r="H6" s="52" t="s">
        <v>36</v>
      </c>
      <c r="I6" s="52"/>
    </row>
    <row r="7" spans="6:16">
      <c r="H7" s="15" t="s">
        <v>9</v>
      </c>
      <c r="I7" s="15" t="s">
        <v>35</v>
      </c>
    </row>
    <row r="8" spans="6:16" ht="18" customHeight="1">
      <c r="H8" s="41">
        <v>45600</v>
      </c>
      <c r="I8" s="42">
        <v>3576</v>
      </c>
    </row>
    <row r="9" spans="6:16">
      <c r="H9" s="14">
        <v>45796</v>
      </c>
      <c r="I9" s="16">
        <v>3569</v>
      </c>
      <c r="L9" s="54" t="s">
        <v>46</v>
      </c>
      <c r="M9" s="55"/>
      <c r="N9" s="55"/>
      <c r="O9" s="55"/>
      <c r="P9" s="56"/>
    </row>
    <row r="10" spans="6:16">
      <c r="H10" s="14">
        <v>45446</v>
      </c>
      <c r="I10" s="16">
        <v>3419</v>
      </c>
      <c r="L10" s="57"/>
      <c r="M10" s="58"/>
      <c r="N10" s="58"/>
      <c r="O10" s="58"/>
      <c r="P10" s="59"/>
    </row>
    <row r="11" spans="6:16">
      <c r="H11" s="14">
        <v>45754</v>
      </c>
      <c r="I11" s="16">
        <v>3291</v>
      </c>
      <c r="L11" s="57"/>
      <c r="M11" s="58"/>
      <c r="N11" s="58"/>
      <c r="O11" s="58"/>
      <c r="P11" s="59"/>
    </row>
    <row r="12" spans="6:16">
      <c r="H12" s="14">
        <v>45866</v>
      </c>
      <c r="I12" s="16">
        <v>3236</v>
      </c>
      <c r="L12" s="57"/>
      <c r="M12" s="58"/>
      <c r="N12" s="58"/>
      <c r="O12" s="58"/>
      <c r="P12" s="59"/>
    </row>
    <row r="13" spans="6:16">
      <c r="H13" s="14">
        <v>45761</v>
      </c>
      <c r="I13" s="16">
        <v>3216</v>
      </c>
      <c r="L13" s="60"/>
      <c r="M13" s="61"/>
      <c r="N13" s="61"/>
      <c r="O13" s="61"/>
      <c r="P13" s="62"/>
    </row>
    <row r="14" spans="6:16">
      <c r="H14" s="14">
        <v>45460</v>
      </c>
      <c r="I14" s="16">
        <v>3175</v>
      </c>
    </row>
    <row r="15" spans="6:16">
      <c r="H15" s="14">
        <v>45481</v>
      </c>
      <c r="I15" s="16">
        <v>3155</v>
      </c>
    </row>
    <row r="16" spans="6:16">
      <c r="H16" s="14">
        <v>45565</v>
      </c>
      <c r="I16" s="16">
        <v>3151</v>
      </c>
    </row>
    <row r="17" spans="8:9">
      <c r="H17" s="14">
        <v>45516</v>
      </c>
      <c r="I17" s="16">
        <v>3072</v>
      </c>
    </row>
    <row r="18" spans="8:9">
      <c r="H18" s="14">
        <v>45803</v>
      </c>
      <c r="I18" s="16">
        <v>2909</v>
      </c>
    </row>
    <row r="19" spans="8:9">
      <c r="H19" s="14">
        <v>45607</v>
      </c>
      <c r="I19" s="16">
        <v>2794</v>
      </c>
    </row>
    <row r="20" spans="8:9">
      <c r="H20" s="14">
        <v>45586</v>
      </c>
      <c r="I20" s="16">
        <v>2792</v>
      </c>
    </row>
    <row r="21" spans="8:9">
      <c r="H21" s="14">
        <v>45558</v>
      </c>
      <c r="I21" s="16">
        <v>2785</v>
      </c>
    </row>
    <row r="22" spans="8:9">
      <c r="H22" s="14">
        <v>45747</v>
      </c>
      <c r="I22" s="16">
        <v>2781</v>
      </c>
    </row>
    <row r="23" spans="8:9">
      <c r="H23" s="14">
        <v>45453</v>
      </c>
      <c r="I23" s="16">
        <v>2777</v>
      </c>
    </row>
    <row r="24" spans="8:9">
      <c r="H24" s="14">
        <v>45719</v>
      </c>
      <c r="I24" s="16">
        <v>2763</v>
      </c>
    </row>
    <row r="25" spans="8:9">
      <c r="H25" s="14">
        <v>45859</v>
      </c>
      <c r="I25" s="16">
        <v>2694</v>
      </c>
    </row>
    <row r="26" spans="8:9">
      <c r="H26" s="14">
        <v>45509</v>
      </c>
      <c r="I26" s="16">
        <v>2693</v>
      </c>
    </row>
    <row r="27" spans="8:9">
      <c r="H27" s="14">
        <v>45642</v>
      </c>
      <c r="I27" s="16">
        <v>2693</v>
      </c>
    </row>
    <row r="28" spans="8:9">
      <c r="H28" s="14">
        <v>45740</v>
      </c>
      <c r="I28" s="16">
        <v>2679</v>
      </c>
    </row>
    <row r="29" spans="8:9">
      <c r="H29" s="14">
        <v>45579</v>
      </c>
      <c r="I29" s="16">
        <v>2670</v>
      </c>
    </row>
    <row r="30" spans="8:9">
      <c r="H30" s="14">
        <v>45845</v>
      </c>
      <c r="I30" s="16">
        <v>2669</v>
      </c>
    </row>
    <row r="31" spans="8:9">
      <c r="H31" s="14">
        <v>45852</v>
      </c>
      <c r="I31" s="16">
        <v>2654</v>
      </c>
    </row>
    <row r="32" spans="8:9">
      <c r="H32" s="14">
        <v>45894</v>
      </c>
      <c r="I32" s="16">
        <v>2646</v>
      </c>
    </row>
    <row r="33" spans="8:9">
      <c r="H33" s="14">
        <v>45544</v>
      </c>
      <c r="I33" s="16">
        <v>2630</v>
      </c>
    </row>
    <row r="34" spans="8:9">
      <c r="H34" s="14">
        <v>45649</v>
      </c>
      <c r="I34" s="16">
        <v>2550</v>
      </c>
    </row>
    <row r="35" spans="8:9">
      <c r="H35" s="14">
        <v>45537</v>
      </c>
      <c r="I35" s="16">
        <v>2502</v>
      </c>
    </row>
    <row r="36" spans="8:9">
      <c r="H36" s="14">
        <v>45663</v>
      </c>
      <c r="I36" s="16">
        <v>2451</v>
      </c>
    </row>
    <row r="37" spans="8:9">
      <c r="H37" s="14">
        <v>45530</v>
      </c>
      <c r="I37" s="16">
        <v>2450</v>
      </c>
    </row>
    <row r="38" spans="8:9">
      <c r="H38" s="14">
        <v>45467</v>
      </c>
      <c r="I38" s="16">
        <v>2433</v>
      </c>
    </row>
    <row r="39" spans="8:9">
      <c r="H39" s="14">
        <v>45474</v>
      </c>
      <c r="I39" s="16">
        <v>2426</v>
      </c>
    </row>
    <row r="40" spans="8:9">
      <c r="H40" s="14">
        <v>45628</v>
      </c>
      <c r="I40" s="16">
        <v>2383</v>
      </c>
    </row>
    <row r="41" spans="8:9">
      <c r="H41" s="14">
        <v>45775</v>
      </c>
      <c r="I41" s="16">
        <v>2378</v>
      </c>
    </row>
    <row r="42" spans="8:9">
      <c r="H42" s="14">
        <v>45488</v>
      </c>
      <c r="I42" s="16">
        <v>2369</v>
      </c>
    </row>
    <row r="43" spans="8:9">
      <c r="H43" s="14">
        <v>45698</v>
      </c>
      <c r="I43" s="16">
        <v>2361</v>
      </c>
    </row>
    <row r="44" spans="8:9">
      <c r="H44" s="14">
        <v>45880</v>
      </c>
      <c r="I44" s="16">
        <v>2347</v>
      </c>
    </row>
    <row r="45" spans="8:9">
      <c r="H45" s="14">
        <v>45670</v>
      </c>
      <c r="I45" s="16">
        <v>2341</v>
      </c>
    </row>
    <row r="46" spans="8:9">
      <c r="H46" s="14">
        <v>45572</v>
      </c>
      <c r="I46" s="16">
        <v>2338</v>
      </c>
    </row>
    <row r="47" spans="8:9">
      <c r="H47" s="14">
        <v>45656</v>
      </c>
      <c r="I47" s="16">
        <v>2337</v>
      </c>
    </row>
    <row r="48" spans="8:9">
      <c r="H48" s="14">
        <v>45726</v>
      </c>
      <c r="I48" s="16">
        <v>2315</v>
      </c>
    </row>
    <row r="49" spans="8:9">
      <c r="H49" s="14">
        <v>45838</v>
      </c>
      <c r="I49" s="16">
        <v>2315</v>
      </c>
    </row>
    <row r="50" spans="8:9">
      <c r="H50" s="14">
        <v>45523</v>
      </c>
      <c r="I50" s="16">
        <v>2300</v>
      </c>
    </row>
    <row r="51" spans="8:9">
      <c r="H51" s="14">
        <v>45621</v>
      </c>
      <c r="I51" s="16">
        <v>2287</v>
      </c>
    </row>
    <row r="52" spans="8:9">
      <c r="H52" s="14">
        <v>45495</v>
      </c>
      <c r="I52" s="16">
        <v>2281</v>
      </c>
    </row>
    <row r="53" spans="8:9">
      <c r="H53" s="14">
        <v>45817</v>
      </c>
      <c r="I53" s="16">
        <v>2243</v>
      </c>
    </row>
    <row r="54" spans="8:9">
      <c r="H54" s="14">
        <v>45733</v>
      </c>
      <c r="I54" s="16">
        <v>2188</v>
      </c>
    </row>
    <row r="55" spans="8:9">
      <c r="H55" s="14">
        <v>45593</v>
      </c>
      <c r="I55" s="16">
        <v>2181</v>
      </c>
    </row>
    <row r="56" spans="8:9">
      <c r="H56" s="14">
        <v>45551</v>
      </c>
      <c r="I56" s="16">
        <v>2162</v>
      </c>
    </row>
    <row r="57" spans="8:9">
      <c r="H57" s="14">
        <v>45502</v>
      </c>
      <c r="I57" s="16">
        <v>2132</v>
      </c>
    </row>
    <row r="58" spans="8:9">
      <c r="H58" s="14">
        <v>45782</v>
      </c>
      <c r="I58" s="16">
        <v>2054</v>
      </c>
    </row>
    <row r="59" spans="8:9">
      <c r="H59" s="14">
        <v>45810</v>
      </c>
      <c r="I59" s="16">
        <v>2049</v>
      </c>
    </row>
    <row r="60" spans="8:9">
      <c r="H60" s="14">
        <v>45824</v>
      </c>
      <c r="I60" s="16">
        <v>2017</v>
      </c>
    </row>
    <row r="61" spans="8:9">
      <c r="H61" s="14">
        <v>45614</v>
      </c>
      <c r="I61" s="16">
        <v>1935</v>
      </c>
    </row>
    <row r="62" spans="8:9">
      <c r="H62" s="14">
        <v>45684</v>
      </c>
      <c r="I62" s="16">
        <v>1928</v>
      </c>
    </row>
    <row r="63" spans="8:9">
      <c r="H63" s="14">
        <v>45677</v>
      </c>
      <c r="I63" s="16">
        <v>1832</v>
      </c>
    </row>
    <row r="64" spans="8:9">
      <c r="H64" s="14">
        <v>45887</v>
      </c>
      <c r="I64" s="16">
        <v>1819</v>
      </c>
    </row>
    <row r="65" spans="8:9">
      <c r="H65" s="14">
        <v>45768</v>
      </c>
      <c r="I65" s="16">
        <v>1728</v>
      </c>
    </row>
    <row r="66" spans="8:9">
      <c r="H66" s="14">
        <v>45712</v>
      </c>
      <c r="I66" s="16">
        <v>1713</v>
      </c>
    </row>
    <row r="67" spans="8:9">
      <c r="H67" s="14">
        <v>45873</v>
      </c>
      <c r="I67" s="16">
        <v>1689</v>
      </c>
    </row>
    <row r="68" spans="8:9">
      <c r="H68" s="14">
        <v>45691</v>
      </c>
      <c r="I68" s="16">
        <v>1680</v>
      </c>
    </row>
    <row r="69" spans="8:9">
      <c r="H69" s="14">
        <v>45705</v>
      </c>
      <c r="I69" s="16">
        <v>1543</v>
      </c>
    </row>
    <row r="70" spans="8:9">
      <c r="H70" s="14">
        <v>45908</v>
      </c>
      <c r="I70" s="16">
        <v>1436</v>
      </c>
    </row>
    <row r="71" spans="8:9">
      <c r="H71" s="14">
        <v>45901</v>
      </c>
      <c r="I71" s="16">
        <v>1424</v>
      </c>
    </row>
    <row r="72" spans="8:9">
      <c r="H72" s="14">
        <v>45789</v>
      </c>
      <c r="I72" s="16">
        <v>1400</v>
      </c>
    </row>
    <row r="73" spans="8:9">
      <c r="H73" s="14">
        <v>45635</v>
      </c>
      <c r="I73" s="16">
        <v>1398</v>
      </c>
    </row>
    <row r="74" spans="8:9">
      <c r="H74" s="14">
        <v>45831</v>
      </c>
      <c r="I74" s="17">
        <v>1384</v>
      </c>
    </row>
    <row r="75" spans="8:9">
      <c r="H75" s="18" t="s">
        <v>33</v>
      </c>
      <c r="I75" s="17">
        <v>161588</v>
      </c>
    </row>
    <row r="76" spans="8:9">
      <c r="H76"/>
      <c r="I76"/>
    </row>
    <row r="77" spans="8:9">
      <c r="H77"/>
      <c r="I77"/>
    </row>
    <row r="78" spans="8:9">
      <c r="H78"/>
      <c r="I78"/>
    </row>
    <row r="79" spans="8:9">
      <c r="H79"/>
      <c r="I79"/>
    </row>
    <row r="80" spans="8:9">
      <c r="H80"/>
      <c r="I80"/>
    </row>
    <row r="81" spans="8:9">
      <c r="H81"/>
      <c r="I81"/>
    </row>
    <row r="82" spans="8:9">
      <c r="H82"/>
      <c r="I82"/>
    </row>
    <row r="83" spans="8:9">
      <c r="H83"/>
      <c r="I83"/>
    </row>
    <row r="84" spans="8:9">
      <c r="H84"/>
      <c r="I84"/>
    </row>
    <row r="85" spans="8:9">
      <c r="H85"/>
      <c r="I85"/>
    </row>
    <row r="86" spans="8:9">
      <c r="H86"/>
      <c r="I86"/>
    </row>
    <row r="87" spans="8:9">
      <c r="H87"/>
      <c r="I87"/>
    </row>
    <row r="88" spans="8:9">
      <c r="H88"/>
      <c r="I88"/>
    </row>
    <row r="89" spans="8:9">
      <c r="H89"/>
      <c r="I89"/>
    </row>
    <row r="90" spans="8:9">
      <c r="H90"/>
      <c r="I90"/>
    </row>
    <row r="91" spans="8:9">
      <c r="H91"/>
      <c r="I91"/>
    </row>
    <row r="92" spans="8:9">
      <c r="H92"/>
      <c r="I92"/>
    </row>
    <row r="93" spans="8:9">
      <c r="H93"/>
      <c r="I93"/>
    </row>
    <row r="94" spans="8:9">
      <c r="H94"/>
      <c r="I94"/>
    </row>
    <row r="95" spans="8:9">
      <c r="H95"/>
      <c r="I95"/>
    </row>
    <row r="96" spans="8:9">
      <c r="H96"/>
      <c r="I96"/>
    </row>
    <row r="97" spans="8:9">
      <c r="H97"/>
      <c r="I97"/>
    </row>
    <row r="98" spans="8:9">
      <c r="H98"/>
      <c r="I98"/>
    </row>
    <row r="99" spans="8:9">
      <c r="H99"/>
      <c r="I99"/>
    </row>
    <row r="100" spans="8:9">
      <c r="H100"/>
      <c r="I100"/>
    </row>
    <row r="101" spans="8:9">
      <c r="H101"/>
      <c r="I101"/>
    </row>
    <row r="102" spans="8:9">
      <c r="H102"/>
      <c r="I102"/>
    </row>
    <row r="103" spans="8:9">
      <c r="H103"/>
      <c r="I103"/>
    </row>
    <row r="104" spans="8:9">
      <c r="H104"/>
      <c r="I104"/>
    </row>
    <row r="105" spans="8:9">
      <c r="H105"/>
      <c r="I105"/>
    </row>
    <row r="106" spans="8:9">
      <c r="H106"/>
      <c r="I106"/>
    </row>
    <row r="107" spans="8:9">
      <c r="H107"/>
      <c r="I107"/>
    </row>
    <row r="108" spans="8:9">
      <c r="H108"/>
      <c r="I108"/>
    </row>
    <row r="109" spans="8:9">
      <c r="H109"/>
      <c r="I109"/>
    </row>
    <row r="110" spans="8:9">
      <c r="H110"/>
      <c r="I110"/>
    </row>
    <row r="111" spans="8:9">
      <c r="H111"/>
      <c r="I111"/>
    </row>
    <row r="112" spans="8:9">
      <c r="H112"/>
      <c r="I112"/>
    </row>
    <row r="113" spans="8:9">
      <c r="H113"/>
      <c r="I113"/>
    </row>
    <row r="114" spans="8:9">
      <c r="H114"/>
      <c r="I114"/>
    </row>
    <row r="115" spans="8:9">
      <c r="H115"/>
      <c r="I115"/>
    </row>
    <row r="116" spans="8:9">
      <c r="H116"/>
      <c r="I116"/>
    </row>
    <row r="117" spans="8:9">
      <c r="H117"/>
      <c r="I117"/>
    </row>
    <row r="118" spans="8:9">
      <c r="H118"/>
      <c r="I118"/>
    </row>
    <row r="119" spans="8:9">
      <c r="H119"/>
      <c r="I119"/>
    </row>
    <row r="120" spans="8:9">
      <c r="H120"/>
      <c r="I120"/>
    </row>
    <row r="121" spans="8:9">
      <c r="H121"/>
      <c r="I121"/>
    </row>
    <row r="122" spans="8:9">
      <c r="H122"/>
      <c r="I122"/>
    </row>
    <row r="123" spans="8:9">
      <c r="H123"/>
      <c r="I123"/>
    </row>
    <row r="124" spans="8:9">
      <c r="H124"/>
      <c r="I124"/>
    </row>
    <row r="125" spans="8:9">
      <c r="H125"/>
      <c r="I125"/>
    </row>
    <row r="126" spans="8:9">
      <c r="H126"/>
      <c r="I126"/>
    </row>
    <row r="127" spans="8:9">
      <c r="H127"/>
      <c r="I127"/>
    </row>
    <row r="128" spans="8:9">
      <c r="H128"/>
      <c r="I128"/>
    </row>
    <row r="129" spans="8:9">
      <c r="H129"/>
      <c r="I129"/>
    </row>
    <row r="130" spans="8:9">
      <c r="H130"/>
      <c r="I130"/>
    </row>
    <row r="131" spans="8:9">
      <c r="H131"/>
      <c r="I131"/>
    </row>
    <row r="132" spans="8:9">
      <c r="H132"/>
      <c r="I132"/>
    </row>
    <row r="133" spans="8:9">
      <c r="H133"/>
      <c r="I133"/>
    </row>
    <row r="134" spans="8:9">
      <c r="H134"/>
      <c r="I134"/>
    </row>
    <row r="135" spans="8:9">
      <c r="H135"/>
      <c r="I135"/>
    </row>
    <row r="136" spans="8:9">
      <c r="H136"/>
      <c r="I136"/>
    </row>
    <row r="137" spans="8:9">
      <c r="H137"/>
      <c r="I137"/>
    </row>
    <row r="138" spans="8:9">
      <c r="H138"/>
      <c r="I138"/>
    </row>
    <row r="139" spans="8:9">
      <c r="H139"/>
      <c r="I139"/>
    </row>
    <row r="140" spans="8:9">
      <c r="H140"/>
      <c r="I140"/>
    </row>
    <row r="141" spans="8:9">
      <c r="H141"/>
      <c r="I141"/>
    </row>
    <row r="142" spans="8:9">
      <c r="H142"/>
      <c r="I142"/>
    </row>
    <row r="143" spans="8:9">
      <c r="H143"/>
      <c r="I143"/>
    </row>
    <row r="144" spans="8:9">
      <c r="H144"/>
      <c r="I144"/>
    </row>
    <row r="145" spans="8:9">
      <c r="H145"/>
      <c r="I145"/>
    </row>
    <row r="146" spans="8:9">
      <c r="H146"/>
      <c r="I146"/>
    </row>
    <row r="147" spans="8:9">
      <c r="H147"/>
      <c r="I147"/>
    </row>
    <row r="148" spans="8:9">
      <c r="H148"/>
      <c r="I148"/>
    </row>
    <row r="149" spans="8:9">
      <c r="H149"/>
      <c r="I149"/>
    </row>
    <row r="150" spans="8:9">
      <c r="H150"/>
      <c r="I150"/>
    </row>
    <row r="151" spans="8:9">
      <c r="H151"/>
      <c r="I151"/>
    </row>
    <row r="152" spans="8:9">
      <c r="H152"/>
      <c r="I152"/>
    </row>
    <row r="153" spans="8:9">
      <c r="H153"/>
      <c r="I153"/>
    </row>
    <row r="154" spans="8:9">
      <c r="H154"/>
      <c r="I154"/>
    </row>
  </sheetData>
  <mergeCells count="3">
    <mergeCell ref="H6:I6"/>
    <mergeCell ref="H2:I2"/>
    <mergeCell ref="L9:P13"/>
  </mergeCell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6E45C-CADE-4308-89F9-257AF235778C}">
  <sheetPr>
    <tabColor theme="4" tint="-0.249977111117893"/>
  </sheetPr>
  <dimension ref="A2:AK75"/>
  <sheetViews>
    <sheetView zoomScale="80" zoomScaleNormal="80" workbookViewId="0">
      <selection activeCell="F56" sqref="F56"/>
    </sheetView>
  </sheetViews>
  <sheetFormatPr defaultRowHeight="14.4"/>
  <cols>
    <col min="1" max="1" width="12.5546875" bestFit="1" customWidth="1"/>
    <col min="2" max="2" width="19.33203125" style="2" customWidth="1"/>
    <col min="3" max="3" width="23.6640625" style="2" bestFit="1" customWidth="1"/>
    <col min="4" max="4" width="22.6640625" style="2" bestFit="1" customWidth="1"/>
    <col min="24" max="24" width="10" customWidth="1"/>
  </cols>
  <sheetData>
    <row r="2" spans="1:37" ht="31.2">
      <c r="C2" s="21" t="s">
        <v>41</v>
      </c>
      <c r="G2" s="63" t="s">
        <v>40</v>
      </c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</row>
    <row r="4" spans="1:37" ht="25.8">
      <c r="A4" s="50" t="s">
        <v>43</v>
      </c>
      <c r="B4" s="50"/>
      <c r="C4" s="50"/>
      <c r="D4" s="50"/>
      <c r="E4" s="50"/>
    </row>
    <row r="5" spans="1:37" ht="9" customHeight="1"/>
    <row r="6" spans="1:37" s="20" customFormat="1" ht="22.95" customHeight="1">
      <c r="B6" s="91" t="s">
        <v>40</v>
      </c>
      <c r="C6" s="91"/>
      <c r="D6" s="91"/>
      <c r="E6"/>
    </row>
    <row r="7" spans="1:37" s="22" customFormat="1" ht="19.95" customHeight="1">
      <c r="B7" s="23" t="s">
        <v>38</v>
      </c>
      <c r="C7" s="23" t="s">
        <v>35</v>
      </c>
      <c r="D7" s="23" t="s">
        <v>39</v>
      </c>
      <c r="E7"/>
    </row>
    <row r="8" spans="1:37" ht="15.6">
      <c r="B8" s="18">
        <v>45446</v>
      </c>
      <c r="C8" s="19">
        <v>3419</v>
      </c>
      <c r="D8" s="19">
        <f>AVERAGE(C8:C10)</f>
        <v>3123.6666666666665</v>
      </c>
      <c r="X8" s="48" t="s">
        <v>48</v>
      </c>
    </row>
    <row r="9" spans="1:37" ht="14.4" customHeight="1">
      <c r="B9" s="18">
        <v>45453</v>
      </c>
      <c r="C9" s="19">
        <v>2777</v>
      </c>
      <c r="D9" s="19">
        <f t="shared" ref="D9:D72" si="0">AVERAGE(C9:C11)</f>
        <v>2795</v>
      </c>
      <c r="X9" s="73" t="s">
        <v>47</v>
      </c>
      <c r="Y9" s="74"/>
      <c r="Z9" s="74"/>
      <c r="AA9" s="75"/>
      <c r="AB9" s="46"/>
      <c r="AC9" s="46"/>
      <c r="AD9" s="46"/>
      <c r="AE9" s="46"/>
      <c r="AF9" s="46"/>
      <c r="AG9" s="46"/>
      <c r="AH9" s="46"/>
      <c r="AI9" s="46"/>
      <c r="AJ9" s="46"/>
      <c r="AK9" s="46"/>
    </row>
    <row r="10" spans="1:37" ht="14.4" customHeight="1">
      <c r="B10" s="18">
        <v>45460</v>
      </c>
      <c r="C10" s="19">
        <v>3175</v>
      </c>
      <c r="D10" s="19">
        <f t="shared" si="0"/>
        <v>2678</v>
      </c>
      <c r="X10" s="76"/>
      <c r="Y10" s="77"/>
      <c r="Z10" s="77"/>
      <c r="AA10" s="78"/>
      <c r="AB10" s="46"/>
      <c r="AC10" s="46"/>
      <c r="AD10" s="46"/>
      <c r="AE10" s="46"/>
      <c r="AF10" s="46"/>
      <c r="AG10" s="46"/>
      <c r="AH10" s="46"/>
      <c r="AI10" s="46"/>
      <c r="AJ10" s="46"/>
      <c r="AK10" s="46"/>
    </row>
    <row r="11" spans="1:37">
      <c r="B11" s="18">
        <v>45467</v>
      </c>
      <c r="C11" s="19">
        <v>2433</v>
      </c>
      <c r="D11" s="19">
        <f t="shared" si="0"/>
        <v>2671.3333333333335</v>
      </c>
      <c r="X11" s="76"/>
      <c r="Y11" s="77"/>
      <c r="Z11" s="77"/>
      <c r="AA11" s="78"/>
    </row>
    <row r="12" spans="1:37">
      <c r="B12" s="18">
        <v>45474</v>
      </c>
      <c r="C12" s="19">
        <v>2426</v>
      </c>
      <c r="D12" s="19">
        <f t="shared" si="0"/>
        <v>2650</v>
      </c>
      <c r="X12" s="79"/>
      <c r="Y12" s="80"/>
      <c r="Z12" s="80"/>
      <c r="AA12" s="81"/>
    </row>
    <row r="13" spans="1:37">
      <c r="B13" s="18">
        <v>45481</v>
      </c>
      <c r="C13" s="19">
        <v>3155</v>
      </c>
      <c r="D13" s="19">
        <f t="shared" si="0"/>
        <v>2601.6666666666665</v>
      </c>
      <c r="X13" s="46"/>
    </row>
    <row r="14" spans="1:37" ht="15.6">
      <c r="B14" s="18">
        <v>45488</v>
      </c>
      <c r="C14" s="19">
        <v>2369</v>
      </c>
      <c r="D14" s="19">
        <f t="shared" si="0"/>
        <v>2260.6666666666665</v>
      </c>
      <c r="X14" s="47" t="s">
        <v>49</v>
      </c>
    </row>
    <row r="15" spans="1:37" ht="14.4" customHeight="1">
      <c r="B15" s="18">
        <v>45495</v>
      </c>
      <c r="C15" s="19">
        <v>2281</v>
      </c>
      <c r="D15" s="19">
        <f t="shared" si="0"/>
        <v>2368.6666666666665</v>
      </c>
      <c r="X15" s="82" t="s">
        <v>50</v>
      </c>
      <c r="Y15" s="83"/>
      <c r="Z15" s="83"/>
      <c r="AA15" s="84"/>
    </row>
    <row r="16" spans="1:37">
      <c r="B16" s="18">
        <v>45502</v>
      </c>
      <c r="C16" s="19">
        <v>2132</v>
      </c>
      <c r="D16" s="19">
        <f t="shared" si="0"/>
        <v>2632.3333333333335</v>
      </c>
      <c r="X16" s="85"/>
      <c r="Y16" s="86"/>
      <c r="Z16" s="86"/>
      <c r="AA16" s="87"/>
    </row>
    <row r="17" spans="2:37">
      <c r="B17" s="18">
        <v>45509</v>
      </c>
      <c r="C17" s="19">
        <v>2693</v>
      </c>
      <c r="D17" s="19">
        <f t="shared" si="0"/>
        <v>2688.3333333333335</v>
      </c>
      <c r="X17" s="85"/>
      <c r="Y17" s="86"/>
      <c r="Z17" s="86"/>
      <c r="AA17" s="87"/>
    </row>
    <row r="18" spans="2:37">
      <c r="B18" s="18">
        <v>45516</v>
      </c>
      <c r="C18" s="19">
        <v>3072</v>
      </c>
      <c r="D18" s="19">
        <f t="shared" si="0"/>
        <v>2607.3333333333335</v>
      </c>
      <c r="X18" s="85"/>
      <c r="Y18" s="86"/>
      <c r="Z18" s="86"/>
      <c r="AA18" s="87"/>
      <c r="AB18" s="46"/>
      <c r="AC18" s="46"/>
      <c r="AD18" s="46"/>
      <c r="AE18" s="46"/>
      <c r="AF18" s="46"/>
      <c r="AG18" s="46"/>
      <c r="AH18" s="46"/>
      <c r="AI18" s="46"/>
      <c r="AJ18" s="46"/>
      <c r="AK18" s="46"/>
    </row>
    <row r="19" spans="2:37">
      <c r="B19" s="18">
        <v>45523</v>
      </c>
      <c r="C19" s="19">
        <v>2300</v>
      </c>
      <c r="D19" s="19">
        <f t="shared" si="0"/>
        <v>2417.3333333333335</v>
      </c>
      <c r="X19" s="88"/>
      <c r="Y19" s="89"/>
      <c r="Z19" s="89"/>
      <c r="AA19" s="90"/>
    </row>
    <row r="20" spans="2:37">
      <c r="B20" s="18">
        <v>45530</v>
      </c>
      <c r="C20" s="19">
        <v>2450</v>
      </c>
      <c r="D20" s="19">
        <f t="shared" si="0"/>
        <v>2527.3333333333335</v>
      </c>
    </row>
    <row r="21" spans="2:37">
      <c r="B21" s="18">
        <v>45537</v>
      </c>
      <c r="C21" s="19">
        <v>2502</v>
      </c>
      <c r="D21" s="19">
        <f t="shared" si="0"/>
        <v>2431.3333333333335</v>
      </c>
    </row>
    <row r="22" spans="2:37">
      <c r="B22" s="18">
        <v>45544</v>
      </c>
      <c r="C22" s="19">
        <v>2630</v>
      </c>
      <c r="D22" s="19">
        <f t="shared" si="0"/>
        <v>2525.6666666666665</v>
      </c>
    </row>
    <row r="23" spans="2:37">
      <c r="B23" s="18">
        <v>45551</v>
      </c>
      <c r="C23" s="19">
        <v>2162</v>
      </c>
      <c r="D23" s="19">
        <f t="shared" si="0"/>
        <v>2699.3333333333335</v>
      </c>
    </row>
    <row r="24" spans="2:37">
      <c r="B24" s="18">
        <v>45558</v>
      </c>
      <c r="C24" s="19">
        <v>2785</v>
      </c>
      <c r="D24" s="19">
        <f t="shared" si="0"/>
        <v>2758</v>
      </c>
    </row>
    <row r="25" spans="2:37">
      <c r="B25" s="18">
        <v>45565</v>
      </c>
      <c r="C25" s="19">
        <v>3151</v>
      </c>
      <c r="D25" s="19">
        <f t="shared" si="0"/>
        <v>2719.6666666666665</v>
      </c>
    </row>
    <row r="26" spans="2:37">
      <c r="B26" s="18">
        <v>45572</v>
      </c>
      <c r="C26" s="19">
        <v>2338</v>
      </c>
      <c r="D26" s="19">
        <f t="shared" si="0"/>
        <v>2600</v>
      </c>
    </row>
    <row r="27" spans="2:37">
      <c r="B27" s="18">
        <v>45579</v>
      </c>
      <c r="C27" s="19">
        <v>2670</v>
      </c>
      <c r="D27" s="19">
        <f t="shared" si="0"/>
        <v>2547.6666666666665</v>
      </c>
    </row>
    <row r="28" spans="2:37">
      <c r="B28" s="18">
        <v>45586</v>
      </c>
      <c r="C28" s="19">
        <v>2792</v>
      </c>
      <c r="D28" s="19">
        <f t="shared" si="0"/>
        <v>2849.6666666666665</v>
      </c>
    </row>
    <row r="29" spans="2:37">
      <c r="B29" s="18">
        <v>45593</v>
      </c>
      <c r="C29" s="19">
        <v>2181</v>
      </c>
      <c r="D29" s="19">
        <f t="shared" si="0"/>
        <v>2850.3333333333335</v>
      </c>
      <c r="M29" s="64" t="s">
        <v>51</v>
      </c>
      <c r="N29" s="65"/>
      <c r="O29" s="65"/>
      <c r="P29" s="65"/>
      <c r="Q29" s="65"/>
      <c r="R29" s="65"/>
      <c r="S29" s="65"/>
      <c r="T29" s="66"/>
    </row>
    <row r="30" spans="2:37">
      <c r="B30" s="18">
        <v>45600</v>
      </c>
      <c r="C30" s="19">
        <v>3576</v>
      </c>
      <c r="D30" s="19">
        <f t="shared" si="0"/>
        <v>2768.3333333333335</v>
      </c>
      <c r="M30" s="67"/>
      <c r="N30" s="68"/>
      <c r="O30" s="68"/>
      <c r="P30" s="68"/>
      <c r="Q30" s="68"/>
      <c r="R30" s="68"/>
      <c r="S30" s="68"/>
      <c r="T30" s="69"/>
    </row>
    <row r="31" spans="2:37">
      <c r="B31" s="18">
        <v>45607</v>
      </c>
      <c r="C31" s="19">
        <v>2794</v>
      </c>
      <c r="D31" s="19">
        <f t="shared" si="0"/>
        <v>2338.6666666666665</v>
      </c>
      <c r="M31" s="67"/>
      <c r="N31" s="68"/>
      <c r="O31" s="68"/>
      <c r="P31" s="68"/>
      <c r="Q31" s="68"/>
      <c r="R31" s="68"/>
      <c r="S31" s="68"/>
      <c r="T31" s="69"/>
    </row>
    <row r="32" spans="2:37">
      <c r="B32" s="18">
        <v>45614</v>
      </c>
      <c r="C32" s="19">
        <v>1935</v>
      </c>
      <c r="D32" s="19">
        <f t="shared" si="0"/>
        <v>2201.6666666666665</v>
      </c>
      <c r="M32" s="67"/>
      <c r="N32" s="68"/>
      <c r="O32" s="68"/>
      <c r="P32" s="68"/>
      <c r="Q32" s="68"/>
      <c r="R32" s="68"/>
      <c r="S32" s="68"/>
      <c r="T32" s="69"/>
    </row>
    <row r="33" spans="2:20">
      <c r="B33" s="18">
        <v>45621</v>
      </c>
      <c r="C33" s="19">
        <v>2287</v>
      </c>
      <c r="D33" s="19">
        <f t="shared" si="0"/>
        <v>2022.6666666666667</v>
      </c>
      <c r="M33" s="67"/>
      <c r="N33" s="68"/>
      <c r="O33" s="68"/>
      <c r="P33" s="68"/>
      <c r="Q33" s="68"/>
      <c r="R33" s="68"/>
      <c r="S33" s="68"/>
      <c r="T33" s="69"/>
    </row>
    <row r="34" spans="2:20">
      <c r="B34" s="18">
        <v>45628</v>
      </c>
      <c r="C34" s="19">
        <v>2383</v>
      </c>
      <c r="D34" s="19">
        <f t="shared" si="0"/>
        <v>2158</v>
      </c>
      <c r="M34" s="70"/>
      <c r="N34" s="71"/>
      <c r="O34" s="71"/>
      <c r="P34" s="71"/>
      <c r="Q34" s="71"/>
      <c r="R34" s="71"/>
      <c r="S34" s="71"/>
      <c r="T34" s="72"/>
    </row>
    <row r="35" spans="2:20">
      <c r="B35" s="18">
        <v>45635</v>
      </c>
      <c r="C35" s="19">
        <v>1398</v>
      </c>
      <c r="D35" s="19">
        <f t="shared" si="0"/>
        <v>2213.6666666666665</v>
      </c>
    </row>
    <row r="36" spans="2:20">
      <c r="B36" s="18">
        <v>45642</v>
      </c>
      <c r="C36" s="19">
        <v>2693</v>
      </c>
      <c r="D36" s="19">
        <f t="shared" si="0"/>
        <v>2526.6666666666665</v>
      </c>
    </row>
    <row r="37" spans="2:20">
      <c r="B37" s="18">
        <v>45649</v>
      </c>
      <c r="C37" s="19">
        <v>2550</v>
      </c>
      <c r="D37" s="19">
        <f t="shared" si="0"/>
        <v>2446</v>
      </c>
    </row>
    <row r="38" spans="2:20">
      <c r="B38" s="18">
        <v>45656</v>
      </c>
      <c r="C38" s="19">
        <v>2337</v>
      </c>
      <c r="D38" s="19">
        <f t="shared" si="0"/>
        <v>2376.3333333333335</v>
      </c>
    </row>
    <row r="39" spans="2:20">
      <c r="B39" s="18">
        <v>45663</v>
      </c>
      <c r="C39" s="19">
        <v>2451</v>
      </c>
      <c r="D39" s="19">
        <f t="shared" si="0"/>
        <v>2208</v>
      </c>
    </row>
    <row r="40" spans="2:20">
      <c r="B40" s="18">
        <v>45670</v>
      </c>
      <c r="C40" s="19">
        <v>2341</v>
      </c>
      <c r="D40" s="19">
        <f t="shared" si="0"/>
        <v>2033.6666666666667</v>
      </c>
    </row>
    <row r="41" spans="2:20">
      <c r="B41" s="18">
        <v>45677</v>
      </c>
      <c r="C41" s="19">
        <v>1832</v>
      </c>
      <c r="D41" s="19">
        <f t="shared" si="0"/>
        <v>1813.3333333333333</v>
      </c>
    </row>
    <row r="42" spans="2:20">
      <c r="B42" s="18">
        <v>45684</v>
      </c>
      <c r="C42" s="19">
        <v>1928</v>
      </c>
      <c r="D42" s="19">
        <f t="shared" si="0"/>
        <v>1989.6666666666667</v>
      </c>
    </row>
    <row r="43" spans="2:20">
      <c r="B43" s="18">
        <v>45691</v>
      </c>
      <c r="C43" s="19">
        <v>1680</v>
      </c>
      <c r="D43" s="19">
        <f t="shared" si="0"/>
        <v>1861.3333333333333</v>
      </c>
    </row>
    <row r="44" spans="2:20">
      <c r="B44" s="18">
        <v>45698</v>
      </c>
      <c r="C44" s="19">
        <v>2361</v>
      </c>
      <c r="D44" s="19">
        <f t="shared" si="0"/>
        <v>1872.3333333333333</v>
      </c>
    </row>
    <row r="45" spans="2:20">
      <c r="B45" s="18">
        <v>45705</v>
      </c>
      <c r="C45" s="19">
        <v>1543</v>
      </c>
      <c r="D45" s="19">
        <f t="shared" si="0"/>
        <v>2006.3333333333333</v>
      </c>
    </row>
    <row r="46" spans="2:20">
      <c r="B46" s="18">
        <v>45712</v>
      </c>
      <c r="C46" s="19">
        <v>1713</v>
      </c>
      <c r="D46" s="19">
        <f t="shared" si="0"/>
        <v>2263.6666666666665</v>
      </c>
    </row>
    <row r="47" spans="2:20">
      <c r="B47" s="18">
        <v>45719</v>
      </c>
      <c r="C47" s="19">
        <v>2763</v>
      </c>
      <c r="D47" s="19">
        <f t="shared" si="0"/>
        <v>2422</v>
      </c>
    </row>
    <row r="48" spans="2:20">
      <c r="B48" s="18">
        <v>45726</v>
      </c>
      <c r="C48" s="19">
        <v>2315</v>
      </c>
      <c r="D48" s="19">
        <f t="shared" si="0"/>
        <v>2394</v>
      </c>
    </row>
    <row r="49" spans="2:4">
      <c r="B49" s="18">
        <v>45733</v>
      </c>
      <c r="C49" s="19">
        <v>2188</v>
      </c>
      <c r="D49" s="19">
        <f t="shared" si="0"/>
        <v>2549.3333333333335</v>
      </c>
    </row>
    <row r="50" spans="2:4">
      <c r="B50" s="18">
        <v>45740</v>
      </c>
      <c r="C50" s="19">
        <v>2679</v>
      </c>
      <c r="D50" s="19">
        <f t="shared" si="0"/>
        <v>2917</v>
      </c>
    </row>
    <row r="51" spans="2:4">
      <c r="B51" s="18">
        <v>45747</v>
      </c>
      <c r="C51" s="19">
        <v>2781</v>
      </c>
      <c r="D51" s="19">
        <f t="shared" si="0"/>
        <v>3096</v>
      </c>
    </row>
    <row r="52" spans="2:4">
      <c r="B52" s="18">
        <v>45754</v>
      </c>
      <c r="C52" s="19">
        <v>3291</v>
      </c>
      <c r="D52" s="19">
        <f t="shared" si="0"/>
        <v>2745</v>
      </c>
    </row>
    <row r="53" spans="2:4">
      <c r="B53" s="18">
        <v>45761</v>
      </c>
      <c r="C53" s="19">
        <v>3216</v>
      </c>
      <c r="D53" s="19">
        <f t="shared" si="0"/>
        <v>2440.6666666666665</v>
      </c>
    </row>
    <row r="54" spans="2:4">
      <c r="B54" s="18">
        <v>45768</v>
      </c>
      <c r="C54" s="19">
        <v>1728</v>
      </c>
      <c r="D54" s="19">
        <f t="shared" si="0"/>
        <v>2053.3333333333335</v>
      </c>
    </row>
    <row r="55" spans="2:4">
      <c r="B55" s="18">
        <v>45775</v>
      </c>
      <c r="C55" s="19">
        <v>2378</v>
      </c>
      <c r="D55" s="19">
        <f t="shared" si="0"/>
        <v>1944</v>
      </c>
    </row>
    <row r="56" spans="2:4">
      <c r="B56" s="18">
        <v>45782</v>
      </c>
      <c r="C56" s="19">
        <v>2054</v>
      </c>
      <c r="D56" s="19">
        <f t="shared" si="0"/>
        <v>2341</v>
      </c>
    </row>
    <row r="57" spans="2:4">
      <c r="B57" s="18">
        <v>45789</v>
      </c>
      <c r="C57" s="19">
        <v>1400</v>
      </c>
      <c r="D57" s="19">
        <f t="shared" si="0"/>
        <v>2626</v>
      </c>
    </row>
    <row r="58" spans="2:4">
      <c r="B58" s="18">
        <v>45796</v>
      </c>
      <c r="C58" s="19">
        <v>3569</v>
      </c>
      <c r="D58" s="19">
        <f t="shared" si="0"/>
        <v>2842.3333333333335</v>
      </c>
    </row>
    <row r="59" spans="2:4">
      <c r="B59" s="18">
        <v>45803</v>
      </c>
      <c r="C59" s="19">
        <v>2909</v>
      </c>
      <c r="D59" s="19">
        <f t="shared" si="0"/>
        <v>2400.3333333333335</v>
      </c>
    </row>
    <row r="60" spans="2:4">
      <c r="B60" s="18">
        <v>45810</v>
      </c>
      <c r="C60" s="19">
        <v>2049</v>
      </c>
      <c r="D60" s="19">
        <f t="shared" si="0"/>
        <v>2103</v>
      </c>
    </row>
    <row r="61" spans="2:4">
      <c r="B61" s="18">
        <v>45817</v>
      </c>
      <c r="C61" s="19">
        <v>2243</v>
      </c>
      <c r="D61" s="19">
        <f t="shared" si="0"/>
        <v>1881.3333333333333</v>
      </c>
    </row>
    <row r="62" spans="2:4">
      <c r="B62" s="18">
        <v>45824</v>
      </c>
      <c r="C62" s="19">
        <v>2017</v>
      </c>
      <c r="D62" s="19">
        <f t="shared" si="0"/>
        <v>1905.3333333333333</v>
      </c>
    </row>
    <row r="63" spans="2:4">
      <c r="B63" s="18">
        <v>45831</v>
      </c>
      <c r="C63" s="19">
        <v>1384</v>
      </c>
      <c r="D63" s="19">
        <f t="shared" si="0"/>
        <v>2122.6666666666665</v>
      </c>
    </row>
    <row r="64" spans="2:4">
      <c r="B64" s="18">
        <v>45838</v>
      </c>
      <c r="C64" s="19">
        <v>2315</v>
      </c>
      <c r="D64" s="19">
        <f t="shared" si="0"/>
        <v>2546</v>
      </c>
    </row>
    <row r="65" spans="2:4">
      <c r="B65" s="18">
        <v>45845</v>
      </c>
      <c r="C65" s="19">
        <v>2669</v>
      </c>
      <c r="D65" s="19">
        <f t="shared" si="0"/>
        <v>2672.3333333333335</v>
      </c>
    </row>
    <row r="66" spans="2:4">
      <c r="B66" s="18">
        <v>45852</v>
      </c>
      <c r="C66" s="19">
        <v>2654</v>
      </c>
      <c r="D66" s="19">
        <f t="shared" si="0"/>
        <v>2861.3333333333335</v>
      </c>
    </row>
    <row r="67" spans="2:4">
      <c r="B67" s="18">
        <v>45859</v>
      </c>
      <c r="C67" s="19">
        <v>2694</v>
      </c>
      <c r="D67" s="19">
        <f t="shared" si="0"/>
        <v>2539.6666666666665</v>
      </c>
    </row>
    <row r="68" spans="2:4">
      <c r="B68" s="18">
        <v>45866</v>
      </c>
      <c r="C68" s="19">
        <v>3236</v>
      </c>
      <c r="D68" s="19">
        <f t="shared" si="0"/>
        <v>2424</v>
      </c>
    </row>
    <row r="69" spans="2:4">
      <c r="B69" s="18">
        <v>45873</v>
      </c>
      <c r="C69" s="19">
        <v>1689</v>
      </c>
      <c r="D69" s="19">
        <f t="shared" si="0"/>
        <v>1951.6666666666667</v>
      </c>
    </row>
    <row r="70" spans="2:4">
      <c r="B70" s="18">
        <v>45880</v>
      </c>
      <c r="C70" s="19">
        <v>2347</v>
      </c>
      <c r="D70" s="19">
        <f t="shared" si="0"/>
        <v>2270.6666666666665</v>
      </c>
    </row>
    <row r="71" spans="2:4">
      <c r="B71" s="18">
        <v>45887</v>
      </c>
      <c r="C71" s="19">
        <v>1819</v>
      </c>
      <c r="D71" s="19">
        <f t="shared" si="0"/>
        <v>1963</v>
      </c>
    </row>
    <row r="72" spans="2:4">
      <c r="B72" s="18">
        <v>45894</v>
      </c>
      <c r="C72" s="19">
        <v>2646</v>
      </c>
      <c r="D72" s="19">
        <f t="shared" si="0"/>
        <v>1835.3333333333333</v>
      </c>
    </row>
    <row r="73" spans="2:4">
      <c r="B73" s="18">
        <v>45901</v>
      </c>
      <c r="C73" s="19">
        <v>1424</v>
      </c>
      <c r="D73" s="19"/>
    </row>
    <row r="74" spans="2:4">
      <c r="B74" s="18">
        <v>45908</v>
      </c>
      <c r="C74" s="19">
        <v>1436</v>
      </c>
      <c r="D74" s="19"/>
    </row>
    <row r="75" spans="2:4">
      <c r="B75"/>
      <c r="C75"/>
      <c r="D75"/>
    </row>
  </sheetData>
  <mergeCells count="5">
    <mergeCell ref="G2:U2"/>
    <mergeCell ref="M29:T34"/>
    <mergeCell ref="X9:AA12"/>
    <mergeCell ref="X15:AA19"/>
    <mergeCell ref="B6:D6"/>
  </mergeCells>
  <pageMargins left="0.7" right="0.7" top="0.75" bottom="0.75" header="0.3" footer="0.3"/>
  <pageSetup orientation="portrait" r:id="rId1"/>
  <ignoredErrors>
    <ignoredError sqref="D9:D72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BF91-F9AB-4CF2-9135-530B64D9DFE8}">
  <sheetPr>
    <tabColor theme="4" tint="-0.249977111117893"/>
  </sheetPr>
  <dimension ref="A2:S17"/>
  <sheetViews>
    <sheetView topLeftCell="F1" zoomScale="140" zoomScaleNormal="140" workbookViewId="0">
      <selection activeCell="J7" sqref="J7"/>
    </sheetView>
  </sheetViews>
  <sheetFormatPr defaultRowHeight="14.4"/>
  <cols>
    <col min="9" max="9" width="15.21875" customWidth="1"/>
    <col min="10" max="10" width="12.33203125" bestFit="1" customWidth="1"/>
    <col min="11" max="11" width="17.21875" customWidth="1"/>
    <col min="19" max="19" width="5.77734375" customWidth="1"/>
  </cols>
  <sheetData>
    <row r="2" spans="1:19" ht="24" customHeight="1">
      <c r="J2" s="27" t="s">
        <v>41</v>
      </c>
    </row>
    <row r="3" spans="1:19" ht="6.6" customHeight="1"/>
    <row r="4" spans="1:19" s="45" customFormat="1" ht="24" customHeight="1">
      <c r="A4" s="43"/>
      <c r="B4" s="43"/>
      <c r="C4" s="43"/>
      <c r="D4" s="43"/>
      <c r="E4" s="43"/>
      <c r="F4" s="43"/>
      <c r="G4" s="43"/>
      <c r="H4" s="44" t="s">
        <v>45</v>
      </c>
      <c r="I4" s="44"/>
      <c r="J4" s="44"/>
      <c r="K4" s="44"/>
      <c r="L4" s="44"/>
      <c r="M4" s="43"/>
      <c r="N4" s="43"/>
      <c r="O4" s="43"/>
      <c r="P4" s="43"/>
      <c r="Q4" s="43"/>
    </row>
    <row r="5" spans="1:19" ht="12" customHeight="1"/>
    <row r="6" spans="1:19" s="51" customFormat="1" ht="18" customHeight="1">
      <c r="I6" s="92" t="s">
        <v>42</v>
      </c>
      <c r="J6" s="92"/>
      <c r="K6" s="92"/>
    </row>
    <row r="7" spans="1:19" ht="16.05" customHeight="1">
      <c r="I7" s="24"/>
      <c r="J7" s="40" t="s">
        <v>14</v>
      </c>
      <c r="K7" s="40" t="s">
        <v>34</v>
      </c>
    </row>
    <row r="8" spans="1:19" ht="16.05" customHeight="1">
      <c r="I8" s="39" t="s">
        <v>14</v>
      </c>
      <c r="J8" s="25">
        <v>1</v>
      </c>
      <c r="K8" s="25"/>
    </row>
    <row r="9" spans="1:19" ht="16.05" customHeight="1">
      <c r="I9" s="39" t="s">
        <v>34</v>
      </c>
      <c r="J9" s="26">
        <v>-1.6915989818837338E-2</v>
      </c>
      <c r="K9" s="25">
        <v>1</v>
      </c>
    </row>
    <row r="10" spans="1:19" ht="14.4" customHeight="1">
      <c r="N10" s="93" t="s">
        <v>52</v>
      </c>
      <c r="O10" s="94"/>
      <c r="P10" s="94"/>
      <c r="Q10" s="94"/>
      <c r="R10" s="94"/>
      <c r="S10" s="95"/>
    </row>
    <row r="11" spans="1:19">
      <c r="N11" s="96"/>
      <c r="O11" s="97"/>
      <c r="P11" s="97"/>
      <c r="Q11" s="97"/>
      <c r="R11" s="97"/>
      <c r="S11" s="98"/>
    </row>
    <row r="12" spans="1:19">
      <c r="N12" s="96"/>
      <c r="O12" s="97"/>
      <c r="P12" s="97"/>
      <c r="Q12" s="97"/>
      <c r="R12" s="97"/>
      <c r="S12" s="98"/>
    </row>
    <row r="13" spans="1:19">
      <c r="N13" s="96"/>
      <c r="O13" s="97"/>
      <c r="P13" s="97"/>
      <c r="Q13" s="97"/>
      <c r="R13" s="97"/>
      <c r="S13" s="98"/>
    </row>
    <row r="14" spans="1:19">
      <c r="N14" s="96"/>
      <c r="O14" s="97"/>
      <c r="P14" s="97"/>
      <c r="Q14" s="97"/>
      <c r="R14" s="97"/>
      <c r="S14" s="98"/>
    </row>
    <row r="15" spans="1:19">
      <c r="N15" s="96"/>
      <c r="O15" s="97"/>
      <c r="P15" s="97"/>
      <c r="Q15" s="97"/>
      <c r="R15" s="97"/>
      <c r="S15" s="98"/>
    </row>
    <row r="16" spans="1:19">
      <c r="N16" s="96"/>
      <c r="O16" s="97"/>
      <c r="P16" s="97"/>
      <c r="Q16" s="97"/>
      <c r="R16" s="97"/>
      <c r="S16" s="98"/>
    </row>
    <row r="17" spans="14:19">
      <c r="N17" s="99"/>
      <c r="O17" s="100"/>
      <c r="P17" s="100"/>
      <c r="Q17" s="100"/>
      <c r="R17" s="100"/>
      <c r="S17" s="101"/>
    </row>
  </sheetData>
  <mergeCells count="2">
    <mergeCell ref="I6:K6"/>
    <mergeCell ref="N10:S1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Cleaned_Engagement_Data </vt:lpstr>
      <vt:lpstr>Cleaned_Campaign_Data</vt:lpstr>
      <vt:lpstr>Highest Net Follower Gain</vt:lpstr>
      <vt:lpstr>Moving average Chart</vt:lpstr>
      <vt:lpstr>Ad Spend vs Follower Growth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turka</dc:creator>
  <cp:lastModifiedBy>turkarnaveen8@gmail.com</cp:lastModifiedBy>
  <cp:lastPrinted>2026-02-18T05:36:09Z</cp:lastPrinted>
  <dcterms:created xsi:type="dcterms:W3CDTF">2026-02-01T13:18:53Z</dcterms:created>
  <dcterms:modified xsi:type="dcterms:W3CDTF">2026-02-25T18:21:29Z</dcterms:modified>
</cp:coreProperties>
</file>